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4.xml"/>
  <Override ContentType="application/vnd.openxmlformats-officedocument.spreadsheetml.worksheet+xml" PartName="/xl/worksheets/sheet10.xml"/>
  <Override ContentType="application/vnd.openxmlformats-officedocument.spreadsheetml.worksheet+xml" PartName="/xl/worksheets/sheet12.xml"/>
  <Override ContentType="application/vnd.openxmlformats-officedocument.spreadsheetml.worksheet+xml" PartName="/xl/worksheets/sheet17.xml"/>
  <Override ContentType="application/vnd.openxmlformats-officedocument.spreadsheetml.worksheet+xml" PartName="/xl/worksheets/sheet15.xml"/>
  <Override ContentType="application/vnd.openxmlformats-officedocument.spreadsheetml.worksheet+xml" PartName="/xl/worksheets/sheet2.xml"/>
  <Override ContentType="application/vnd.openxmlformats-officedocument.spreadsheetml.worksheet+xml" PartName="/xl/worksheets/sheet6.xml"/>
  <Override ContentType="application/vnd.openxmlformats-officedocument.spreadsheetml.worksheet+xml" PartName="/xl/worksheets/sheet8.xml"/>
  <Override ContentType="application/vnd.openxmlformats-officedocument.spreadsheetml.worksheet+xml" PartName="/xl/worksheets/sheet16.xml"/>
  <Override ContentType="application/vnd.openxmlformats-officedocument.spreadsheetml.worksheet+xml" PartName="/xl/worksheets/sheet5.xml"/>
  <Override ContentType="application/vnd.openxmlformats-officedocument.spreadsheetml.worksheet+xml" PartName="/xl/worksheets/sheet11.xml"/>
  <Override ContentType="application/vnd.openxmlformats-officedocument.spreadsheetml.worksheet+xml" PartName="/xl/worksheets/sheet14.xml"/>
  <Override ContentType="application/vnd.openxmlformats-officedocument.spreadsheetml.worksheet+xml" PartName="/xl/worksheets/sheet13.xml"/>
  <Override ContentType="application/vnd.openxmlformats-officedocument.spreadsheetml.worksheet+xml" PartName="/xl/worksheets/sheet1.xml"/>
  <Override ContentType="application/vnd.openxmlformats-officedocument.spreadsheetml.worksheet+xml" PartName="/xl/worksheets/sheet18.xml"/>
  <Override ContentType="application/vnd.openxmlformats-officedocument.spreadsheetml.worksheet+xml" PartName="/xl/worksheets/sheet3.xml"/>
  <Override ContentType="application/vnd.openxmlformats-officedocument.spreadsheetml.worksheet+xml" PartName="/xl/worksheets/sheet9.xml"/>
  <Override ContentType="application/vnd.openxmlformats-officedocument.spreadsheetml.worksheet+xml" PartName="/xl/worksheets/sheet7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10.xml"/>
  <Override ContentType="application/vnd.openxmlformats-officedocument.drawing+xml" PartName="/xl/drawings/drawing9.xml"/>
  <Override ContentType="application/vnd.openxmlformats-officedocument.drawing+xml" PartName="/xl/drawings/drawing13.xml"/>
  <Override ContentType="application/vnd.openxmlformats-officedocument.drawing+xml" PartName="/xl/drawings/drawing6.xml"/>
  <Override ContentType="application/vnd.openxmlformats-officedocument.drawing+xml" PartName="/xl/drawings/drawing15.xml"/>
  <Override ContentType="application/vnd.openxmlformats-officedocument.drawing+xml" PartName="/xl/drawings/drawing1.xml"/>
  <Override ContentType="application/vnd.openxmlformats-officedocument.drawing+xml" PartName="/xl/drawings/drawing12.xml"/>
  <Override ContentType="application/vnd.openxmlformats-officedocument.drawing+xml" PartName="/xl/drawings/drawing17.xml"/>
  <Override ContentType="application/vnd.openxmlformats-officedocument.drawing+xml" PartName="/xl/drawings/drawing8.xml"/>
  <Override ContentType="application/vnd.openxmlformats-officedocument.drawing+xml" PartName="/xl/drawings/drawing16.xml"/>
  <Override ContentType="application/vnd.openxmlformats-officedocument.drawing+xml" PartName="/xl/drawings/drawing3.xml"/>
  <Override ContentType="application/vnd.openxmlformats-officedocument.drawing+xml" PartName="/xl/drawings/drawing14.xml"/>
  <Override ContentType="application/vnd.openxmlformats-officedocument.drawing+xml" PartName="/xl/drawings/drawing5.xml"/>
  <Override ContentType="application/vnd.openxmlformats-officedocument.drawing+xml" PartName="/xl/drawings/drawing7.xml"/>
  <Override ContentType="application/vnd.openxmlformats-officedocument.drawing+xml" PartName="/xl/drawings/drawing2.xml"/>
  <Override ContentType="application/vnd.openxmlformats-officedocument.drawing+xml" PartName="/xl/drawings/drawing18.xml"/>
  <Override ContentType="application/vnd.openxmlformats-officedocument.drawing+xml" PartName="/xl/drawings/drawing11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Portada" sheetId="1" r:id="rId4"/>
    <sheet state="visible" name="Supuestos" sheetId="2" r:id="rId5"/>
    <sheet state="visible" name="Demanda_Capacidad" sheetId="3" r:id="rId6"/>
    <sheet state="visible" name="CAPEX_Benchmark" sheetId="4" r:id="rId7"/>
    <sheet state="visible" name="Licencias" sheetId="5" r:id="rId8"/>
    <sheet state="visible" name="Personal" sheetId="6" r:id="rId9"/>
    <sheet state="visible" name="Costos_Lote" sheetId="7" r:id="rId10"/>
    <sheet state="visible" name="Cronograma" sheetId="8" r:id="rId11"/>
    <sheet state="visible" name="Dep_Amort" sheetId="9" r:id="rId12"/>
    <sheet state="visible" name="ER_Proyecto" sheetId="10" r:id="rId13"/>
    <sheet state="visible" name="Flujo_Caja" sheetId="11" r:id="rId14"/>
    <sheet state="visible" name="Balance" sheetId="12" r:id="rId15"/>
    <sheet state="visible" name="Valoracion" sheetId="13" r:id="rId16"/>
    <sheet state="visible" name="Sensibilidad" sheetId="14" r:id="rId17"/>
    <sheet state="visible" name="Modelo_Negocio" sheetId="15" r:id="rId18"/>
    <sheet state="visible" name="Referencias" sheetId="16" r:id="rId19"/>
    <sheet state="visible" name="Reportes" sheetId="17" r:id="rId20"/>
    <sheet state="visible" name="Guia_Modelo" sheetId="18" r:id="rId21"/>
  </sheets>
  <definedNames/>
  <calcPr/>
  <extLst>
    <ext uri="GoogleSheetsCustomDataVersion2">
      <go:sheetsCustomData xmlns:go="http://customooxmlschemas.google.com/" r:id="rId22" roundtripDataChecksum="gDw3umo2OT0LrqLbaEDyWaqAPhf4siEjt0Xqxd8a9Qo="/>
    </ext>
  </extLst>
</workbook>
</file>

<file path=xl/sharedStrings.xml><?xml version="1.0" encoding="utf-8"?>
<sst xmlns="http://schemas.openxmlformats.org/spreadsheetml/2006/main" count="1372" uniqueCount="874">
  <si>
    <t>Modelo de evaluación financiera y de negocio — Proyecto de automatización FEMSA Fontibón</t>
  </si>
  <si>
    <t>Objetivo</t>
  </si>
  <si>
    <t>Evaluar, con flujos mensuales, un proyecto brownfield de automatización y digitalización para tres líneas (330 mL retornable, PET 1.5 L y garrafón 25 L) con enfoque en OEE, capacidad, cash flow y valorización.</t>
  </si>
  <si>
    <t>Cómo usar el archivo</t>
  </si>
  <si>
    <t>1) Edita las celdas amarillas en Supuestos, Personal, CAPEX_Benchmark, Licencias y Costos_Lote. 2) Revisa Demanda_Capacidad y Cronograma. 3) Usa Flujo_Caja, Valoracion y Sensibilidad para la decisión.</t>
  </si>
  <si>
    <t>Alcance del modelo</t>
  </si>
  <si>
    <t>El modelo combina datos del equipo (VSM/OEE/demanda/cronograma) con benchmarks públicos de OEM, mercado secundario, software y normativa colombiana 2026. Donde no hay cotización OEM pública, se usan supuestos editables documentados.</t>
  </si>
  <si>
    <t>Criterio financiero</t>
  </si>
  <si>
    <t>Se modela una automatización de mejora/retrofit (no greenfield total), con CAPEX, OPEX, depreciación lineal, flujo de caja libre, TMAR propuesta, TIR, VPN y escenarios.</t>
  </si>
  <si>
    <t>Hojas incluidas</t>
  </si>
  <si>
    <t>Supuestos</t>
  </si>
  <si>
    <t>Entradas principales del modelo</t>
  </si>
  <si>
    <t>Demanda_Capacidad</t>
  </si>
  <si>
    <t>Demanda, mix, capacidad base/proyecto y chequeo de stock</t>
  </si>
  <si>
    <t>CAPEX_Benchmark</t>
  </si>
  <si>
    <t>Equipos, alternativas, sensores, ingeniería e instalación</t>
  </si>
  <si>
    <t>Licencias</t>
  </si>
  <si>
    <t>Software industrial / cloud / digital twin</t>
  </si>
  <si>
    <t>Personal</t>
  </si>
  <si>
    <t>Nómina mensual y prestaciones por rol</t>
  </si>
  <si>
    <t>Costos_Lote</t>
  </si>
  <si>
    <t>Costo variable por lote y costo unitario por producto</t>
  </si>
  <si>
    <t>Cronograma</t>
  </si>
  <si>
    <t>Fases de implementación y desembolso</t>
  </si>
  <si>
    <t>Dep_Amort</t>
  </si>
  <si>
    <t>Depreciación y amortización por categoría</t>
  </si>
  <si>
    <t>ER_Proyecto</t>
  </si>
  <si>
    <t>Estado de resultados mensual (base/proyecto)</t>
  </si>
  <si>
    <t>Flujo_Caja</t>
  </si>
  <si>
    <t>FCF mensual y acumulado</t>
  </si>
  <si>
    <t>Balance</t>
  </si>
  <si>
    <t>Balance general simplificado</t>
  </si>
  <si>
    <t>Valoracion</t>
  </si>
  <si>
    <t>KPI: TIR, VPN, payback, EBITDA, EBIT, margen</t>
  </si>
  <si>
    <t>Sensibilidad</t>
  </si>
  <si>
    <t>Escenarios y sensibilidad de TMAR/CAPEX/ventas</t>
  </si>
  <si>
    <t>Modelo_Negocio</t>
  </si>
  <si>
    <t>Lienzo de modelo de negocio (9 módulos)</t>
  </si>
  <si>
    <t>Referencias</t>
  </si>
  <si>
    <t>URLs, adjuntos y benchmarks</t>
  </si>
  <si>
    <t>Modelo financiero del proyecto de automatización FEMSA Fontibón — Supuestos editables</t>
  </si>
  <si>
    <t>Parámetros generales</t>
  </si>
  <si>
    <t>Normativa / nómina 2026</t>
  </si>
  <si>
    <t>Fecha inicio modelo</t>
  </si>
  <si>
    <t>fecha</t>
  </si>
  <si>
    <t>Mes 1 del modelo</t>
  </si>
  <si>
    <t>SMLMV 2026</t>
  </si>
  <si>
    <t>COP/mes</t>
  </si>
  <si>
    <t>Decreto 1469 de 2025</t>
  </si>
  <si>
    <t>Meses del modelo</t>
  </si>
  <si>
    <t>meses</t>
  </si>
  <si>
    <t>Horizonte mensual</t>
  </si>
  <si>
    <t>Auxilio transporte 2026</t>
  </si>
  <si>
    <t>Decreto 1470 de 2025</t>
  </si>
  <si>
    <t>Meses pre-operativos</t>
  </si>
  <si>
    <t>Ingeniería + compra + instalación + capacitación</t>
  </si>
  <si>
    <t>Salud empleador</t>
  </si>
  <si>
    <t>%</t>
  </si>
  <si>
    <t>Ley 1122/2007 art.10</t>
  </si>
  <si>
    <t>Inflación anual</t>
  </si>
  <si>
    <t>DANE IPC feb-2026</t>
  </si>
  <si>
    <t>Pensión empleador</t>
  </si>
  <si>
    <t>Art.20 Ley 100 / ET</t>
  </si>
  <si>
    <t>Inflación mensual</t>
  </si>
  <si>
    <t>=(1+inflación anual)^(1/12)-1</t>
  </si>
  <si>
    <t>Caja compensación</t>
  </si>
  <si>
    <t>Parafiscal</t>
  </si>
  <si>
    <t>Demanda anual total</t>
  </si>
  <si>
    <t>L/año</t>
  </si>
  <si>
    <t>Reporte ULogix Bogotá 2026</t>
  </si>
  <si>
    <t>SENA</t>
  </si>
  <si>
    <t>Demanda mensual base</t>
  </si>
  <si>
    <t>L/mes</t>
  </si>
  <si>
    <t>Demanda anual / 12</t>
  </si>
  <si>
    <t>ICBF</t>
  </si>
  <si>
    <t>Crecimiento anual demanda</t>
  </si>
  <si>
    <t>Supuesto editable</t>
  </si>
  <si>
    <t>Exoneración salud/SENA/ICBF</t>
  </si>
  <si>
    <t>0/1</t>
  </si>
  <si>
    <t>1 = aplicar art.114-1 ET</t>
  </si>
  <si>
    <t>Stock de seguridad objetivo</t>
  </si>
  <si>
    <t>Cobertura por averías / contingencias</t>
  </si>
  <si>
    <t>ARL clase I</t>
  </si>
  <si>
    <t>Riesgo mínimo</t>
  </si>
  <si>
    <t>Nivel de servicio base</t>
  </si>
  <si>
    <t>Antes de automatizar</t>
  </si>
  <si>
    <t>ARL clase III</t>
  </si>
  <si>
    <t>Manufactura bebidas CIIU 1104</t>
  </si>
  <si>
    <t>Nivel de servicio proyecto</t>
  </si>
  <si>
    <t>Después de automatizar</t>
  </si>
  <si>
    <t>Cesantías</t>
  </si>
  <si>
    <t>Anualizado</t>
  </si>
  <si>
    <t>Meta mejora throughput</t>
  </si>
  <si>
    <t>Objetivo del proyecto</t>
  </si>
  <si>
    <t>Int. cesantías</t>
  </si>
  <si>
    <t>12% anual sobre cesantías</t>
  </si>
  <si>
    <t>OEE base</t>
  </si>
  <si>
    <t>Modelo del equipo</t>
  </si>
  <si>
    <t>Prima</t>
  </si>
  <si>
    <t>OEE objetivo</t>
  </si>
  <si>
    <t>Objetivo post-automatización</t>
  </si>
  <si>
    <t>Vacaciones</t>
  </si>
  <si>
    <t>TMAR anual propuesta</t>
  </si>
  <si>
    <t>Tasa de descuento nominal COP</t>
  </si>
  <si>
    <t>DSO</t>
  </si>
  <si>
    <t>días</t>
  </si>
  <si>
    <t>Cartera promedio</t>
  </si>
  <si>
    <t>TMAR mensual</t>
  </si>
  <si>
    <t>=(1+TMAR anual)^(1/12)-1</t>
  </si>
  <si>
    <t>DIO</t>
  </si>
  <si>
    <t>Inventario promedio</t>
  </si>
  <si>
    <t>Tasa renta corporativa</t>
  </si>
  <si>
    <t>Tarifa general art.240 ET</t>
  </si>
  <si>
    <t>DPO</t>
  </si>
  <si>
    <t>Cuentas por pagar</t>
  </si>
  <si>
    <t>TRM COP/USD</t>
  </si>
  <si>
    <t>COP/USD</t>
  </si>
  <si>
    <t>BanRep 23-mar-2026</t>
  </si>
  <si>
    <t>Días por mes</t>
  </si>
  <si>
    <t>Promedio de operación</t>
  </si>
  <si>
    <t>Celdas amarillas = entradas editables. Las cifras legales y macroeconómicas se cargan con valores vigentes/recientes y pueden ajustarse. La exoneración del art. 114-1 ET se modela con un interruptor 1/0 para salud patronal, SENA e ICBF, por ser un supuesto tributario dependiente del tipo de contribuyente. Los precios de venta son supuestos de transferencia industrial, no precios retail; los retail de referencia se documentan en Referencias.</t>
  </si>
  <si>
    <t>Turnos por día</t>
  </si>
  <si>
    <t>turnos</t>
  </si>
  <si>
    <t>Solicitud usuario</t>
  </si>
  <si>
    <t>Mejora objetivo flujo de caja</t>
  </si>
  <si>
    <t>Liberación / optimización de capital de trabajo</t>
  </si>
  <si>
    <t>Mix de demanda y precios (editables)</t>
  </si>
  <si>
    <t>Producto</t>
  </si>
  <si>
    <t>Participación litros</t>
  </si>
  <si>
    <t>Volumen unitario (L/u)</t>
  </si>
  <si>
    <t>Precio ex-factory (COP/u)</t>
  </si>
  <si>
    <t>Coca-Cola vidrio retornable 330 mL</t>
  </si>
  <si>
    <t>Coca-Cola PET 1.5 L</t>
  </si>
  <si>
    <t>Agua garrafón retornable 25 L</t>
  </si>
  <si>
    <t>OPEX fijo y operacionales</t>
  </si>
  <si>
    <t>Mantenimiento proyecto (% CAPEX/año)</t>
  </si>
  <si>
    <t>Contrato OEM / soporte</t>
  </si>
  <si>
    <t>Otros fijos base (COP/mes)</t>
  </si>
  <si>
    <t>Servicios, QA, administración de línea</t>
  </si>
  <si>
    <t>Otros fijos proyecto (COP/mes)</t>
  </si>
  <si>
    <t>Mayor soporte digital y ciberseguridad</t>
  </si>
  <si>
    <t>Impuesto a la industria y comercio (% ventas)</t>
  </si>
  <si>
    <t>Proxy Bogotá editable</t>
  </si>
  <si>
    <t>Capex working capital inicial (% ventas mensuales proyecto)</t>
  </si>
  <si>
    <t>Capital de trabajo bruto</t>
  </si>
  <si>
    <t>Margen de mejora de scrap (p.p.)</t>
  </si>
  <si>
    <t>Proyecto reduce rechazo</t>
  </si>
  <si>
    <t>Mantenimiento correctivo evitado (COP/mes)</t>
  </si>
  <si>
    <t>Ahorro estimado editable</t>
  </si>
  <si>
    <t>Rechazo base</t>
  </si>
  <si>
    <t>OEE/calidad del equipo</t>
  </si>
  <si>
    <t>Factor monetización uplift comercial</t>
  </si>
  <si>
    <t>Parte del uplift técnico (servicio/OEE) que realmente se monetiza en ventas incrementales de Fontibón</t>
  </si>
  <si>
    <t>Factor RFQ retrofit / reuso activos</t>
  </si>
  <si>
    <t>Ajuste de benchmark público por negociación RFQ y reutilización de equipos/servicios existentes</t>
  </si>
  <si>
    <t>Demanda, mix, capacidad y cobertura de stock</t>
  </si>
  <si>
    <t>Volumen (L/u)</t>
  </si>
  <si>
    <t>Mix litros</t>
  </si>
  <si>
    <t>Demanda base mes 1 (u)</t>
  </si>
  <si>
    <t>Producción objetivo mes 1 (u)</t>
  </si>
  <si>
    <t>Capacidad base mes 1 (u)</t>
  </si>
  <si>
    <t>Capacidad proyecto mes 1 (u)</t>
  </si>
  <si>
    <t>Cobertura proyecto x</t>
  </si>
  <si>
    <t>330 mL retornable</t>
  </si>
  <si>
    <t>PET 1.5 L</t>
  </si>
  <si>
    <t>Garrafón 25 L</t>
  </si>
  <si>
    <t>Fila</t>
  </si>
  <si>
    <t>Descripción</t>
  </si>
  <si>
    <t>11</t>
  </si>
  <si>
    <t>Mes modelo</t>
  </si>
  <si>
    <t>12</t>
  </si>
  <si>
    <t>Demanda total litros</t>
  </si>
  <si>
    <t>13</t>
  </si>
  <si>
    <t>Demanda litros 330 mL</t>
  </si>
  <si>
    <t>14</t>
  </si>
  <si>
    <t>Demanda litros PET 1.5 L</t>
  </si>
  <si>
    <t>15</t>
  </si>
  <si>
    <t>Demanda litros 25 L</t>
  </si>
  <si>
    <t>16</t>
  </si>
  <si>
    <t>Demanda u 330 mL</t>
  </si>
  <si>
    <t>17</t>
  </si>
  <si>
    <t>Demanda u PET 1.5 L</t>
  </si>
  <si>
    <t>18</t>
  </si>
  <si>
    <t>Demanda u 25 L</t>
  </si>
  <si>
    <t>19</t>
  </si>
  <si>
    <t>Producción objetivo u 330 mL</t>
  </si>
  <si>
    <t>20</t>
  </si>
  <si>
    <t>Producción objetivo u PET 1.5 L</t>
  </si>
  <si>
    <t>21</t>
  </si>
  <si>
    <t>Producción objetivo u 25 L</t>
  </si>
  <si>
    <t>22</t>
  </si>
  <si>
    <t>Capacidad base u 330 mL</t>
  </si>
  <si>
    <t>23</t>
  </si>
  <si>
    <t>Capacidad base u PET 1.5 L</t>
  </si>
  <si>
    <t>24</t>
  </si>
  <si>
    <t>Capacidad base u 25 L</t>
  </si>
  <si>
    <t>25</t>
  </si>
  <si>
    <t>Capacidad proyecto u 330 mL</t>
  </si>
  <si>
    <t>26</t>
  </si>
  <si>
    <t>Capacidad proyecto u PET 1.5 L</t>
  </si>
  <si>
    <t>27</t>
  </si>
  <si>
    <t>Capacidad proyecto u 25 L</t>
  </si>
  <si>
    <t>28</t>
  </si>
  <si>
    <t>Cobertura proyecto x 330 mL</t>
  </si>
  <si>
    <t>29</t>
  </si>
  <si>
    <t>Cobertura proyecto x PET</t>
  </si>
  <si>
    <t>30</t>
  </si>
  <si>
    <t>Cobertura proyecto x 25 L</t>
  </si>
  <si>
    <t>31</t>
  </si>
  <si>
    <t>Ventas base u 330 mL</t>
  </si>
  <si>
    <t>32</t>
  </si>
  <si>
    <t>Ventas base u PET 1.5 L</t>
  </si>
  <si>
    <t>33</t>
  </si>
  <si>
    <t>Ventas base u 25 L</t>
  </si>
  <si>
    <t>34</t>
  </si>
  <si>
    <t>Ventas proyecto u 330 mL</t>
  </si>
  <si>
    <t>35</t>
  </si>
  <si>
    <t>Ventas proyecto u PET 1.5 L</t>
  </si>
  <si>
    <t>36</t>
  </si>
  <si>
    <t>Ventas proyecto u 25 L</t>
  </si>
  <si>
    <t>CAPEX benchmark — retrofit de líneas, automatización, sensores e implementación</t>
  </si>
  <si>
    <t>Categoría</t>
  </si>
  <si>
    <t>Línea</t>
  </si>
  <si>
    <t>Activo / paquete</t>
  </si>
  <si>
    <t>Referencia principal</t>
  </si>
  <si>
    <t>Alternativa 1</t>
  </si>
  <si>
    <t>Alternativa 2</t>
  </si>
  <si>
    <t>Cant.</t>
  </si>
  <si>
    <t>Moneda</t>
  </si>
  <si>
    <t>Costo unitario</t>
  </si>
  <si>
    <t>CAPEX total COP</t>
  </si>
  <si>
    <t>Vida útil (años)</t>
  </si>
  <si>
    <t>Tipo</t>
  </si>
  <si>
    <t>Fuente URL</t>
  </si>
  <si>
    <t>Comentario</t>
  </si>
  <si>
    <t>Máquina</t>
  </si>
  <si>
    <t>L2 330 mL</t>
  </si>
  <si>
    <t>Upgrade lavadora retornable / prewash</t>
  </si>
  <si>
    <t>KRONES Lavatec</t>
  </si>
  <si>
    <t>KHS Innoclean DM</t>
  </si>
  <si>
    <t>IC Filling bottle washer</t>
  </si>
  <si>
    <t>USD</t>
  </si>
  <si>
    <t>Equipo</t>
  </si>
  <si>
    <t>https://www.krones.com/es/productos/maquinas/lavadoras-con-entrada-y-salida-separadas-lavaclassic-y-lavatec-d.php</t>
  </si>
  <si>
    <t>Fuente oficial del OEM/proveedor. El costo del modelo es benchmark editable y normalmente requiere RFQ/cotización formal.</t>
  </si>
  <si>
    <t>Inspección envase vacío</t>
  </si>
  <si>
    <t>HEUFT SPECTRUM II SX-prewash</t>
  </si>
  <si>
    <t>KHS inspector</t>
  </si>
  <si>
    <t>Cognex/vision retrofit</t>
  </si>
  <si>
    <t>Automatización</t>
  </si>
  <si>
    <t>https://heuft.com/es/productos/bebidas/envases-vacios/clasificaci%C3%B3n-de-envases-vac%C3%ADos-heuft-spectrum-ii-sx-prewash</t>
  </si>
  <si>
    <t>Retrofit llenadora / tapadora</t>
  </si>
  <si>
    <t>KRONES Modulfill HES</t>
  </si>
  <si>
    <t>KRONES Craftmate G</t>
  </si>
  <si>
    <t>KHS filler retrofit</t>
  </si>
  <si>
    <t>https://www.krones.com/es/productos/maquinas/modulfill-hes-refrescos.php</t>
  </si>
  <si>
    <t>Etiquetadora y sincronización</t>
  </si>
  <si>
    <t>Etiquetadora existente + servos</t>
  </si>
  <si>
    <t>Krones/Heuft</t>
  </si>
  <si>
    <t>Sidel</t>
  </si>
  <si>
    <t>https://www.krones.com/en/products/machines/wrap-around-reel-fed-labelling.php</t>
  </si>
  <si>
    <t>Infraestructura</t>
  </si>
  <si>
    <t>Conveyors, motores y VFD</t>
  </si>
  <si>
    <t>AB/ABB retrofit</t>
  </si>
  <si>
    <t>SEW/Siemens</t>
  </si>
  <si>
    <t>N/A</t>
  </si>
  <si>
    <t>https://www.krones.com/en/products/machines/conveyors.php</t>
  </si>
  <si>
    <t>Mejora paletizado / despaletizado</t>
  </si>
  <si>
    <t>Retrofit existente</t>
  </si>
  <si>
    <t>Krones</t>
  </si>
  <si>
    <t>Robótica ABB</t>
  </si>
  <si>
    <t>https://www.abb.com/global/en/areas/robotics/products/robots/palletizing-robots</t>
  </si>
  <si>
    <t>L3 PET 1.5 L</t>
  </si>
  <si>
    <t>Bloc soplado-llenado-tapado retrofit</t>
  </si>
  <si>
    <t>KRONES Contiform Bloc</t>
  </si>
  <si>
    <t>Sidel complete PET line</t>
  </si>
  <si>
    <t>KHS PET line</t>
  </si>
  <si>
    <t>https://www.krones.com/es/productos/maquinas/bloque-de-maquinas.php</t>
  </si>
  <si>
    <t>Inspección botella llena</t>
  </si>
  <si>
    <t>HEUFT PRIME</t>
  </si>
  <si>
    <t>Sidel inspector</t>
  </si>
  <si>
    <t>https://heuft.com/en/product/beverage/full-containers/full-container-check-heuft-prime</t>
  </si>
  <si>
    <t>Etiquetado / empaque</t>
  </si>
  <si>
    <t>Label pack PET</t>
  </si>
  <si>
    <t>https://www.krones.com/en/products/machines/labellers.php</t>
  </si>
  <si>
    <t>Conveyors / palletizer</t>
  </si>
  <si>
    <t>Retrofit transporte PET</t>
  </si>
  <si>
    <t>L7 Agua 25 L</t>
  </si>
  <si>
    <t>Lavado y sanitización garrafón</t>
  </si>
  <si>
    <t>Hydronomic/washer</t>
  </si>
  <si>
    <t>IC Filling</t>
  </si>
  <si>
    <t>KHS water</t>
  </si>
  <si>
    <t>https://norlandintl.com/products/3-5-gallon-bottling-equipment/</t>
  </si>
  <si>
    <t>Skid tratamiento de agua</t>
  </si>
  <si>
    <t>KRONES Hydronomic</t>
  </si>
  <si>
    <t>Veolia / Pentair</t>
  </si>
  <si>
    <t>https://www.krones.com/en/products/machines/water-treatment.php</t>
  </si>
  <si>
    <t>Llenado / taponado / inspección</t>
  </si>
  <si>
    <t>Llenadora garrafón</t>
  </si>
  <si>
    <t>https://norlandintl.com/products/3-5-gallon-bottling-equipment/triton450/</t>
  </si>
  <si>
    <t>Conveyors y manipulación</t>
  </si>
  <si>
    <t>Manejo de garrafón</t>
  </si>
  <si>
    <t>ABB/Siemens</t>
  </si>
  <si>
    <t>https://www.abb.com/global/en/areas/robotics/applications/packaging-and-palletizing</t>
  </si>
  <si>
    <t>Común</t>
  </si>
  <si>
    <t>PLC panels / I/O / seguridad</t>
  </si>
  <si>
    <t>Allen-Bradley CompactLogix + safety</t>
  </si>
  <si>
    <t>Siemens S7-1500F</t>
  </si>
  <si>
    <t>Schneider</t>
  </si>
  <si>
    <t>https://www.rockwellautomation.com/en-us/products/hardware/programmable-controllers/compactlogix-5380-controllers.html</t>
  </si>
  <si>
    <t>HMIs / estaciones SCADA</t>
  </si>
  <si>
    <t>PanelView / industrial PC</t>
  </si>
  <si>
    <t>Siemens Comfort Panels</t>
  </si>
  <si>
    <t>Ignition clients</t>
  </si>
  <si>
    <t>https://www.rockwellautomation.com/en-us/products/hardware/hmi/panelview-5000.html</t>
  </si>
  <si>
    <t>Cámaras y visión artificial</t>
  </si>
  <si>
    <t>Cognex / CAM-S01 pack</t>
  </si>
  <si>
    <t>Keyence</t>
  </si>
  <si>
    <t>HEUFT vision</t>
  </si>
  <si>
    <t>https://www.cognex.com/en/products/2d-machine-vision-systems</t>
  </si>
  <si>
    <t>Sensores / transmisores / válvulas</t>
  </si>
  <si>
    <t>FT/LIT/LIC/PT/PC/ZIT pack</t>
  </si>
  <si>
    <t>IFM / SICK / Endress</t>
  </si>
  <si>
    <t>Pepperl+Fuchs</t>
  </si>
  <si>
    <t>https://www.ifm.com/us/en/us/industries/food-and-beverage/food-and-beverage-automation</t>
  </si>
  <si>
    <t>Red industrial y ciberseguridad</t>
  </si>
  <si>
    <t>Switches, firewalls, UPS</t>
  </si>
  <si>
    <t>Moxa / Hirschmann</t>
  </si>
  <si>
    <t>Cisco IE</t>
  </si>
  <si>
    <t>https://www.moxa.com/en/products/industrial-network-infrastructure/ethernet-switches</t>
  </si>
  <si>
    <t>Servidor edge / historian / MES gateway</t>
  </si>
  <si>
    <t>Industrial server + MQTT</t>
  </si>
  <si>
    <t>Azure edge stack</t>
  </si>
  <si>
    <t>Ignition gateway</t>
  </si>
  <si>
    <t>https://azure.microsoft.com/en-us/products/iot-edge</t>
  </si>
  <si>
    <t>Servicios</t>
  </si>
  <si>
    <t>Ingeniería de detalle, FAT/SAT y PMO</t>
  </si>
  <si>
    <t>Equipo integrador</t>
  </si>
  <si>
    <t>OEM + integrador</t>
  </si>
  <si>
    <t>COP</t>
  </si>
  <si>
    <t>Servicio capitalizable</t>
  </si>
  <si>
    <t>https://www.krones.com/en/products/complete-solutions.php</t>
  </si>
  <si>
    <t>Fuente oficial de servicio/capacitación. El costo del modelo es benchmark editable y debe validarse con RFQ del integrador/OEM.</t>
  </si>
  <si>
    <t>Instalación y puesta en marcha</t>
  </si>
  <si>
    <t>Contratista EPC</t>
  </si>
  <si>
    <t>https://www.krones.com/en/products/lifecycle-service.php</t>
  </si>
  <si>
    <t>Capacitación y gestión del cambio</t>
  </si>
  <si>
    <t>Training operadores / mantenimiento</t>
  </si>
  <si>
    <t>OEM training</t>
  </si>
  <si>
    <t>Intangible</t>
  </si>
  <si>
    <t>https://www.krones.com/en/products/service/academy.php</t>
  </si>
  <si>
    <t>Resumen CAPEX</t>
  </si>
  <si>
    <t>Subtotal CAPEX base</t>
  </si>
  <si>
    <t>Contingencia</t>
  </si>
  <si>
    <t>CAPEX total con contingencia</t>
  </si>
  <si>
    <t>CAPEX depreciable (sin training)</t>
  </si>
  <si>
    <t>Licencias y plataformas digitales — benchmark público / editable</t>
  </si>
  <si>
    <t>Software</t>
  </si>
  <si>
    <t>Uso</t>
  </si>
  <si>
    <t>Proveedor / referencia</t>
  </si>
  <si>
    <t>Modalidad</t>
  </si>
  <si>
    <t>Cantidad</t>
  </si>
  <si>
    <t>Precio unitario</t>
  </si>
  <si>
    <t>CAPEX inicial COP</t>
  </si>
  <si>
    <t>OPEX mensual COP</t>
  </si>
  <si>
    <t>Amortización (años)</t>
  </si>
  <si>
    <t>Observación</t>
  </si>
  <si>
    <t>Incluir (0/1)</t>
  </si>
  <si>
    <t>ABB RobotStudio Premium</t>
  </si>
  <si>
    <t>Simulación robot / layout</t>
  </si>
  <si>
    <t>ABB RobotStudio Suite</t>
  </si>
  <si>
    <t>Anual</t>
  </si>
  <si>
    <t>https://www.abb.com/global/en/areas/robotics/products/software/robotstudio-suite</t>
  </si>
  <si>
    <t>Página oficial ABB. La licencia premium se solicita a ABB; el benchmark del modelo es editable.</t>
  </si>
  <si>
    <t>Studio 5000 Logix Designer</t>
  </si>
  <si>
    <t>Programación PLC</t>
  </si>
  <si>
    <t>Rockwell</t>
  </si>
  <si>
    <t>Perpetua</t>
  </si>
  <si>
    <t>https://www.rockwellautomation.com/en-us/products/software/factorytalk/designsuite/studio-5000.html</t>
  </si>
  <si>
    <t>Página oficial Rockwell. El precio suele depender de bundle/edición y canal; validar con distribuidor.</t>
  </si>
  <si>
    <t>Microsoft Azure IoT + storage + compute</t>
  </si>
  <si>
    <t>Cloud, historian, dashboards</t>
  </si>
  <si>
    <t>Azure</t>
  </si>
  <si>
    <t>Mensual</t>
  </si>
  <si>
    <t>https://azure.microsoft.com/en-us/pricing/details/iot-hub/</t>
  </si>
  <si>
    <t>Precio oficial público de Azure (pay-as-you-go), editable según consumo final.</t>
  </si>
  <si>
    <t>NI LabVIEW Full</t>
  </si>
  <si>
    <t>Pruebas / analítica</t>
  </si>
  <si>
    <t>NI</t>
  </si>
  <si>
    <t>https://www.ni.com/en/shop/labview/select-edition.html</t>
  </si>
  <si>
    <t>NI muestra edición oficial pero la tarificación puede requerir distribuidor; mantener editable.</t>
  </si>
  <si>
    <t>Siemens NX X Manufacturing</t>
  </si>
  <si>
    <t>CAD/CAM / digital twin</t>
  </si>
  <si>
    <t>Siemens</t>
  </si>
  <si>
    <t>https://www.siemens.com/en-us/products/nx-manufacturing/offerings/nx-x-manufacturing/</t>
  </si>
  <si>
    <t>Página oficial Siemens con planes y pricing; ajustar plan final requerido.</t>
  </si>
  <si>
    <t>Siemens Plant Simulation X Standard</t>
  </si>
  <si>
    <t>Simulación de planta</t>
  </si>
  <si>
    <t>https://www.siemens.com/en-us/products/tecnomatix/plant-simulation-software/</t>
  </si>
  <si>
    <t>Página oficial Siemens con planes y pricing; ajustar edición final requerida.</t>
  </si>
  <si>
    <t>Ignition / SCADA runtime</t>
  </si>
  <si>
    <t>SCADA y alarmas</t>
  </si>
  <si>
    <t>Inductive Automation</t>
  </si>
  <si>
    <t>https://inductiveautomation.com/pricing/ignition</t>
  </si>
  <si>
    <t>Precio oficial público de Ignition; sirve como referencia directa del runtime/software.</t>
  </si>
  <si>
    <t>Resumen</t>
  </si>
  <si>
    <t>CAPEX software capitalizable</t>
  </si>
  <si>
    <t>OPEX mensual licencias</t>
  </si>
  <si>
    <t>Nómina y prestaciones sociales — Bogotá 2026 (editable)</t>
  </si>
  <si>
    <t>Rol</t>
  </si>
  <si>
    <t>Conteo</t>
  </si>
  <si>
    <t>Salario base COP/mes</t>
  </si>
  <si>
    <t>Aplica aux. transporte (0/1)</t>
  </si>
  <si>
    <t>ARL</t>
  </si>
  <si>
    <t>Costo unitario empleador COP/mes</t>
  </si>
  <si>
    <t>Costo total mes COP</t>
  </si>
  <si>
    <t>Fase</t>
  </si>
  <si>
    <t>Fuente salarial</t>
  </si>
  <si>
    <t>Costo mensual activo</t>
  </si>
  <si>
    <t>Operarios de línea (3 turnos)</t>
  </si>
  <si>
    <t>Clase III</t>
  </si>
  <si>
    <t>Operación</t>
  </si>
  <si>
    <t>6 personas por turno en total planta (editable si se prefiere por línea)</t>
  </si>
  <si>
    <t>Elempleo operario producción alimentos</t>
  </si>
  <si>
    <t>Supervisores de turno</t>
  </si>
  <si>
    <t>2 supervisores para cubrir 3 turnos; se considera apoyo cruzado y supervisión central</t>
  </si>
  <si>
    <t>Elempleo supervisor producción Bogotá</t>
  </si>
  <si>
    <t>Supervisores de planta</t>
  </si>
  <si>
    <t>1 supervisor principal de planta</t>
  </si>
  <si>
    <t>Benchmark mercado alimentos/manufactura</t>
  </si>
  <si>
    <t>Equipo diseño y desarrollo ULogix</t>
  </si>
  <si>
    <t>Clase I</t>
  </si>
  <si>
    <t>Implementación</t>
  </si>
  <si>
    <t>Sueldo solicitado por el usuario</t>
  </si>
  <si>
    <t>Resumen nómina</t>
  </si>
  <si>
    <t>Costo mensual operación</t>
  </si>
  <si>
    <t>Costo mensual implementación ULogix</t>
  </si>
  <si>
    <t>Costo anual operación</t>
  </si>
  <si>
    <t>Costo total de implementación (meses pre-op)</t>
  </si>
  <si>
    <t>Costos variables por lote — supuestos editables y estructura de proceso</t>
  </si>
  <si>
    <t>Producto 1 — Coca-Cola vidrio retornable 330 mL | lote referencia 300.000 u</t>
  </si>
  <si>
    <t>Resumen costos unitarios usados por el modelo</t>
  </si>
  <si>
    <t>Componente</t>
  </si>
  <si>
    <t>Costo por lote COP</t>
  </si>
  <si>
    <t>% total</t>
  </si>
  <si>
    <t>Fuente / base</t>
  </si>
  <si>
    <t>Editable</t>
  </si>
  <si>
    <t>Total lote</t>
  </si>
  <si>
    <t>Lote (u)</t>
  </si>
  <si>
    <t>Costo unitario COP/u</t>
  </si>
  <si>
    <t>Precio ex-factory COP/u</t>
  </si>
  <si>
    <t>Margen bruto unitario COP/u</t>
  </si>
  <si>
    <t>Margen bruto %</t>
  </si>
  <si>
    <t>Jarabe base / concentrado</t>
  </si>
  <si>
    <t>Base técnica de proceso + benchmark editable</t>
  </si>
  <si>
    <t>330 mL</t>
  </si>
  <si>
    <t>Agua tratada</t>
  </si>
  <si>
    <t>P&amp;ID / proceso agua tratada</t>
  </si>
  <si>
    <t>CO2</t>
  </si>
  <si>
    <t>Bebida carbonatada</t>
  </si>
  <si>
    <t>Lavado y sanitización envase</t>
  </si>
  <si>
    <t>Retornables / prewash</t>
  </si>
  <si>
    <t>Tapas</t>
  </si>
  <si>
    <t>Benchmark materiales</t>
  </si>
  <si>
    <t>Etiquetas</t>
  </si>
  <si>
    <t>Energía y utilidades variables</t>
  </si>
  <si>
    <t>Benchmark editable</t>
  </si>
  <si>
    <t>Control de calidad</t>
  </si>
  <si>
    <t>Visión / muestreo / laboratorio</t>
  </si>
  <si>
    <t>Rotura / merma envase retornable</t>
  </si>
  <si>
    <t>Retornables / pérdidas de ciclo</t>
  </si>
  <si>
    <t>Materiales auxiliares</t>
  </si>
  <si>
    <t>Film, limpieza, misceláneos</t>
  </si>
  <si>
    <t>Producto 2 — Coca-Cola PET 1.5 L | lote referencia 100.000 u</t>
  </si>
  <si>
    <t>Preforma / botella PET</t>
  </si>
  <si>
    <t>Benchmark PET 1.5L</t>
  </si>
  <si>
    <t>Proceso</t>
  </si>
  <si>
    <t>Carbonatación</t>
  </si>
  <si>
    <t>Etiqueta / sleeve</t>
  </si>
  <si>
    <t>Inspección</t>
  </si>
  <si>
    <t>Pallet / film / empaque</t>
  </si>
  <si>
    <t>Salida de línea</t>
  </si>
  <si>
    <t>Merma / scrap PET</t>
  </si>
  <si>
    <t>Pérdidas de proceso</t>
  </si>
  <si>
    <t>Producto 3 — Agua garrafón 25 L | lote referencia 3.500 u</t>
  </si>
  <si>
    <t>Agua tratada / purificada</t>
  </si>
  <si>
    <t>Skid agua</t>
  </si>
  <si>
    <t>Proceso sanitario</t>
  </si>
  <si>
    <t>Tapa + sello</t>
  </si>
  <si>
    <t>Etiqueta</t>
  </si>
  <si>
    <t>Rotación / merma garrafón</t>
  </si>
  <si>
    <t>Pérdidas de envase retornable</t>
  </si>
  <si>
    <t>Limpieza y misceláneos</t>
  </si>
  <si>
    <t>Cronograma de implementación y perfiles de desembolso</t>
  </si>
  <si>
    <t>3</t>
  </si>
  <si>
    <t>Fecha</t>
  </si>
  <si>
    <t>4</t>
  </si>
  <si>
    <t>5</t>
  </si>
  <si>
    <t>% desembolso CAPEX tangible</t>
  </si>
  <si>
    <t>6</t>
  </si>
  <si>
    <t>% CAPEX software</t>
  </si>
  <si>
    <t>7</t>
  </si>
  <si>
    <t>Ramp-up operativo proyecto</t>
  </si>
  <si>
    <t>Inicio</t>
  </si>
  <si>
    <t>Fin</t>
  </si>
  <si>
    <t>Meses</t>
  </si>
  <si>
    <t>Peso CAPEX</t>
  </si>
  <si>
    <t>Base técnica</t>
  </si>
  <si>
    <t>Ingeniería de detalle / especificación</t>
  </si>
  <si>
    <t>2026-04</t>
  </si>
  <si>
    <t>2026-05</t>
  </si>
  <si>
    <t>2</t>
  </si>
  <si>
    <t>20%</t>
  </si>
  <si>
    <t>EDT/Gantt ULogix</t>
  </si>
  <si>
    <t>Incluye diseño, ingeniería y compras</t>
  </si>
  <si>
    <t>Compras OEM / software / paneles</t>
  </si>
  <si>
    <t>2026-06</t>
  </si>
  <si>
    <t>35%</t>
  </si>
  <si>
    <t>Pedido de equipos y licencias</t>
  </si>
  <si>
    <t>Instalación y montaje</t>
  </si>
  <si>
    <t>2026-07</t>
  </si>
  <si>
    <t>25%</t>
  </si>
  <si>
    <t>Montaje mecánico, eléctrico e instrumentación</t>
  </si>
  <si>
    <t>FAT/SAT + integración + ciberseguridad</t>
  </si>
  <si>
    <t>10%</t>
  </si>
  <si>
    <t>Pruebas e integración ERP-MES-SCADA</t>
  </si>
  <si>
    <t>Capacitación / arranque / estabilización</t>
  </si>
  <si>
    <t>2026-08</t>
  </si>
  <si>
    <t>Solicitud usuario + Gantt</t>
  </si>
  <si>
    <t>Capacitación operadores y supervisores</t>
  </si>
  <si>
    <t>Indicador</t>
  </si>
  <si>
    <t>Fórmula / criterio</t>
  </si>
  <si>
    <t>Go-live</t>
  </si>
  <si>
    <t>Mes 5 del modelo</t>
  </si>
  <si>
    <t>Pre-operación total</t>
  </si>
  <si>
    <t>4 meses</t>
  </si>
  <si>
    <t>Ramp-up al 100%</t>
  </si>
  <si>
    <t>Mes 5</t>
  </si>
  <si>
    <t>Base</t>
  </si>
  <si>
    <t>Cronograma resumido desde el Gantt del equipo</t>
  </si>
  <si>
    <t>Depreciación y amortización lineal</t>
  </si>
  <si>
    <t>Base depreciable COP</t>
  </si>
  <si>
    <t>Cargo mensual COP</t>
  </si>
  <si>
    <t>Equipos principales</t>
  </si>
  <si>
    <t>Retrofits y equipos físicos</t>
  </si>
  <si>
    <t>Automatización e instrumentación</t>
  </si>
  <si>
    <t>PLC, HMI, cámaras, sensores, red</t>
  </si>
  <si>
    <t>Servicios capitalizables</t>
  </si>
  <si>
    <t>Ingeniería / FAT-SAT / commissioning</t>
  </si>
  <si>
    <t>Intangibles capacitación</t>
  </si>
  <si>
    <t>Training y gestión del cambio</t>
  </si>
  <si>
    <t>Software perpetuo</t>
  </si>
  <si>
    <t>Licencias capitalizables</t>
  </si>
  <si>
    <t>Dep equipos</t>
  </si>
  <si>
    <t>Dep automatización</t>
  </si>
  <si>
    <t>Amort servicios cap.</t>
  </si>
  <si>
    <t>Amort capacitación</t>
  </si>
  <si>
    <t>Amort software perpetuo</t>
  </si>
  <si>
    <t>D&amp;A total</t>
  </si>
  <si>
    <t>Activo neto / valor en libros</t>
  </si>
  <si>
    <t>Activo fijo neto cierre</t>
  </si>
  <si>
    <t>Estado de resultados mensual — caso base, caso proyecto e incremental</t>
  </si>
  <si>
    <t>CASO BASE</t>
  </si>
  <si>
    <t>Ventas u 330 mL</t>
  </si>
  <si>
    <t>8</t>
  </si>
  <si>
    <t>Ventas u PET 1.5 L</t>
  </si>
  <si>
    <t>9</t>
  </si>
  <si>
    <t>Ventas u 25 L</t>
  </si>
  <si>
    <t>10</t>
  </si>
  <si>
    <t>Ingresos 330 mL</t>
  </si>
  <si>
    <t>Ingresos PET 1.5 L</t>
  </si>
  <si>
    <t>Ingresos 25 L</t>
  </si>
  <si>
    <t>Ingresos netos base</t>
  </si>
  <si>
    <t>COGS variable 330 mL</t>
  </si>
  <si>
    <t>COGS variable PET</t>
  </si>
  <si>
    <t>COGS variable 25 L</t>
  </si>
  <si>
    <t>Costo de ventas base</t>
  </si>
  <si>
    <t>Utilidad bruta base</t>
  </si>
  <si>
    <t>Nómina operación base</t>
  </si>
  <si>
    <t>Otros fijos base</t>
  </si>
  <si>
    <t>EBITDA base</t>
  </si>
  <si>
    <t>CASO PROYECTO</t>
  </si>
  <si>
    <t>Ingresos netos proyecto</t>
  </si>
  <si>
    <t>Costo de ventas proyecto</t>
  </si>
  <si>
    <t>Utilidad bruta proyecto</t>
  </si>
  <si>
    <t>Nómina operación proyecto</t>
  </si>
  <si>
    <t>37</t>
  </si>
  <si>
    <t>Otros fijos proyecto</t>
  </si>
  <si>
    <t>38</t>
  </si>
  <si>
    <t>Licencias / cloud</t>
  </si>
  <si>
    <t>39</t>
  </si>
  <si>
    <t>Mantenimiento proyecto (% capex)</t>
  </si>
  <si>
    <t>40</t>
  </si>
  <si>
    <t>EBITDA proyecto</t>
  </si>
  <si>
    <t>41</t>
  </si>
  <si>
    <t>D&amp;A proyecto</t>
  </si>
  <si>
    <t>42</t>
  </si>
  <si>
    <t>EBIT proyecto</t>
  </si>
  <si>
    <t>43</t>
  </si>
  <si>
    <t>Impuesto proyecto</t>
  </si>
  <si>
    <t>44</t>
  </si>
  <si>
    <t>Utilidad neta proyecto</t>
  </si>
  <si>
    <t>46</t>
  </si>
  <si>
    <t>INCREMENTAL</t>
  </si>
  <si>
    <t>47</t>
  </si>
  <si>
    <t>Ingresos incrementales</t>
  </si>
  <si>
    <t>48</t>
  </si>
  <si>
    <t>Utilidad bruta incremental</t>
  </si>
  <si>
    <t>49</t>
  </si>
  <si>
    <t>OPEX incremental</t>
  </si>
  <si>
    <t>50</t>
  </si>
  <si>
    <t>EBITDA incremental</t>
  </si>
  <si>
    <t>51</t>
  </si>
  <si>
    <t>D&amp;A incremental</t>
  </si>
  <si>
    <t>52</t>
  </si>
  <si>
    <t>EBIT incremental</t>
  </si>
  <si>
    <t>53</t>
  </si>
  <si>
    <t>Impuesto incremental</t>
  </si>
  <si>
    <t>54</t>
  </si>
  <si>
    <t>Utilidad neta incremental</t>
  </si>
  <si>
    <t>Flujo de caja libre mensual del proyecto incremental</t>
  </si>
  <si>
    <t>NOPAT incremental</t>
  </si>
  <si>
    <t>CAPEX tangible + servicios</t>
  </si>
  <si>
    <t>CAPEX software</t>
  </si>
  <si>
    <t>Costo equipo ULogix implementación</t>
  </si>
  <si>
    <t>Requerimiento NWC proyecto</t>
  </si>
  <si>
    <t>Δ NWC</t>
  </si>
  <si>
    <t>Flujo de caja libre</t>
  </si>
  <si>
    <t>FCF acumulado</t>
  </si>
  <si>
    <t>Balance general simplificado — caso proyecto</t>
  </si>
  <si>
    <t>Caja</t>
  </si>
  <si>
    <t>Cuentas por cobrar</t>
  </si>
  <si>
    <t>Inventarios</t>
  </si>
  <si>
    <t>Activo fijo/intangible neto</t>
  </si>
  <si>
    <t>Total activos</t>
  </si>
  <si>
    <t>Impuestos por pagar</t>
  </si>
  <si>
    <t>Total pasivos</t>
  </si>
  <si>
    <t>Patrimonio neto (balance)</t>
  </si>
  <si>
    <t>Pasivo + patrimonio</t>
  </si>
  <si>
    <t>Chequeo balance (=0)</t>
  </si>
  <si>
    <t>Valoración del proyecto: VPN, TIR, payback y KPIs</t>
  </si>
  <si>
    <t>Valor</t>
  </si>
  <si>
    <t>Justificación de la TMAR propuesta</t>
  </si>
  <si>
    <t>TMAR anual</t>
  </si>
  <si>
    <t>Tasa</t>
  </si>
  <si>
    <t>Base / criterio</t>
  </si>
  <si>
    <t>Fuente</t>
  </si>
  <si>
    <t>Tasa de referencia monetaria</t>
  </si>
  <si>
    <t>Tasa de política BanRep</t>
  </si>
  <si>
    <t>https://www.banrep.gov.co/es</t>
  </si>
  <si>
    <t>Base de costo de oportunidad en COP</t>
  </si>
  <si>
    <t>VPN (COP)</t>
  </si>
  <si>
    <t>Prima por integración tecnológica</t>
  </si>
  <si>
    <t>PLC+SCADA+MES+Cloud+retrofit</t>
  </si>
  <si>
    <t>Modelo</t>
  </si>
  <si>
    <t>Riesgo de ejecución</t>
  </si>
  <si>
    <t>TIR mensual</t>
  </si>
  <si>
    <t>Prima por cambio organizacional / puesta en marcha</t>
  </si>
  <si>
    <t>Capacitación y estabilización</t>
  </si>
  <si>
    <t>Riesgo brownfield</t>
  </si>
  <si>
    <t>TIR anual</t>
  </si>
  <si>
    <t>TMAR nominal propuesta</t>
  </si>
  <si>
    <t>Suma redondeada</t>
  </si>
  <si>
    <t>Se deja editable en Supuestos</t>
  </si>
  <si>
    <t>Payback simple (meses)</t>
  </si>
  <si>
    <t>Inflación anual de referencia</t>
  </si>
  <si>
    <t>IPC feb-2026</t>
  </si>
  <si>
    <t>https://www.dane.gov.co/index.php/estadisticas-por-tema/precios-y-costos/indice-de-precios-al-consumidor-ipc/ipc-informacion-tecnica</t>
  </si>
  <si>
    <t>Contexto macro</t>
  </si>
  <si>
    <t>Payback descontado (meses)</t>
  </si>
  <si>
    <t>EBITDA incremental Año 1</t>
  </si>
  <si>
    <t>EBIT incremental Año 1</t>
  </si>
  <si>
    <t>OEE base → objetivo</t>
  </si>
  <si>
    <t>Conclusión escenario base</t>
  </si>
  <si>
    <t>Escenario ajustado: retrofit brownfield con continuidad operativa, monetización parcial del uplift técnico (31%) y ahorro RFQ/reuso de 3%; objetivo de payback simple cercano a 4 años.</t>
  </si>
  <si>
    <t>FCF</t>
  </si>
  <si>
    <t>Factor descuento</t>
  </si>
  <si>
    <t>FCF descontado</t>
  </si>
  <si>
    <t>Acumulado descontado</t>
  </si>
  <si>
    <t>Flag payback simple</t>
  </si>
  <si>
    <t>Flag payback descontado</t>
  </si>
  <si>
    <t>Análisis de sensibilidad (escenarios)</t>
  </si>
  <si>
    <t>Escenario</t>
  </si>
  <si>
    <t>Factor ventas/beneficio</t>
  </si>
  <si>
    <t>Factor CAPEX</t>
  </si>
  <si>
    <t>Factor costo equipo implementación</t>
  </si>
  <si>
    <t>VPN escenario</t>
  </si>
  <si>
    <t>TIR aprox.</t>
  </si>
  <si>
    <t>Conservador</t>
  </si>
  <si>
    <t>Optimista</t>
  </si>
  <si>
    <t>FCF ajustado</t>
  </si>
  <si>
    <t>No se recupera</t>
  </si>
  <si>
    <t>Variable</t>
  </si>
  <si>
    <t>Cambio</t>
  </si>
  <si>
    <t>VPN estimado</t>
  </si>
  <si>
    <t>CAPEX</t>
  </si>
  <si>
    <t>-10%</t>
  </si>
  <si>
    <t>+10%</t>
  </si>
  <si>
    <t>Ventas/beneficio</t>
  </si>
  <si>
    <t>-5%</t>
  </si>
  <si>
    <t>+5%</t>
  </si>
  <si>
    <t>TMAR</t>
  </si>
  <si>
    <t>-2 p.p.</t>
  </si>
  <si>
    <t>+2 p.p.</t>
  </si>
  <si>
    <t>Modelo de negocio (Business Model Canvas) — ULogix para FEMSA Fontibón</t>
  </si>
  <si>
    <t>Asociaciones clave
KRONES, HEUFT, Rockwell, ABB, Siemens, Microsoft Azure, integradores locales, mantenimiento OEM y contratistas de montaje.
Motivación: reducir riesgo tecnológico, acelerar retrofit y asegurar soporte post-arranque.</t>
  </si>
  <si>
    <t>Actividades clave
Ingeniería de detalle, simulación (RobotStudio/NX/Plant Sim), diseño PLC/SCADA/MES, integración cloud, FAT/SAT, puesta en marcha, capacitación y analítica OEE.</t>
  </si>
  <si>
    <t>Propuesta de valor
Retrofit brownfield para tres líneas con foco en resultados operativos:
• +11% throughput objetivo
• OEE 78.67% → ≥85%
• +5% mejora de cash flow
• Trazabilidad MES/Cloud
• Menos paros, menor scrap y mayor visibilidad de planta.</t>
  </si>
  <si>
    <t>Relaciones con clientes
B2B consultiva, acompañamiento de implementación, entrenamiento de operadores, soporte por KPIs, seguimiento post-arranque y mejora continua basada en datos.</t>
  </si>
  <si>
    <t>Recursos clave
Equipo mecatrónico/automatización, know-how ISA-95, software industrial, librerías PLC/HMI, BOM de sensores y visión, metodología VSM/OEE, relación con OEM.</t>
  </si>
  <si>
    <t>Segmentos de mercado
Cliente ancla: Coca-Cola FEMSA Fontibón.
Usuarios internos: operaciones, mantenimiento, calidad, planeación, supply chain y TI industrial.
Escalable a otras plantas de bebidas y alimentos.</t>
  </si>
  <si>
    <t>Estructura de costos
CAPEX de retrofit, sensores, visión, PLC/HMI, cloud, licencias, ingeniería, commissioning, formación, mantenimiento de software, ciberseguridad y contingencia.</t>
  </si>
  <si>
    <t>Fuentes de ingreso
1) Integración / retrofit inicial
2) Servicios de ingeniería y digital twin
3) Suscripción de soporte analítico / MES / cloud
4) Upselling de mejora continua y mantenimiento predictivo.</t>
  </si>
  <si>
    <t>Canales
Venta directa B2B, presentación técnica, piloto / proof-of-concept, demo digital twin, dashboards ejecutivos, entregables de ahorro, soporte remoto y on-site.</t>
  </si>
  <si>
    <t>Síntesis estratégica</t>
  </si>
  <si>
    <t>La propuesta se alinea con las diapositivas del módulo: segmentación, propuesta de valor, canales, relaciones, ingresos, recursos, actividades, asociaciones y costos.</t>
  </si>
  <si>
    <t>En este caso el modelo de negocio se plantea para ULogix como integrador tecnológico B2B, no para Coca-Cola FEMSA como embotellador.</t>
  </si>
  <si>
    <t>La lógica financiera del archivo evalúa un proyecto brownfield de automatización con ingresos/savings operativos y soporte recurrente.</t>
  </si>
  <si>
    <t>Editable: este lienzo puede adaptarse a una venta por proyecto o a una relación tipo SaaS + soporte.</t>
  </si>
  <si>
    <t>Referencias del modelo — soporte técnico, normativa y fuentes oficiales de precio/producto</t>
  </si>
  <si>
    <t>Criterio: se priorizan páginas oficiales OEM/software. Cuando el proveedor no publica precio abierto, el modelo conserva un benchmark editable y se marca como RFQ/cotización requerida.</t>
  </si>
  <si>
    <t>Elemento</t>
  </si>
  <si>
    <t>Uso en modelo</t>
  </si>
  <si>
    <t>Fuente / URL</t>
  </si>
  <si>
    <t>Precio público visible</t>
  </si>
  <si>
    <t>Tratamiento en modelo</t>
  </si>
  <si>
    <t>Soporte proyecto</t>
  </si>
  <si>
    <t>p&amp;id_retornable.pdf</t>
  </si>
  <si>
    <t>Sensores, instrumentos y secuencia línea retornable</t>
  </si>
  <si>
    <t>Adjunto en conversación: p&amp;id_retornable.pdf</t>
  </si>
  <si>
    <t>No</t>
  </si>
  <si>
    <t>Soporte de ingeniería</t>
  </si>
  <si>
    <t>Se conserva como fuente técnica del proceso, no de precio</t>
  </si>
  <si>
    <t>Taller-Módulo-Gestion-de-Producción-E6.pdf</t>
  </si>
  <si>
    <t>VSM, OEE base y capacidades</t>
  </si>
  <si>
    <t>Adjunto en conversación: Taller-Módulo-Gestion-de-Producción-E6.pdf</t>
  </si>
  <si>
    <t>Documento del equipo</t>
  </si>
  <si>
    <t>Reporte de estudio de mercado.pdf</t>
  </si>
  <si>
    <t>Demanda base Bogotá 2026</t>
  </si>
  <si>
    <t>Adjunto en conversación: Reporte de estudio de mercado.pdf</t>
  </si>
  <si>
    <t>Soporte comercial</t>
  </si>
  <si>
    <t>Base de demanda del caso</t>
  </si>
  <si>
    <t>Presentación avance parcial ULogix _ FEMSA.pdf</t>
  </si>
  <si>
    <t>Propuesta de valor, nube y objetivos de mejora</t>
  </si>
  <si>
    <t>Adjunto en conversación: Presentación avance parcial ULogix _ FEMSA.pdf</t>
  </si>
  <si>
    <t>Soporte estratégico</t>
  </si>
  <si>
    <t>Alinea el caso de automatización</t>
  </si>
  <si>
    <t>ulogix_planificacion_v2.xlsx</t>
  </si>
  <si>
    <t>Cronograma de implementación</t>
  </si>
  <si>
    <t>Adjunto en conversación: ulogix_planificacion_v2.xlsx</t>
  </si>
  <si>
    <t>Soporte PMO</t>
  </si>
  <si>
    <t>Base del perfil de desembolso</t>
  </si>
  <si>
    <t>Equipo oficial</t>
  </si>
  <si>
    <t>KRONES Lavatec / Lavaclassic</t>
  </si>
  <si>
    <t>Lavadora retornable / prewash</t>
  </si>
  <si>
    <t>Benchmark editable + RFQ</t>
  </si>
  <si>
    <t>Fuente oficial OEM</t>
  </si>
  <si>
    <t>Inspección de envase vacío</t>
  </si>
  <si>
    <t>Retrofit de llenado refrescos</t>
  </si>
  <si>
    <t>KRONES Contiroll / labellers</t>
  </si>
  <si>
    <t>Etiquetado y sincronización</t>
  </si>
  <si>
    <t>KRONES Conveyors</t>
  </si>
  <si>
    <t>Conveyors y manejo interno</t>
  </si>
  <si>
    <t>ABB palletizing robots</t>
  </si>
  <si>
    <t>Paletizado / despaletizado</t>
  </si>
  <si>
    <t>Fuente oficial ABB</t>
  </si>
  <si>
    <t>Línea PET / bloc</t>
  </si>
  <si>
    <t>Inspección envase lleno</t>
  </si>
  <si>
    <t>Norland 3 &amp; 5 Gallon</t>
  </si>
  <si>
    <t>Línea de garrafón retornable</t>
  </si>
  <si>
    <t>Krones Hydronomic water treatment</t>
  </si>
  <si>
    <t>Tratamiento de agua / skid</t>
  </si>
  <si>
    <t>Norland Triton450</t>
  </si>
  <si>
    <t>Lavado/llenado/taponado 3–5 gal</t>
  </si>
  <si>
    <t>Automatización oficial</t>
  </si>
  <si>
    <t>Rockwell CompactLogix 5380</t>
  </si>
  <si>
    <t>PLC y control</t>
  </si>
  <si>
    <t>Fuente oficial Rockwell</t>
  </si>
  <si>
    <t>Rockwell PanelView 5000</t>
  </si>
  <si>
    <t>HMI / operación</t>
  </si>
  <si>
    <t>Cognex 2D machine vision</t>
  </si>
  <si>
    <t>Cámaras y visión</t>
  </si>
  <si>
    <t>Fuente oficial Cognex</t>
  </si>
  <si>
    <t>ifm food &amp; beverage automation</t>
  </si>
  <si>
    <t>Sensores de proceso y presencia</t>
  </si>
  <si>
    <t>Fuente oficial ifm</t>
  </si>
  <si>
    <t>Moxa industrial Ethernet switches</t>
  </si>
  <si>
    <t>Fuente oficial Moxa</t>
  </si>
  <si>
    <t>Azure IoT Edge</t>
  </si>
  <si>
    <t>Edge/historian gateway</t>
  </si>
  <si>
    <t>Soporte técnico oficial</t>
  </si>
  <si>
    <t>Fuente oficial Microsoft</t>
  </si>
  <si>
    <t>Software oficial</t>
  </si>
  <si>
    <t>Simulación robótica</t>
  </si>
  <si>
    <t>Benchmark editable + solicitud de licencia</t>
  </si>
  <si>
    <t>ABB publica producto/licencia bajo solicitud</t>
  </si>
  <si>
    <t>Studio 5000 Design Software</t>
  </si>
  <si>
    <t>Programación PLC/HMI</t>
  </si>
  <si>
    <t>Benchmark editable + distribuidor</t>
  </si>
  <si>
    <t>Rockwell no publica precio abierto estándar</t>
  </si>
  <si>
    <t>Azure IoT Hub pricing</t>
  </si>
  <si>
    <t>Cloud y telemetría</t>
  </si>
  <si>
    <t>Sí</t>
  </si>
  <si>
    <t>Referencia directa</t>
  </si>
  <si>
    <t>Precio oficial pay-as-you-go</t>
  </si>
  <si>
    <t>NI LabVIEW select edition</t>
  </si>
  <si>
    <t>Analítica / pruebas</t>
  </si>
  <si>
    <t>Parcial</t>
  </si>
  <si>
    <t>Referencia oficial + validación con distribuidor</t>
  </si>
  <si>
    <t>NI puede requerir cotización por edición/región</t>
  </si>
  <si>
    <t>Referencia directa / editable</t>
  </si>
  <si>
    <t>Página oficial con planes y pricing</t>
  </si>
  <si>
    <t>Siemens Plant Simulation X</t>
  </si>
  <si>
    <t>Ignition pricing</t>
  </si>
  <si>
    <t>SCADA/MES/IIoT</t>
  </si>
  <si>
    <t>Precio oficial abierto</t>
  </si>
  <si>
    <t>Servicios oficiales</t>
  </si>
  <si>
    <t>Krones Complete Solutions</t>
  </si>
  <si>
    <t>Ingeniería / EPC / línea completa</t>
  </si>
  <si>
    <t>Sirve como referencia oficial de alcance</t>
  </si>
  <si>
    <t>Krones Lifecycle Service</t>
  </si>
  <si>
    <t>Puesta en marcha / soporte</t>
  </si>
  <si>
    <t>Servicio oficial OEM</t>
  </si>
  <si>
    <t>Krones Academy</t>
  </si>
  <si>
    <t>Capacitación</t>
  </si>
  <si>
    <t>Entrenamiento oficial OEM</t>
  </si>
  <si>
    <t>Reportes ejecutivos — evaluación financiera ajustada a 5 años (60 meses)</t>
  </si>
  <si>
    <t>Resumen del escenario ajustado brownfield: continuidad operativa, monetización parcial del uplift técnico y ahorro RFQ/reuso.</t>
  </si>
  <si>
    <t>Rentabilidad</t>
  </si>
  <si>
    <t>Inversión y caja</t>
  </si>
  <si>
    <t>Operación y alcance</t>
  </si>
  <si>
    <t>CAPEX total c/ contingencia</t>
  </si>
  <si>
    <t>Horizonte del modelo</t>
  </si>
  <si>
    <t>60 meses</t>
  </si>
  <si>
    <t>CAPEX depreciable</t>
  </si>
  <si>
    <t>Meses operativos</t>
  </si>
  <si>
    <t>Conclusión</t>
  </si>
  <si>
    <t>Nómina mensual operación</t>
  </si>
  <si>
    <t>Stock/cobertura inicial 330 mL</t>
  </si>
  <si>
    <t>Payback simple</t>
  </si>
  <si>
    <t>Costo implementación ULogix</t>
  </si>
  <si>
    <t>Stock/cobertura inicial PET</t>
  </si>
  <si>
    <t>Payback descontado</t>
  </si>
  <si>
    <t>FCF acumulado mes 60</t>
  </si>
  <si>
    <t>Stock/cobertura inicial garrafón</t>
  </si>
  <si>
    <t>Payback simple (años)</t>
  </si>
  <si>
    <t>Uplift monetizado / RFQ</t>
  </si>
  <si>
    <t>Resumen anual (agregado por año calendario del modelo)</t>
  </si>
  <si>
    <t>Métrica</t>
  </si>
  <si>
    <t>Año 1</t>
  </si>
  <si>
    <t>Año 2</t>
  </si>
  <si>
    <t>Año 3</t>
  </si>
  <si>
    <t>Año 4</t>
  </si>
  <si>
    <t>Año 5</t>
  </si>
  <si>
    <t>CAPEX + implementación</t>
  </si>
  <si>
    <t>Acumulado descontado cierre</t>
  </si>
  <si>
    <t>Sensibilidad resumida</t>
  </si>
  <si>
    <t>Impl. ULogix</t>
  </si>
  <si>
    <t>VPN</t>
  </si>
  <si>
    <t>Nota de control: se corrigió el etiquetado de la hoja Demanda_Capacidad para que la lectura por producto coincida con las fórmulas. Las métricas financieras permanecen formuladas y enlazadas.</t>
  </si>
  <si>
    <t>Guía rápida del modelo financiero FEMSA - uso y trazabilidad</t>
  </si>
  <si>
    <t>Evaluar un retrofit brownfield a 5 años (60 meses) con CAPEX, OPEX, depreciación, ER, flujo de caja libre, balance, valoración, sensibilidad y modelo de negocio.</t>
  </si>
  <si>
    <t>Cómo editar</t>
  </si>
  <si>
    <t>1) Cambia supuestos macro y de demanda en 'Supuestos'. 2) Edita salarios/conteos en 'Personal'. 3) Ajusta benchmarks en 'CAPEX_Benchmark' y 'Licencias'. 4) No edites celdas con fórmulas en estados financieros, valoración o reportes.</t>
  </si>
  <si>
    <t>Hojas clave</t>
  </si>
  <si>
    <t>Supuestos = entradas generales; Demanda_Capacidad = mix/capacidad/cobertura; CAPEX_Benchmark = inversión; Licencias = software; Personal = nómina; ER_Proyecto = estado de resultados; Flujo_Caja = FCF; Balance = balance simplificado; Valoracion y Sensibilidad = VPN/TIR/payback.</t>
  </si>
  <si>
    <t>Lógica de cálculo</t>
  </si>
  <si>
    <t>Demanda -&gt; producción objetivo -&gt; capacidad -&gt; ventas -&gt; ingresos -&gt; costos -&gt; EBITDA -&gt; EBIT -&gt; impuestos -&gt; FCF -&gt; VPN/TIR/payback.</t>
  </si>
  <si>
    <t>Supuestos estructurales</t>
  </si>
  <si>
    <t>3 turnos/día, 4 meses preoperativos, OEE 78,67% -&gt; 85, stock de seguridad 3%, servicio base 90% y proyecto 99%, monetización del uplift 31%, RFQ/reuso 97%.</t>
  </si>
  <si>
    <t>Interpretación</t>
  </si>
  <si>
    <t>El caso base del archivo es apenas viable: VPN positivo pequeño, TIR ligeramente superior a la TMAR y payback simple ~43 meses; el descontado cierra en el mes 60.</t>
  </si>
  <si>
    <t>Nota sobre precios</t>
  </si>
  <si>
    <t>Varios OEM industriales y licencias enterprise no publican precio abierto; por eso el archivo usa benchmark editable + página oficial del producto para solicitar RFQ.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</si>
</sst>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9">
    <numFmt numFmtId="164" formatCode="yyyy-mm-dd"/>
    <numFmt numFmtId="165" formatCode="#,##0;[Red](#,##0);-"/>
    <numFmt numFmtId="166" formatCode="0.0%;[Red](0.0%);-"/>
    <numFmt numFmtId="167" formatCode="0.0x"/>
    <numFmt numFmtId="168" formatCode="yyyy-mm"/>
    <numFmt numFmtId="169" formatCode="#,##0.00;[Red](#,##0.00);-"/>
    <numFmt numFmtId="170" formatCode="$#,##0"/>
    <numFmt numFmtId="171" formatCode="0 &quot;meses&quot;"/>
    <numFmt numFmtId="172" formatCode="0.00x"/>
  </numFmts>
  <fonts count="19">
    <font>
      <sz val="11.0"/>
      <color rgb="FF000000"/>
      <name val="Carlito"/>
      <scheme val="minor"/>
    </font>
    <font>
      <b/>
      <sz val="11.0"/>
      <color rgb="FFFFFFFF"/>
      <name val="Carlito"/>
    </font>
    <font>
      <b/>
      <sz val="11.0"/>
      <color theme="1"/>
      <name val="Carlito"/>
    </font>
    <font>
      <sz val="11.0"/>
      <color theme="1"/>
      <name val="Carlito"/>
    </font>
    <font>
      <b/>
      <sz val="11.0"/>
      <color rgb="FF000000"/>
      <name val="Carlito"/>
    </font>
    <font>
      <sz val="11.0"/>
      <color rgb="FF0000FF"/>
      <name val="Carlito"/>
    </font>
    <font>
      <sz val="11.0"/>
      <color rgb="FF000000"/>
      <name val="Carlito"/>
    </font>
    <font>
      <color theme="1"/>
      <name val="Carlito"/>
      <scheme val="minor"/>
    </font>
    <font>
      <sz val="11.0"/>
      <color rgb="FF008000"/>
      <name val="Carlito"/>
    </font>
    <font>
      <b/>
      <sz val="11.0"/>
      <color rgb="FF0000FF"/>
      <name val="Carlito"/>
    </font>
    <font>
      <b/>
      <sz val="13.0"/>
      <color rgb="FFFFFFFF"/>
      <name val="Carlito"/>
    </font>
    <font>
      <i/>
      <sz val="11.0"/>
      <color theme="1"/>
      <name val="Carlito"/>
    </font>
    <font>
      <b/>
      <sz val="14.0"/>
      <color rgb="FFFFFFFF"/>
      <name val="Carlito"/>
    </font>
    <font>
      <i/>
      <sz val="11.0"/>
      <color rgb="FF1F1F1F"/>
      <name val="Carlito"/>
    </font>
    <font>
      <b/>
      <sz val="10.0"/>
      <color theme="1"/>
      <name val="Carlito"/>
    </font>
    <font>
      <sz val="10.0"/>
      <color theme="1"/>
      <name val="Carlito"/>
    </font>
    <font>
      <sz val="10.0"/>
      <color rgb="FF1F1F1F"/>
      <name val="Carlito"/>
    </font>
    <font>
      <sz val="10.0"/>
      <color rgb="FF9C0006"/>
      <name val="Carlito"/>
    </font>
    <font>
      <b/>
      <sz val="14.0"/>
      <color theme="1"/>
      <name val="Carlito"/>
    </font>
  </fonts>
  <fills count="15">
    <fill>
      <patternFill patternType="none"/>
    </fill>
    <fill>
      <patternFill patternType="lightGray"/>
    </fill>
    <fill>
      <patternFill patternType="solid">
        <fgColor rgb="FF0B3B6E"/>
        <bgColor rgb="FF0B3B6E"/>
      </patternFill>
    </fill>
    <fill>
      <patternFill patternType="solid">
        <fgColor rgb="FFD9EAF7"/>
        <bgColor rgb="FFD9EAF7"/>
      </patternFill>
    </fill>
    <fill>
      <patternFill patternType="solid">
        <fgColor rgb="FFFFF2CC"/>
        <bgColor rgb="FFFFF2CC"/>
      </patternFill>
    </fill>
    <fill>
      <patternFill patternType="solid">
        <fgColor rgb="FFE2F0D9"/>
        <bgColor rgb="FFE2F0D9"/>
      </patternFill>
    </fill>
    <fill>
      <patternFill patternType="solid">
        <fgColor rgb="FFF4F4F4"/>
        <bgColor rgb="FFF4F4F4"/>
      </patternFill>
    </fill>
    <fill>
      <patternFill patternType="solid">
        <fgColor rgb="FFFCE4D6"/>
        <bgColor rgb="FFFCE4D6"/>
      </patternFill>
    </fill>
    <fill>
      <patternFill patternType="solid">
        <fgColor rgb="FFBDD7EE"/>
        <bgColor rgb="FFBDD7EE"/>
      </patternFill>
    </fill>
    <fill>
      <patternFill patternType="solid">
        <fgColor rgb="FF1F4E78"/>
        <bgColor rgb="FF1F4E78"/>
      </patternFill>
    </fill>
    <fill>
      <patternFill patternType="solid">
        <fgColor rgb="FFEAF3F8"/>
        <bgColor rgb="FFEAF3F8"/>
      </patternFill>
    </fill>
    <fill>
      <patternFill patternType="solid">
        <fgColor rgb="FFF7FBFF"/>
        <bgColor rgb="FFF7FBFF"/>
      </patternFill>
    </fill>
    <fill>
      <patternFill patternType="solid">
        <fgColor rgb="FF2F75B5"/>
        <bgColor rgb="FF2F75B5"/>
      </patternFill>
    </fill>
    <fill>
      <patternFill patternType="solid">
        <fgColor rgb="FFFFC7CE"/>
        <bgColor rgb="FFFFC7CE"/>
      </patternFill>
    </fill>
    <fill>
      <patternFill patternType="solid">
        <fgColor rgb="FFF2F2F2"/>
        <bgColor rgb="FFF2F2F2"/>
      </patternFill>
    </fill>
  </fills>
  <borders count="1">
    <border/>
  </borders>
  <cellStyleXfs count="1">
    <xf borderId="0" fillId="0" fontId="0" numFmtId="0" applyAlignment="1" applyFont="1"/>
  </cellStyleXfs>
  <cellXfs count="83">
    <xf borderId="0" fillId="0" fontId="0" numFmtId="0" xfId="0" applyAlignment="1" applyFont="1">
      <alignment readingOrder="0" shrinkToFit="0" vertical="bottom" wrapText="0"/>
    </xf>
    <xf borderId="0" fillId="2" fontId="1" numFmtId="0" xfId="0" applyAlignment="1" applyFill="1" applyFont="1">
      <alignment shrinkToFit="0" wrapText="1"/>
    </xf>
    <xf borderId="0" fillId="3" fontId="2" numFmtId="0" xfId="0" applyAlignment="1" applyFill="1" applyFont="1">
      <alignment shrinkToFit="0" wrapText="1"/>
    </xf>
    <xf borderId="0" fillId="0" fontId="3" numFmtId="0" xfId="0" applyAlignment="1" applyFont="1">
      <alignment shrinkToFit="0" wrapText="1"/>
    </xf>
    <xf borderId="0" fillId="3" fontId="2" numFmtId="0" xfId="0" applyFont="1"/>
    <xf borderId="0" fillId="2" fontId="1" numFmtId="0" xfId="0" applyAlignment="1" applyFont="1">
      <alignment horizontal="left" vertical="center"/>
    </xf>
    <xf borderId="0" fillId="3" fontId="4" numFmtId="0" xfId="0" applyFont="1"/>
    <xf borderId="0" fillId="0" fontId="3" numFmtId="0" xfId="0" applyFont="1"/>
    <xf borderId="0" fillId="4" fontId="5" numFmtId="164" xfId="0" applyAlignment="1" applyFill="1" applyFont="1" applyNumberFormat="1">
      <alignment shrinkToFit="0" wrapText="1"/>
    </xf>
    <xf borderId="0" fillId="4" fontId="5" numFmtId="165" xfId="0" applyAlignment="1" applyFont="1" applyNumberFormat="1">
      <alignment shrinkToFit="0" wrapText="1"/>
    </xf>
    <xf borderId="0" fillId="4" fontId="5" numFmtId="0" xfId="0" applyAlignment="1" applyFont="1">
      <alignment shrinkToFit="0" wrapText="1"/>
    </xf>
    <xf borderId="0" fillId="4" fontId="5" numFmtId="166" xfId="0" applyAlignment="1" applyFont="1" applyNumberFormat="1">
      <alignment shrinkToFit="0" wrapText="1"/>
    </xf>
    <xf borderId="0" fillId="5" fontId="6" numFmtId="166" xfId="0" applyAlignment="1" applyFill="1" applyFont="1" applyNumberFormat="1">
      <alignment shrinkToFit="0" wrapText="1"/>
    </xf>
    <xf borderId="0" fillId="5" fontId="6" numFmtId="165" xfId="0" applyAlignment="1" applyFont="1" applyNumberFormat="1">
      <alignment shrinkToFit="0" wrapText="1"/>
    </xf>
    <xf borderId="0" fillId="4" fontId="5" numFmtId="10" xfId="0" applyAlignment="1" applyFont="1" applyNumberFormat="1">
      <alignment readingOrder="0" shrinkToFit="0" wrapText="1"/>
    </xf>
    <xf borderId="0" fillId="4" fontId="5" numFmtId="9" xfId="0" applyAlignment="1" applyFont="1" applyNumberFormat="1">
      <alignment readingOrder="0" shrinkToFit="0" wrapText="1"/>
    </xf>
    <xf borderId="0" fillId="4" fontId="5" numFmtId="10" xfId="0" applyAlignment="1" applyFont="1" applyNumberFormat="1">
      <alignment shrinkToFit="0" wrapText="1"/>
    </xf>
    <xf borderId="0" fillId="4" fontId="5" numFmtId="4" xfId="0" applyAlignment="1" applyFont="1" applyNumberFormat="1">
      <alignment readingOrder="0" shrinkToFit="0" wrapText="1"/>
    </xf>
    <xf borderId="0" fillId="6" fontId="3" numFmtId="0" xfId="0" applyAlignment="1" applyFill="1" applyFont="1">
      <alignment shrinkToFit="0" wrapText="1"/>
    </xf>
    <xf borderId="0" fillId="7" fontId="2" numFmtId="0" xfId="0" applyFill="1" applyFont="1"/>
    <xf borderId="0" fillId="8" fontId="2" numFmtId="0" xfId="0" applyFill="1" applyFont="1"/>
    <xf borderId="0" fillId="8" fontId="2" numFmtId="0" xfId="0" applyAlignment="1" applyFont="1">
      <alignment shrinkToFit="0" wrapText="1"/>
    </xf>
    <xf borderId="0" fillId="0" fontId="7" numFmtId="0" xfId="0" applyFont="1"/>
    <xf borderId="0" fillId="4" fontId="5" numFmtId="2" xfId="0" applyAlignment="1" applyFont="1" applyNumberFormat="1">
      <alignment shrinkToFit="0" wrapText="1"/>
    </xf>
    <xf borderId="0" fillId="4" fontId="5" numFmtId="166" xfId="0" applyFont="1" applyNumberFormat="1"/>
    <xf borderId="0" fillId="2" fontId="1" numFmtId="0" xfId="0" applyFont="1"/>
    <xf borderId="0" fillId="0" fontId="3" numFmtId="2" xfId="0" applyFont="1" applyNumberFormat="1"/>
    <xf borderId="0" fillId="0" fontId="3" numFmtId="166" xfId="0" applyFont="1" applyNumberFormat="1"/>
    <xf borderId="0" fillId="0" fontId="3" numFmtId="165" xfId="0" applyFont="1" applyNumberFormat="1"/>
    <xf borderId="0" fillId="0" fontId="3" numFmtId="167" xfId="0" applyFont="1" applyNumberFormat="1"/>
    <xf borderId="0" fillId="0" fontId="3" numFmtId="168" xfId="0" applyFont="1" applyNumberFormat="1"/>
    <xf borderId="0" fillId="0" fontId="6" numFmtId="165" xfId="0" applyAlignment="1" applyFont="1" applyNumberFormat="1">
      <alignment shrinkToFit="0" wrapText="1"/>
    </xf>
    <xf borderId="0" fillId="0" fontId="3" numFmtId="1" xfId="0" applyAlignment="1" applyFont="1" applyNumberFormat="1">
      <alignment shrinkToFit="0" wrapText="1"/>
    </xf>
    <xf borderId="0" fillId="0" fontId="8" numFmtId="0" xfId="0" applyAlignment="1" applyFont="1">
      <alignment shrinkToFit="0" wrapText="1"/>
    </xf>
    <xf borderId="0" fillId="4" fontId="5" numFmtId="0" xfId="0" applyFont="1"/>
    <xf borderId="0" fillId="4" fontId="5" numFmtId="169" xfId="0" applyAlignment="1" applyFont="1" applyNumberFormat="1">
      <alignment shrinkToFit="0" wrapText="1"/>
    </xf>
    <xf borderId="0" fillId="0" fontId="3" numFmtId="165" xfId="0" applyAlignment="1" applyFont="1" applyNumberFormat="1">
      <alignment shrinkToFit="0" wrapText="1"/>
    </xf>
    <xf borderId="0" fillId="4" fontId="5" numFmtId="1" xfId="0" applyAlignment="1" applyFont="1" applyNumberFormat="1">
      <alignment shrinkToFit="0" wrapText="1"/>
    </xf>
    <xf borderId="0" fillId="4" fontId="5" numFmtId="165" xfId="0" applyAlignment="1" applyFont="1" applyNumberFormat="1">
      <alignment readingOrder="0" shrinkToFit="0" wrapText="1"/>
    </xf>
    <xf borderId="0" fillId="0" fontId="6" numFmtId="0" xfId="0" applyAlignment="1" applyFont="1">
      <alignment shrinkToFit="0" wrapText="1"/>
    </xf>
    <xf borderId="0" fillId="4" fontId="6" numFmtId="0" xfId="0" applyAlignment="1" applyFont="1">
      <alignment shrinkToFit="0" wrapText="1"/>
    </xf>
    <xf borderId="0" fillId="5" fontId="2" numFmtId="0" xfId="0" applyAlignment="1" applyFont="1">
      <alignment shrinkToFit="0" wrapText="1"/>
    </xf>
    <xf borderId="0" fillId="0" fontId="3" numFmtId="166" xfId="0" applyAlignment="1" applyFont="1" applyNumberFormat="1">
      <alignment shrinkToFit="0" wrapText="1"/>
    </xf>
    <xf borderId="0" fillId="0" fontId="3" numFmtId="169" xfId="0" applyAlignment="1" applyFont="1" applyNumberFormat="1">
      <alignment shrinkToFit="0" wrapText="1"/>
    </xf>
    <xf borderId="0" fillId="7" fontId="2" numFmtId="0" xfId="0" applyAlignment="1" applyFont="1">
      <alignment shrinkToFit="0" wrapText="1"/>
    </xf>
    <xf borderId="0" fillId="4" fontId="9" numFmtId="165" xfId="0" applyAlignment="1" applyFont="1" applyNumberFormat="1">
      <alignment shrinkToFit="0" wrapText="1"/>
    </xf>
    <xf borderId="0" fillId="7" fontId="2" numFmtId="166" xfId="0" applyAlignment="1" applyFont="1" applyNumberFormat="1">
      <alignment shrinkToFit="0" wrapText="1"/>
    </xf>
    <xf borderId="0" fillId="4" fontId="9" numFmtId="0" xfId="0" applyAlignment="1" applyFont="1">
      <alignment shrinkToFit="0" wrapText="1"/>
    </xf>
    <xf borderId="0" fillId="5" fontId="2" numFmtId="166" xfId="0" applyAlignment="1" applyFont="1" applyNumberFormat="1">
      <alignment shrinkToFit="0" wrapText="1"/>
    </xf>
    <xf borderId="0" fillId="5" fontId="2" numFmtId="169" xfId="0" applyAlignment="1" applyFont="1" applyNumberFormat="1">
      <alignment shrinkToFit="0" wrapText="1"/>
    </xf>
    <xf borderId="0" fillId="7" fontId="2" numFmtId="165" xfId="0" applyAlignment="1" applyFont="1" applyNumberFormat="1">
      <alignment shrinkToFit="0" wrapText="1"/>
    </xf>
    <xf borderId="0" fillId="6" fontId="2" numFmtId="0" xfId="0" applyFont="1"/>
    <xf borderId="0" fillId="0" fontId="7" numFmtId="165" xfId="0" applyFont="1" applyNumberFormat="1"/>
    <xf borderId="0" fillId="5" fontId="2" numFmtId="0" xfId="0" applyFont="1"/>
    <xf borderId="0" fillId="0" fontId="8" numFmtId="0" xfId="0" applyFont="1"/>
    <xf borderId="0" fillId="6" fontId="3" numFmtId="0" xfId="0" applyAlignment="1" applyFont="1">
      <alignment shrinkToFit="0" vertical="top" wrapText="1"/>
    </xf>
    <xf borderId="0" fillId="9" fontId="10" numFmtId="0" xfId="0" applyAlignment="1" applyFill="1" applyFont="1">
      <alignment horizontal="center"/>
    </xf>
    <xf borderId="0" fillId="10" fontId="11" numFmtId="0" xfId="0" applyAlignment="1" applyFill="1" applyFont="1">
      <alignment shrinkToFit="0" wrapText="1"/>
    </xf>
    <xf borderId="0" fillId="3" fontId="2" numFmtId="0" xfId="0" applyAlignment="1" applyFont="1">
      <alignment horizontal="center" shrinkToFit="0" wrapText="1"/>
    </xf>
    <xf borderId="0" fillId="11" fontId="2" numFmtId="0" xfId="0" applyAlignment="1" applyFill="1" applyFont="1">
      <alignment shrinkToFit="0" wrapText="1"/>
    </xf>
    <xf borderId="0" fillId="11" fontId="3" numFmtId="0" xfId="0" applyAlignment="1" applyFont="1">
      <alignment shrinkToFit="0" wrapText="1"/>
    </xf>
    <xf borderId="0" fillId="11" fontId="8" numFmtId="0" xfId="0" applyAlignment="1" applyFont="1">
      <alignment shrinkToFit="0" wrapText="1"/>
    </xf>
    <xf borderId="0" fillId="0" fontId="2" numFmtId="0" xfId="0" applyAlignment="1" applyFont="1">
      <alignment shrinkToFit="0" wrapText="1"/>
    </xf>
    <xf borderId="0" fillId="9" fontId="12" numFmtId="0" xfId="0" applyAlignment="1" applyFont="1">
      <alignment horizontal="center" vertical="center"/>
    </xf>
    <xf borderId="0" fillId="10" fontId="13" numFmtId="0" xfId="0" applyAlignment="1" applyFont="1">
      <alignment shrinkToFit="0" wrapText="1"/>
    </xf>
    <xf borderId="0" fillId="12" fontId="1" numFmtId="0" xfId="0" applyAlignment="1" applyFill="1" applyFont="1">
      <alignment horizontal="center"/>
    </xf>
    <xf borderId="0" fillId="11" fontId="14" numFmtId="0" xfId="0" applyAlignment="1" applyFont="1">
      <alignment shrinkToFit="0" wrapText="1"/>
    </xf>
    <xf borderId="0" fillId="11" fontId="15" numFmtId="10" xfId="0" applyAlignment="1" applyFont="1" applyNumberFormat="1">
      <alignment shrinkToFit="0" wrapText="1"/>
    </xf>
    <xf borderId="0" fillId="5" fontId="16" numFmtId="170" xfId="0" applyAlignment="1" applyFont="1" applyNumberFormat="1">
      <alignment shrinkToFit="0" wrapText="1"/>
    </xf>
    <xf borderId="0" fillId="11" fontId="15" numFmtId="0" xfId="0" applyAlignment="1" applyFont="1">
      <alignment shrinkToFit="0" wrapText="1"/>
    </xf>
    <xf borderId="0" fillId="11" fontId="15" numFmtId="171" xfId="0" applyAlignment="1" applyFont="1" applyNumberFormat="1">
      <alignment shrinkToFit="0" wrapText="1"/>
    </xf>
    <xf borderId="0" fillId="11" fontId="15" numFmtId="170" xfId="0" applyAlignment="1" applyFont="1" applyNumberFormat="1">
      <alignment shrinkToFit="0" wrapText="1"/>
    </xf>
    <xf borderId="0" fillId="11" fontId="15" numFmtId="4" xfId="0" applyAlignment="1" applyFont="1" applyNumberFormat="1">
      <alignment shrinkToFit="0" wrapText="1"/>
    </xf>
    <xf borderId="0" fillId="11" fontId="15" numFmtId="172" xfId="0" applyAlignment="1" applyFont="1" applyNumberFormat="1">
      <alignment shrinkToFit="0" wrapText="1"/>
    </xf>
    <xf borderId="0" fillId="13" fontId="17" numFmtId="170" xfId="0" applyAlignment="1" applyFill="1" applyFont="1" applyNumberFormat="1">
      <alignment shrinkToFit="0" wrapText="1"/>
    </xf>
    <xf borderId="0" fillId="11" fontId="3" numFmtId="170" xfId="0" applyAlignment="1" applyFont="1" applyNumberFormat="1">
      <alignment shrinkToFit="0" wrapText="1"/>
    </xf>
    <xf borderId="0" fillId="14" fontId="2" numFmtId="0" xfId="0" applyFill="1" applyFont="1"/>
    <xf borderId="0" fillId="14" fontId="3" numFmtId="170" xfId="0" applyFont="1" applyNumberFormat="1"/>
    <xf borderId="0" fillId="11" fontId="3" numFmtId="10" xfId="0" applyAlignment="1" applyFont="1" applyNumberFormat="1">
      <alignment shrinkToFit="0" wrapText="1"/>
    </xf>
    <xf borderId="0" fillId="4" fontId="11" numFmtId="0" xfId="0" applyAlignment="1" applyFont="1">
      <alignment shrinkToFit="0" wrapText="1"/>
    </xf>
    <xf borderId="0" fillId="0" fontId="7" numFmtId="170" xfId="0" applyFont="1" applyNumberFormat="1"/>
    <xf borderId="0" fillId="0" fontId="18" numFmtId="0" xfId="0" applyAlignment="1" applyFont="1">
      <alignment shrinkToFit="0" wrapText="1"/>
    </xf>
    <xf borderId="0" fillId="0" fontId="2" numFmtId="0" xfId="0" applyFont="1"/>
  </cellXfs>
  <cellStyles count="1">
    <cellStyle xfId="0" name="Normal" builtinId="0"/>
  </cellStyles>
  <dxfs count="2">
    <dxf>
      <font>
        <color rgb="FF9C0006"/>
      </font>
      <fill>
        <patternFill patternType="solid">
          <fgColor rgb="FFFFC7CE"/>
          <bgColor rgb="FFFFC7CE"/>
        </patternFill>
      </fill>
      <border/>
    </dxf>
    <dxf>
      <font>
        <color rgb="FF006100"/>
      </font>
      <fill>
        <patternFill patternType="none"/>
      </fill>
      <border/>
    </dxf>
  </dxfs>
</styleSheet>
</file>

<file path=xl/_rels/workbook.xml.rels><?xml version="1.0" encoding="UTF-8" standalone="yes"?><Relationships xmlns="http://schemas.openxmlformats.org/package/2006/relationships"><Relationship Id="rId20" Type="http://schemas.openxmlformats.org/officeDocument/2006/relationships/worksheet" Target="worksheets/sheet17.xml"/><Relationship Id="rId11" Type="http://schemas.openxmlformats.org/officeDocument/2006/relationships/worksheet" Target="worksheets/sheet8.xml"/><Relationship Id="rId22" Type="http://customschemas.google.com/relationships/workbookmetadata" Target="metadata"/><Relationship Id="rId10" Type="http://schemas.openxmlformats.org/officeDocument/2006/relationships/worksheet" Target="worksheets/sheet7.xml"/><Relationship Id="rId21" Type="http://schemas.openxmlformats.org/officeDocument/2006/relationships/worksheet" Target="worksheets/sheet18.xml"/><Relationship Id="rId13" Type="http://schemas.openxmlformats.org/officeDocument/2006/relationships/worksheet" Target="worksheets/sheet10.xml"/><Relationship Id="rId12" Type="http://schemas.openxmlformats.org/officeDocument/2006/relationships/worksheet" Target="worksheets/sheet9.xml"/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9" Type="http://schemas.openxmlformats.org/officeDocument/2006/relationships/worksheet" Target="worksheets/sheet6.xml"/><Relationship Id="rId15" Type="http://schemas.openxmlformats.org/officeDocument/2006/relationships/worksheet" Target="worksheets/sheet12.xml"/><Relationship Id="rId14" Type="http://schemas.openxmlformats.org/officeDocument/2006/relationships/worksheet" Target="worksheets/sheet11.xml"/><Relationship Id="rId17" Type="http://schemas.openxmlformats.org/officeDocument/2006/relationships/worksheet" Target="worksheets/sheet14.xml"/><Relationship Id="rId16" Type="http://schemas.openxmlformats.org/officeDocument/2006/relationships/worksheet" Target="worksheets/sheet13.xml"/><Relationship Id="rId5" Type="http://schemas.openxmlformats.org/officeDocument/2006/relationships/worksheet" Target="worksheets/sheet2.xml"/><Relationship Id="rId19" Type="http://schemas.openxmlformats.org/officeDocument/2006/relationships/worksheet" Target="worksheets/sheet16.xml"/><Relationship Id="rId6" Type="http://schemas.openxmlformats.org/officeDocument/2006/relationships/worksheet" Target="worksheets/sheet3.xml"/><Relationship Id="rId18" Type="http://schemas.openxmlformats.org/officeDocument/2006/relationships/worksheet" Target="worksheets/sheet15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/Relationships>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b="0">
                <a:solidFill>
                  <a:srgbClr val="757575"/>
                </a:solidFill>
                <a:latin typeface="+mn-lt"/>
              </a:rPr>
              <a:t>Resumen anual de resultados y caja</a:t>
            </a:r>
          </a:p>
        </c:rich>
      </c:tx>
      <c:overlay val="0"/>
    </c:title>
    <c:plotArea>
      <c:layout/>
      <c:barChart>
        <c:barDir val="col"/>
        <c:ser>
          <c:idx val="0"/>
          <c:order val="0"/>
          <c:tx>
            <c:v>Año 1</c:v>
          </c:tx>
          <c:spPr>
            <a:solidFill>
              <a:schemeClr val="accent1"/>
            </a:solidFill>
            <a:ln cmpd="sng">
              <a:solidFill>
                <a:srgbClr val="000000"/>
              </a:solidFill>
            </a:ln>
          </c:spPr>
          <c:cat>
            <c:strRef>
              <c:f>Reportes!$A$16:$A$21</c:f>
            </c:strRef>
          </c:cat>
          <c:val>
            <c:numRef>
              <c:f>Reportes!$B$16:$B$21</c:f>
              <c:numCache/>
            </c:numRef>
          </c:val>
        </c:ser>
        <c:ser>
          <c:idx val="1"/>
          <c:order val="1"/>
          <c:tx>
            <c:v>Año 2</c:v>
          </c:tx>
          <c:spPr>
            <a:solidFill>
              <a:schemeClr val="accent2"/>
            </a:solidFill>
            <a:ln cmpd="sng">
              <a:solidFill>
                <a:srgbClr val="000000"/>
              </a:solidFill>
            </a:ln>
          </c:spPr>
          <c:cat>
            <c:strRef>
              <c:f>Reportes!$A$16:$A$21</c:f>
            </c:strRef>
          </c:cat>
          <c:val>
            <c:numRef>
              <c:f>Reportes!$C$16:$C$21</c:f>
              <c:numCache/>
            </c:numRef>
          </c:val>
        </c:ser>
        <c:ser>
          <c:idx val="2"/>
          <c:order val="2"/>
          <c:tx>
            <c:v>Año 3</c:v>
          </c:tx>
          <c:spPr>
            <a:solidFill>
              <a:schemeClr val="accent3"/>
            </a:solidFill>
            <a:ln cmpd="sng">
              <a:solidFill>
                <a:srgbClr val="000000"/>
              </a:solidFill>
            </a:ln>
          </c:spPr>
          <c:cat>
            <c:strRef>
              <c:f>Reportes!$A$16:$A$21</c:f>
            </c:strRef>
          </c:cat>
          <c:val>
            <c:numRef>
              <c:f>Reportes!$D$16:$D$21</c:f>
              <c:numCache/>
            </c:numRef>
          </c:val>
        </c:ser>
        <c:ser>
          <c:idx val="3"/>
          <c:order val="3"/>
          <c:tx>
            <c:v>Año 4</c:v>
          </c:tx>
          <c:spPr>
            <a:solidFill>
              <a:schemeClr val="accent4"/>
            </a:solidFill>
            <a:ln cmpd="sng">
              <a:solidFill>
                <a:srgbClr val="000000"/>
              </a:solidFill>
            </a:ln>
          </c:spPr>
          <c:cat>
            <c:strRef>
              <c:f>Reportes!$A$16:$A$21</c:f>
            </c:strRef>
          </c:cat>
          <c:val>
            <c:numRef>
              <c:f>Reportes!$E$16:$E$21</c:f>
              <c:numCache/>
            </c:numRef>
          </c:val>
        </c:ser>
        <c:ser>
          <c:idx val="4"/>
          <c:order val="4"/>
          <c:tx>
            <c:v>Año 5</c:v>
          </c:tx>
          <c:spPr>
            <a:solidFill>
              <a:schemeClr val="accent5"/>
            </a:solidFill>
            <a:ln cmpd="sng">
              <a:solidFill>
                <a:srgbClr val="000000"/>
              </a:solidFill>
            </a:ln>
          </c:spPr>
          <c:cat>
            <c:strRef>
              <c:f>Reportes!$A$16:$A$21</c:f>
            </c:strRef>
          </c:cat>
          <c:val>
            <c:numRef>
              <c:f>Reportes!$F$16:$F$21</c:f>
              <c:numCache/>
            </c:numRef>
          </c:val>
        </c:ser>
        <c:axId val="1208999099"/>
        <c:axId val="1014127202"/>
      </c:barChart>
      <c:catAx>
        <c:axId val="120899909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" sourceLinked="0"/>
        <c:majorTickMark val="none"/>
        <c:minorTickMark val="none"/>
        <c:spPr/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</a:p>
        </c:txPr>
        <c:crossAx val="1014127202"/>
      </c:catAx>
      <c:valAx>
        <c:axId val="1014127202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" sourceLinked="0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</a:p>
        </c:txPr>
        <c:crossAx val="1208999099"/>
      </c:valAx>
    </c:plotArea>
    <c:legend>
      <c:legendPos val="b"/>
      <c:overlay val="0"/>
      <c:txPr>
        <a:bodyPr/>
        <a:lstStyle/>
        <a:p>
          <a:pPr lvl="0">
            <a:defRPr b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2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lineChart>
        <c:varyColors val="0"/>
        <c:ser>
          <c:idx val="0"/>
          <c:order val="0"/>
          <c:tx>
            <c:v>Acumulado descontado cierre</c:v>
          </c:tx>
          <c:spPr>
            <a:ln cmpd="sng">
              <a:solidFill>
                <a:srgbClr val="156082"/>
              </a:solidFill>
            </a:ln>
          </c:spPr>
          <c:marker>
            <c:symbol val="none"/>
          </c:marker>
          <c:cat>
            <c:strRef>
              <c:f>Reportes!$M$46:$Q$46</c:f>
            </c:strRef>
          </c:cat>
          <c:val>
            <c:numRef>
              <c:f>Reportes!$M$47:$Q$47</c:f>
              <c:numCache/>
            </c:numRef>
          </c:val>
          <c:smooth val="0"/>
        </c:ser>
        <c:axId val="1810869688"/>
        <c:axId val="1184417445"/>
      </c:lineChart>
      <c:catAx>
        <c:axId val="18108696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" sourceLinked="0"/>
        <c:majorTickMark val="none"/>
        <c:minorTickMark val="none"/>
        <c:spPr/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</a:p>
        </c:txPr>
        <c:crossAx val="1184417445"/>
      </c:catAx>
      <c:valAx>
        <c:axId val="1184417445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" sourceLinked="0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</a:p>
        </c:txPr>
        <c:crossAx val="1810869688"/>
      </c:valAx>
    </c:plotArea>
    <c:legend>
      <c:legendPos val="b"/>
      <c:overlay val="0"/>
      <c:txPr>
        <a:bodyPr/>
        <a:lstStyle/>
        <a:p>
          <a:pPr lvl="0">
            <a:defRPr b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drawings/_rels/drawing17.xml.rels><?xml version="1.0" encoding="UTF-8" standalone="yes"?><Relationships xmlns="http://schemas.openxmlformats.org/package/2006/relationships"><Relationship Id="rId1" Type="http://schemas.openxmlformats.org/officeDocument/2006/relationships/chart" Target="../charts/chart1.xml"/><Relationship Id="rId2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11</xdr:col>
      <xdr:colOff>457200</xdr:colOff>
      <xdr:row>1</xdr:row>
      <xdr:rowOff>28575</xdr:rowOff>
    </xdr:from>
    <xdr:ext cx="11839575" cy="3629025"/>
    <xdr:graphicFrame>
      <xdr:nvGraphicFramePr>
        <xdr:cNvPr id="731029191" name="Chart 1" title="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  <xdr:oneCellAnchor>
    <xdr:from>
      <xdr:col>11</xdr:col>
      <xdr:colOff>447675</xdr:colOff>
      <xdr:row>16</xdr:row>
      <xdr:rowOff>114300</xdr:rowOff>
    </xdr:from>
    <xdr:ext cx="11839575" cy="3800475"/>
    <xdr:graphicFrame>
      <xdr:nvGraphicFramePr>
        <xdr:cNvPr id="401171545" name="Chart 2" title="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2"/>
        </a:graphicData>
      </a:graphic>
    </xdr:graphicFrame>
    <xdr:clientData fLocksWithSheet="0"/>
  </xdr:oneCellAnchor>
</xdr:wsDr>
</file>

<file path=xl/drawings/drawing1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Carlito"/>
        <a:ea typeface="Carlito"/>
        <a:cs typeface="Carlito"/>
      </a:majorFont>
      <a:minorFont>
        <a:latin typeface="Carlito"/>
        <a:ea typeface="Carlito"/>
        <a:cs typeface="Carlito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8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22.0"/>
    <col customWidth="1" min="2" max="2" width="48.0"/>
    <col customWidth="1" min="3" max="4" width="12.0"/>
    <col customWidth="1" min="5" max="5" width="8.63"/>
    <col customWidth="1" min="6" max="8" width="12.0"/>
    <col customWidth="1" min="9" max="26" width="8.63"/>
  </cols>
  <sheetData>
    <row r="1" ht="27.75" customHeight="1">
      <c r="A1" s="1" t="s">
        <v>0</v>
      </c>
    </row>
    <row r="2" ht="27.75" customHeight="1"/>
    <row r="4">
      <c r="A4" s="2" t="s">
        <v>1</v>
      </c>
      <c r="B4" s="3" t="s">
        <v>2</v>
      </c>
      <c r="C4" s="3"/>
      <c r="D4" s="3"/>
      <c r="E4" s="3"/>
      <c r="F4" s="3"/>
      <c r="G4" s="3"/>
      <c r="H4" s="3"/>
    </row>
    <row r="5">
      <c r="A5" s="2" t="s">
        <v>3</v>
      </c>
      <c r="B5" s="3" t="s">
        <v>4</v>
      </c>
      <c r="C5" s="3"/>
      <c r="D5" s="3"/>
      <c r="E5" s="3"/>
      <c r="F5" s="3"/>
      <c r="G5" s="3"/>
      <c r="H5" s="3"/>
    </row>
    <row r="6">
      <c r="A6" s="2" t="s">
        <v>5</v>
      </c>
      <c r="B6" s="3" t="s">
        <v>6</v>
      </c>
      <c r="C6" s="3"/>
      <c r="D6" s="3"/>
      <c r="E6" s="3"/>
      <c r="F6" s="3"/>
      <c r="G6" s="3"/>
      <c r="H6" s="3"/>
    </row>
    <row r="7">
      <c r="A7" s="2" t="s">
        <v>7</v>
      </c>
      <c r="B7" s="3" t="s">
        <v>8</v>
      </c>
      <c r="C7" s="3"/>
      <c r="D7" s="3"/>
      <c r="E7" s="3"/>
      <c r="F7" s="3"/>
      <c r="G7" s="3"/>
      <c r="H7" s="3"/>
    </row>
    <row r="8">
      <c r="A8" s="3"/>
      <c r="B8" s="3"/>
      <c r="C8" s="3"/>
      <c r="D8" s="3"/>
      <c r="E8" s="3"/>
      <c r="F8" s="3"/>
      <c r="G8" s="3"/>
      <c r="H8" s="3"/>
    </row>
    <row r="9">
      <c r="A9" s="3"/>
      <c r="B9" s="3"/>
      <c r="C9" s="3"/>
      <c r="D9" s="3"/>
      <c r="E9" s="3"/>
      <c r="F9" s="3"/>
      <c r="G9" s="3"/>
      <c r="H9" s="3"/>
    </row>
    <row r="10">
      <c r="A10" s="3"/>
      <c r="B10" s="3"/>
      <c r="C10" s="3"/>
      <c r="D10" s="3"/>
      <c r="E10" s="3"/>
      <c r="F10" s="3"/>
      <c r="G10" s="3"/>
      <c r="H10" s="3"/>
    </row>
    <row r="11">
      <c r="A11" s="3"/>
      <c r="B11" s="3"/>
      <c r="C11" s="3"/>
      <c r="D11" s="3"/>
      <c r="E11" s="3"/>
      <c r="F11" s="3"/>
      <c r="G11" s="3"/>
      <c r="H11" s="3"/>
    </row>
    <row r="12">
      <c r="A12" s="3"/>
      <c r="B12" s="3"/>
      <c r="C12" s="3"/>
      <c r="D12" s="3"/>
      <c r="E12" s="3"/>
      <c r="F12" s="3"/>
      <c r="G12" s="3"/>
      <c r="H12" s="3"/>
    </row>
    <row r="13">
      <c r="A13" s="3"/>
      <c r="B13" s="3"/>
      <c r="C13" s="3"/>
      <c r="D13" s="3"/>
      <c r="E13" s="3"/>
      <c r="F13" s="3"/>
      <c r="G13" s="3"/>
      <c r="H13" s="3"/>
    </row>
    <row r="14">
      <c r="A14" s="3"/>
      <c r="B14" s="3"/>
      <c r="C14" s="3"/>
      <c r="D14" s="3"/>
      <c r="E14" s="3"/>
      <c r="F14" s="3"/>
      <c r="G14" s="3"/>
      <c r="H14" s="3"/>
    </row>
    <row r="15">
      <c r="A15" s="3"/>
      <c r="B15" s="3"/>
      <c r="C15" s="3"/>
      <c r="D15" s="3"/>
      <c r="E15" s="3"/>
      <c r="F15" s="3"/>
      <c r="G15" s="3"/>
      <c r="H15" s="3"/>
    </row>
    <row r="17">
      <c r="A17" s="4" t="s">
        <v>9</v>
      </c>
    </row>
    <row r="18">
      <c r="A18" s="3" t="s">
        <v>10</v>
      </c>
      <c r="B18" s="3" t="s">
        <v>11</v>
      </c>
    </row>
    <row r="19">
      <c r="A19" s="3" t="s">
        <v>12</v>
      </c>
      <c r="B19" s="3" t="s">
        <v>13</v>
      </c>
    </row>
    <row r="20">
      <c r="A20" s="3" t="s">
        <v>14</v>
      </c>
      <c r="B20" s="3" t="s">
        <v>15</v>
      </c>
    </row>
    <row r="21" ht="15.75" customHeight="1">
      <c r="A21" s="3" t="s">
        <v>16</v>
      </c>
      <c r="B21" s="3" t="s">
        <v>17</v>
      </c>
    </row>
    <row r="22" ht="15.75" customHeight="1">
      <c r="A22" s="3" t="s">
        <v>18</v>
      </c>
      <c r="B22" s="3" t="s">
        <v>19</v>
      </c>
    </row>
    <row r="23" ht="15.75" customHeight="1">
      <c r="A23" s="3" t="s">
        <v>20</v>
      </c>
      <c r="B23" s="3" t="s">
        <v>21</v>
      </c>
    </row>
    <row r="24" ht="15.75" customHeight="1">
      <c r="A24" s="3" t="s">
        <v>22</v>
      </c>
      <c r="B24" s="3" t="s">
        <v>23</v>
      </c>
    </row>
    <row r="25" ht="15.75" customHeight="1">
      <c r="A25" s="3" t="s">
        <v>24</v>
      </c>
      <c r="B25" s="3" t="s">
        <v>25</v>
      </c>
    </row>
    <row r="26" ht="15.75" customHeight="1">
      <c r="A26" s="3" t="s">
        <v>26</v>
      </c>
      <c r="B26" s="3" t="s">
        <v>27</v>
      </c>
    </row>
    <row r="27" ht="15.75" customHeight="1">
      <c r="A27" s="3" t="s">
        <v>28</v>
      </c>
      <c r="B27" s="3" t="s">
        <v>29</v>
      </c>
    </row>
    <row r="28" ht="15.75" customHeight="1">
      <c r="A28" s="3" t="s">
        <v>30</v>
      </c>
      <c r="B28" s="3" t="s">
        <v>31</v>
      </c>
    </row>
    <row r="29" ht="15.75" customHeight="1">
      <c r="A29" s="3" t="s">
        <v>32</v>
      </c>
      <c r="B29" s="3" t="s">
        <v>33</v>
      </c>
    </row>
    <row r="30" ht="15.75" customHeight="1">
      <c r="A30" s="3" t="s">
        <v>34</v>
      </c>
      <c r="B30" s="3" t="s">
        <v>35</v>
      </c>
    </row>
    <row r="31" ht="15.75" customHeight="1">
      <c r="A31" s="3" t="s">
        <v>36</v>
      </c>
      <c r="B31" s="3" t="s">
        <v>37</v>
      </c>
    </row>
    <row r="32" ht="15.75" customHeight="1">
      <c r="A32" s="3" t="s">
        <v>38</v>
      </c>
      <c r="B32" s="3" t="s">
        <v>39</v>
      </c>
    </row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2">
    <mergeCell ref="A1:H2"/>
    <mergeCell ref="A17:D17"/>
  </mergeCells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34.0"/>
    <col customWidth="1" min="2" max="3" width="14.0"/>
    <col customWidth="1" min="4" max="4" width="34.0"/>
    <col customWidth="1" min="5" max="5" width="8.63"/>
    <col customWidth="1" min="6" max="6" width="26.0"/>
    <col customWidth="1" min="7" max="7" width="14.0"/>
    <col customWidth="1" min="8" max="8" width="12.0"/>
    <col customWidth="1" min="9" max="9" width="34.0"/>
    <col customWidth="1" min="10" max="26" width="8.63"/>
  </cols>
  <sheetData>
    <row r="1" ht="24.0" customHeight="1">
      <c r="A1" s="5" t="s">
        <v>40</v>
      </c>
    </row>
    <row r="3">
      <c r="A3" s="6" t="s">
        <v>41</v>
      </c>
      <c r="F3" s="6" t="s">
        <v>42</v>
      </c>
    </row>
    <row r="4">
      <c r="A4" s="7" t="s">
        <v>43</v>
      </c>
      <c r="B4" s="8">
        <v>46113.0</v>
      </c>
      <c r="C4" s="3" t="s">
        <v>44</v>
      </c>
      <c r="D4" s="3" t="s">
        <v>45</v>
      </c>
      <c r="E4" s="3"/>
      <c r="F4" s="3" t="s">
        <v>46</v>
      </c>
      <c r="G4" s="9">
        <v>1750905.0</v>
      </c>
      <c r="H4" s="3" t="s">
        <v>47</v>
      </c>
      <c r="I4" s="3" t="s">
        <v>48</v>
      </c>
    </row>
    <row r="5">
      <c r="A5" s="7" t="s">
        <v>49</v>
      </c>
      <c r="B5" s="10">
        <v>60.0</v>
      </c>
      <c r="C5" s="3" t="s">
        <v>50</v>
      </c>
      <c r="D5" s="3" t="s">
        <v>51</v>
      </c>
      <c r="E5" s="3"/>
      <c r="F5" s="3" t="s">
        <v>52</v>
      </c>
      <c r="G5" s="9">
        <v>249095.0</v>
      </c>
      <c r="H5" s="3" t="s">
        <v>47</v>
      </c>
      <c r="I5" s="3" t="s">
        <v>53</v>
      </c>
    </row>
    <row r="6">
      <c r="A6" s="7" t="s">
        <v>54</v>
      </c>
      <c r="B6" s="10">
        <v>4.0</v>
      </c>
      <c r="C6" s="3" t="s">
        <v>50</v>
      </c>
      <c r="D6" s="3" t="s">
        <v>55</v>
      </c>
      <c r="E6" s="3"/>
      <c r="F6" s="3" t="s">
        <v>56</v>
      </c>
      <c r="G6" s="11">
        <v>0.085</v>
      </c>
      <c r="H6" s="3" t="s">
        <v>57</v>
      </c>
      <c r="I6" s="3" t="s">
        <v>58</v>
      </c>
    </row>
    <row r="7">
      <c r="A7" s="7" t="s">
        <v>59</v>
      </c>
      <c r="B7" s="11">
        <v>0.0529</v>
      </c>
      <c r="C7" s="3"/>
      <c r="D7" s="3" t="s">
        <v>60</v>
      </c>
      <c r="E7" s="3"/>
      <c r="F7" s="3" t="s">
        <v>61</v>
      </c>
      <c r="G7" s="11">
        <v>0.12</v>
      </c>
      <c r="H7" s="3" t="s">
        <v>57</v>
      </c>
      <c r="I7" s="3" t="s">
        <v>62</v>
      </c>
    </row>
    <row r="8">
      <c r="A8" s="7" t="s">
        <v>63</v>
      </c>
      <c r="B8" s="12">
        <f>(1+B7)^(1/12)-1</f>
        <v>0.004304928185</v>
      </c>
      <c r="C8" s="3"/>
      <c r="D8" s="3" t="s">
        <v>64</v>
      </c>
      <c r="E8" s="3"/>
      <c r="F8" s="3" t="s">
        <v>65</v>
      </c>
      <c r="G8" s="11">
        <v>0.04</v>
      </c>
      <c r="H8" s="3" t="s">
        <v>57</v>
      </c>
      <c r="I8" s="3" t="s">
        <v>66</v>
      </c>
    </row>
    <row r="9">
      <c r="A9" s="7" t="s">
        <v>67</v>
      </c>
      <c r="B9" s="9">
        <v>1.59E8</v>
      </c>
      <c r="C9" s="3" t="s">
        <v>68</v>
      </c>
      <c r="D9" s="3" t="s">
        <v>69</v>
      </c>
      <c r="E9" s="3"/>
      <c r="F9" s="3" t="s">
        <v>70</v>
      </c>
      <c r="G9" s="11">
        <v>0.02</v>
      </c>
      <c r="H9" s="3" t="s">
        <v>57</v>
      </c>
      <c r="I9" s="3" t="s">
        <v>66</v>
      </c>
    </row>
    <row r="10">
      <c r="A10" s="7" t="s">
        <v>71</v>
      </c>
      <c r="B10" s="13">
        <f>B9/12</f>
        <v>13250000</v>
      </c>
      <c r="C10" s="3" t="s">
        <v>72</v>
      </c>
      <c r="D10" s="3" t="s">
        <v>73</v>
      </c>
      <c r="E10" s="3"/>
      <c r="F10" s="3" t="s">
        <v>74</v>
      </c>
      <c r="G10" s="11">
        <v>0.03</v>
      </c>
      <c r="H10" s="3" t="s">
        <v>57</v>
      </c>
      <c r="I10" s="3" t="s">
        <v>66</v>
      </c>
    </row>
    <row r="11">
      <c r="A11" s="7" t="s">
        <v>75</v>
      </c>
      <c r="B11" s="14">
        <v>0.015</v>
      </c>
      <c r="C11" s="3"/>
      <c r="D11" s="3" t="s">
        <v>76</v>
      </c>
      <c r="E11" s="3"/>
      <c r="F11" s="3" t="s">
        <v>77</v>
      </c>
      <c r="G11" s="11">
        <v>1.0</v>
      </c>
      <c r="H11" s="3" t="s">
        <v>78</v>
      </c>
      <c r="I11" s="3" t="s">
        <v>79</v>
      </c>
    </row>
    <row r="12">
      <c r="A12" s="7" t="s">
        <v>80</v>
      </c>
      <c r="B12" s="15">
        <v>0.05</v>
      </c>
      <c r="C12" s="3"/>
      <c r="D12" s="3" t="s">
        <v>81</v>
      </c>
      <c r="E12" s="3"/>
      <c r="F12" s="3" t="s">
        <v>82</v>
      </c>
      <c r="G12" s="11">
        <v>0.00522</v>
      </c>
      <c r="H12" s="3" t="s">
        <v>57</v>
      </c>
      <c r="I12" s="3" t="s">
        <v>83</v>
      </c>
    </row>
    <row r="13">
      <c r="A13" s="7" t="s">
        <v>84</v>
      </c>
      <c r="B13" s="11">
        <v>0.9</v>
      </c>
      <c r="C13" s="3"/>
      <c r="D13" s="3" t="s">
        <v>85</v>
      </c>
      <c r="E13" s="3"/>
      <c r="F13" s="3" t="s">
        <v>86</v>
      </c>
      <c r="G13" s="11">
        <v>0.02436</v>
      </c>
      <c r="H13" s="3" t="s">
        <v>57</v>
      </c>
      <c r="I13" s="3" t="s">
        <v>87</v>
      </c>
    </row>
    <row r="14">
      <c r="A14" s="7" t="s">
        <v>88</v>
      </c>
      <c r="B14" s="11">
        <v>0.99</v>
      </c>
      <c r="C14" s="3"/>
      <c r="D14" s="3" t="s">
        <v>89</v>
      </c>
      <c r="E14" s="3"/>
      <c r="F14" s="3" t="s">
        <v>90</v>
      </c>
      <c r="G14" s="11">
        <v>0.0833</v>
      </c>
      <c r="H14" s="3" t="s">
        <v>57</v>
      </c>
      <c r="I14" s="3" t="s">
        <v>91</v>
      </c>
    </row>
    <row r="15">
      <c r="A15" s="7" t="s">
        <v>92</v>
      </c>
      <c r="B15" s="11">
        <v>0.11</v>
      </c>
      <c r="C15" s="3"/>
      <c r="D15" s="3" t="s">
        <v>93</v>
      </c>
      <c r="E15" s="3"/>
      <c r="F15" s="3" t="s">
        <v>94</v>
      </c>
      <c r="G15" s="16">
        <v>0.01</v>
      </c>
      <c r="H15" s="3" t="s">
        <v>57</v>
      </c>
      <c r="I15" s="3" t="s">
        <v>95</v>
      </c>
    </row>
    <row r="16">
      <c r="A16" s="7" t="s">
        <v>96</v>
      </c>
      <c r="B16" s="15">
        <v>0.81</v>
      </c>
      <c r="C16" s="3"/>
      <c r="D16" s="3" t="s">
        <v>97</v>
      </c>
      <c r="E16" s="3"/>
      <c r="F16" s="3" t="s">
        <v>98</v>
      </c>
      <c r="G16" s="16">
        <v>0.0833</v>
      </c>
      <c r="H16" s="3" t="s">
        <v>57</v>
      </c>
      <c r="I16" s="3" t="s">
        <v>91</v>
      </c>
    </row>
    <row r="17">
      <c r="A17" s="7" t="s">
        <v>99</v>
      </c>
      <c r="B17" s="15">
        <v>0.86</v>
      </c>
      <c r="C17" s="3"/>
      <c r="D17" s="3" t="s">
        <v>100</v>
      </c>
      <c r="E17" s="3"/>
      <c r="F17" s="3" t="s">
        <v>101</v>
      </c>
      <c r="G17" s="16">
        <v>0.0417</v>
      </c>
      <c r="H17" s="3" t="s">
        <v>57</v>
      </c>
      <c r="I17" s="3" t="s">
        <v>91</v>
      </c>
    </row>
    <row r="18">
      <c r="A18" s="7" t="s">
        <v>102</v>
      </c>
      <c r="B18" s="16">
        <v>0.18</v>
      </c>
      <c r="C18" s="3"/>
      <c r="D18" s="3" t="s">
        <v>103</v>
      </c>
      <c r="E18" s="3"/>
      <c r="F18" s="3" t="s">
        <v>104</v>
      </c>
      <c r="G18" s="10">
        <v>25.0</v>
      </c>
      <c r="H18" s="3" t="s">
        <v>105</v>
      </c>
      <c r="I18" s="3" t="s">
        <v>106</v>
      </c>
    </row>
    <row r="19">
      <c r="A19" s="7" t="s">
        <v>107</v>
      </c>
      <c r="B19" s="12">
        <f>(1+B18)^(1/12)-1</f>
        <v>0.01388843035</v>
      </c>
      <c r="C19" s="3"/>
      <c r="D19" s="3" t="s">
        <v>108</v>
      </c>
      <c r="E19" s="3"/>
      <c r="F19" s="3" t="s">
        <v>109</v>
      </c>
      <c r="G19" s="10">
        <v>18.0</v>
      </c>
      <c r="H19" s="3" t="s">
        <v>105</v>
      </c>
      <c r="I19" s="3" t="s">
        <v>110</v>
      </c>
    </row>
    <row r="20">
      <c r="A20" s="7" t="s">
        <v>111</v>
      </c>
      <c r="B20" s="11">
        <v>0.35</v>
      </c>
      <c r="C20" s="3"/>
      <c r="D20" s="3" t="s">
        <v>112</v>
      </c>
      <c r="E20" s="3"/>
      <c r="F20" s="3" t="s">
        <v>113</v>
      </c>
      <c r="G20" s="10">
        <v>30.0</v>
      </c>
      <c r="H20" s="3" t="s">
        <v>105</v>
      </c>
      <c r="I20" s="3" t="s">
        <v>114</v>
      </c>
    </row>
    <row r="21" ht="15.75" customHeight="1">
      <c r="A21" s="7" t="s">
        <v>115</v>
      </c>
      <c r="B21" s="17">
        <v>3850.0</v>
      </c>
      <c r="C21" s="3" t="s">
        <v>116</v>
      </c>
      <c r="D21" s="3" t="s">
        <v>117</v>
      </c>
      <c r="E21" s="3"/>
      <c r="F21" s="3"/>
      <c r="G21" s="3"/>
      <c r="H21" s="3"/>
      <c r="I21" s="3"/>
    </row>
    <row r="22" ht="15.75" customHeight="1">
      <c r="A22" s="7" t="s">
        <v>118</v>
      </c>
      <c r="B22" s="9">
        <v>30.0</v>
      </c>
      <c r="C22" s="3" t="s">
        <v>105</v>
      </c>
      <c r="D22" s="3" t="s">
        <v>119</v>
      </c>
      <c r="E22" s="3"/>
      <c r="F22" s="18" t="s">
        <v>120</v>
      </c>
    </row>
    <row r="23" ht="15.75" customHeight="1">
      <c r="A23" s="7" t="s">
        <v>121</v>
      </c>
      <c r="B23" s="9">
        <v>3.0</v>
      </c>
      <c r="C23" s="3" t="s">
        <v>122</v>
      </c>
      <c r="D23" s="3" t="s">
        <v>123</v>
      </c>
      <c r="E23" s="3"/>
    </row>
    <row r="24" ht="15.75" customHeight="1">
      <c r="A24" s="7" t="s">
        <v>124</v>
      </c>
      <c r="B24" s="9">
        <v>0.05</v>
      </c>
      <c r="C24" s="3" t="s">
        <v>57</v>
      </c>
      <c r="D24" s="3" t="s">
        <v>125</v>
      </c>
      <c r="E24" s="3"/>
    </row>
    <row r="25" ht="15.75" customHeight="1">
      <c r="B25" s="3"/>
      <c r="C25" s="3"/>
      <c r="D25" s="3"/>
      <c r="E25" s="3"/>
    </row>
    <row r="26" ht="15.75" customHeight="1">
      <c r="A26" s="19" t="s">
        <v>126</v>
      </c>
      <c r="E26" s="3"/>
    </row>
    <row r="27" ht="15.75" customHeight="1">
      <c r="A27" s="20" t="s">
        <v>127</v>
      </c>
      <c r="B27" s="21" t="s">
        <v>128</v>
      </c>
      <c r="C27" s="21" t="s">
        <v>129</v>
      </c>
      <c r="D27" s="21" t="s">
        <v>130</v>
      </c>
      <c r="E27" s="3"/>
    </row>
    <row r="28" ht="15.75" customHeight="1">
      <c r="A28" s="22" t="s">
        <v>131</v>
      </c>
      <c r="B28" s="11">
        <v>0.5</v>
      </c>
      <c r="C28" s="23">
        <v>0.33</v>
      </c>
      <c r="D28" s="9">
        <v>2200.0</v>
      </c>
      <c r="E28" s="3"/>
    </row>
    <row r="29" ht="15.75" customHeight="1">
      <c r="A29" s="22" t="s">
        <v>132</v>
      </c>
      <c r="B29" s="11">
        <v>0.35</v>
      </c>
      <c r="C29" s="23">
        <v>1.5</v>
      </c>
      <c r="D29" s="9">
        <v>5200.0</v>
      </c>
      <c r="E29" s="3"/>
    </row>
    <row r="30" ht="15.75" customHeight="1">
      <c r="A30" s="22" t="s">
        <v>133</v>
      </c>
      <c r="B30" s="11">
        <v>0.15</v>
      </c>
      <c r="C30" s="23">
        <v>25.0</v>
      </c>
      <c r="D30" s="9">
        <v>10500.0</v>
      </c>
      <c r="E30" s="3"/>
    </row>
    <row r="31" ht="15.75" customHeight="1"/>
    <row r="32" ht="15.75" customHeight="1">
      <c r="F32" s="19" t="s">
        <v>134</v>
      </c>
      <c r="G32" s="19"/>
      <c r="H32" s="19"/>
      <c r="I32" s="19"/>
    </row>
    <row r="33" ht="15.75" customHeight="1">
      <c r="F33" s="22" t="s">
        <v>135</v>
      </c>
      <c r="G33" s="11">
        <v>0.015</v>
      </c>
      <c r="H33" s="22" t="s">
        <v>57</v>
      </c>
      <c r="I33" s="22" t="s">
        <v>136</v>
      </c>
    </row>
    <row r="34" ht="15.75" customHeight="1">
      <c r="F34" s="22" t="s">
        <v>137</v>
      </c>
      <c r="G34" s="9">
        <v>2.5E8</v>
      </c>
      <c r="H34" s="22" t="s">
        <v>47</v>
      </c>
      <c r="I34" s="22" t="s">
        <v>138</v>
      </c>
    </row>
    <row r="35" ht="15.75" customHeight="1">
      <c r="F35" s="22" t="s">
        <v>139</v>
      </c>
      <c r="G35" s="9">
        <v>2.8E8</v>
      </c>
      <c r="H35" s="22" t="s">
        <v>47</v>
      </c>
      <c r="I35" s="22" t="s">
        <v>140</v>
      </c>
    </row>
    <row r="36" ht="15.75" customHeight="1">
      <c r="F36" s="22" t="s">
        <v>141</v>
      </c>
      <c r="G36" s="11">
        <v>0.007</v>
      </c>
      <c r="H36" s="22" t="s">
        <v>57</v>
      </c>
      <c r="I36" s="22" t="s">
        <v>142</v>
      </c>
    </row>
    <row r="37" ht="15.75" customHeight="1">
      <c r="F37" s="22" t="s">
        <v>143</v>
      </c>
      <c r="G37" s="9">
        <v>0.08</v>
      </c>
      <c r="H37" s="22" t="s">
        <v>57</v>
      </c>
      <c r="I37" s="22" t="s">
        <v>144</v>
      </c>
    </row>
    <row r="38" ht="15.75" customHeight="1">
      <c r="F38" s="22" t="s">
        <v>145</v>
      </c>
      <c r="G38" s="11">
        <v>4.0E-4</v>
      </c>
      <c r="H38" s="22" t="s">
        <v>57</v>
      </c>
      <c r="I38" s="22" t="s">
        <v>146</v>
      </c>
    </row>
    <row r="39" ht="15.75" customHeight="1">
      <c r="F39" s="22" t="s">
        <v>147</v>
      </c>
      <c r="G39" s="9">
        <v>8.5E7</v>
      </c>
      <c r="H39" s="22" t="s">
        <v>47</v>
      </c>
      <c r="I39" s="22" t="s">
        <v>148</v>
      </c>
    </row>
    <row r="40" ht="15.75" customHeight="1">
      <c r="F40" s="22" t="s">
        <v>149</v>
      </c>
      <c r="G40" s="24">
        <v>7.0E-4</v>
      </c>
      <c r="H40" s="22" t="s">
        <v>57</v>
      </c>
      <c r="I40" s="22" t="s">
        <v>150</v>
      </c>
    </row>
    <row r="41" ht="15.75" customHeight="1">
      <c r="A41" s="22" t="s">
        <v>151</v>
      </c>
      <c r="B41" s="22">
        <v>0.31</v>
      </c>
      <c r="C41" s="22" t="s">
        <v>57</v>
      </c>
      <c r="D41" s="22" t="s">
        <v>152</v>
      </c>
    </row>
    <row r="42" ht="15.75" customHeight="1">
      <c r="A42" s="22" t="s">
        <v>153</v>
      </c>
      <c r="B42" s="22">
        <v>0.97</v>
      </c>
      <c r="C42" s="22" t="s">
        <v>57</v>
      </c>
      <c r="D42" s="22" t="s">
        <v>154</v>
      </c>
    </row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5">
    <mergeCell ref="A1:H1"/>
    <mergeCell ref="A3:D3"/>
    <mergeCell ref="F3:I3"/>
    <mergeCell ref="F22:I30"/>
    <mergeCell ref="A26:D26"/>
  </mergeCells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8.0"/>
    <col customWidth="1" min="2" max="2" width="28.0"/>
    <col customWidth="1" min="3" max="62" width="8.63"/>
  </cols>
  <sheetData>
    <row r="1">
      <c r="A1" s="25" t="s">
        <v>155</v>
      </c>
    </row>
    <row r="3">
      <c r="A3" s="4" t="s">
        <v>127</v>
      </c>
      <c r="B3" s="4" t="s">
        <v>156</v>
      </c>
      <c r="C3" s="4" t="s">
        <v>157</v>
      </c>
      <c r="D3" s="4" t="s">
        <v>158</v>
      </c>
      <c r="E3" s="4" t="s">
        <v>159</v>
      </c>
      <c r="F3" s="4" t="s">
        <v>160</v>
      </c>
      <c r="G3" s="4" t="s">
        <v>161</v>
      </c>
      <c r="H3" s="4" t="s">
        <v>162</v>
      </c>
    </row>
    <row r="4">
      <c r="A4" s="22" t="s">
        <v>163</v>
      </c>
      <c r="B4" s="26">
        <f>Supuestos!$C$28</f>
        <v>0.33</v>
      </c>
      <c r="C4" s="27">
        <f>Supuestos!$B$28</f>
        <v>0.5</v>
      </c>
      <c r="D4" s="28">
        <f>Supuestos!$B$10*C4/B4</f>
        <v>20075757.58</v>
      </c>
      <c r="E4" s="28">
        <f>D4*Supuestos!$B$14*(1+Supuestos!$B$12)</f>
        <v>20868750</v>
      </c>
      <c r="F4" s="28">
        <f>350000*Supuestos!$B$23*Supuestos!$B$22*Supuestos!$B$13</f>
        <v>28350000</v>
      </c>
      <c r="G4" s="28">
        <f>350000*Supuestos!$B$23*Supuestos!$B$22*(1+Supuestos!$B$15)</f>
        <v>34965000</v>
      </c>
      <c r="H4" s="29">
        <f t="shared" ref="H4:H6" si="1">IF(E4=0,0,G4/E4)</f>
        <v>1.675471698</v>
      </c>
    </row>
    <row r="5">
      <c r="A5" s="22" t="s">
        <v>164</v>
      </c>
      <c r="B5" s="26">
        <f>Supuestos!$C$29</f>
        <v>1.5</v>
      </c>
      <c r="C5" s="27">
        <f>Supuestos!$B$29</f>
        <v>0.35</v>
      </c>
      <c r="D5" s="28">
        <f>Supuestos!$B$10*C5/B5</f>
        <v>3091666.667</v>
      </c>
      <c r="E5" s="28">
        <f>D5*Supuestos!$B$14*(1+Supuestos!$B$12)</f>
        <v>3213787.5</v>
      </c>
      <c r="F5" s="28">
        <f>100000*Supuestos!$B$23*Supuestos!$B$22*Supuestos!$B$13</f>
        <v>8100000</v>
      </c>
      <c r="G5" s="28">
        <f>100000*Supuestos!$B$23*Supuestos!$B$22*(1+Supuestos!$B$15)</f>
        <v>9990000</v>
      </c>
      <c r="H5" s="29">
        <f t="shared" si="1"/>
        <v>3.108481815</v>
      </c>
    </row>
    <row r="6">
      <c r="A6" s="22" t="s">
        <v>165</v>
      </c>
      <c r="B6" s="26">
        <f>Supuestos!$C$30</f>
        <v>25</v>
      </c>
      <c r="C6" s="27">
        <f>Supuestos!$B$30</f>
        <v>0.15</v>
      </c>
      <c r="D6" s="28">
        <f>Supuestos!$B$10*C6/B6</f>
        <v>79500</v>
      </c>
      <c r="E6" s="28">
        <f>D6*Supuestos!$B$14*(1+Supuestos!$B$12)</f>
        <v>82640.25</v>
      </c>
      <c r="F6" s="28">
        <f>5000*Supuestos!$B$23*Supuestos!$B$22*Supuestos!$B$13</f>
        <v>405000</v>
      </c>
      <c r="G6" s="28">
        <f>5000*Supuestos!$B$23*Supuestos!$B$22*(1+Supuestos!$B$15)</f>
        <v>499500</v>
      </c>
      <c r="H6" s="29">
        <f t="shared" si="1"/>
        <v>6.044270195</v>
      </c>
    </row>
    <row r="10">
      <c r="A10" s="4" t="s">
        <v>166</v>
      </c>
      <c r="B10" s="4" t="s">
        <v>167</v>
      </c>
      <c r="C10" s="30">
        <v>46113.0</v>
      </c>
      <c r="D10" s="30">
        <v>46143.0</v>
      </c>
      <c r="E10" s="30">
        <v>46174.0</v>
      </c>
      <c r="F10" s="30">
        <v>46204.0</v>
      </c>
      <c r="G10" s="30">
        <v>46235.0</v>
      </c>
      <c r="H10" s="30">
        <v>46266.0</v>
      </c>
      <c r="I10" s="30">
        <v>46296.0</v>
      </c>
      <c r="J10" s="30">
        <v>46327.0</v>
      </c>
      <c r="K10" s="30">
        <v>46357.0</v>
      </c>
      <c r="L10" s="30">
        <v>46388.0</v>
      </c>
      <c r="M10" s="30">
        <v>46419.0</v>
      </c>
      <c r="N10" s="30">
        <v>46447.0</v>
      </c>
      <c r="O10" s="30">
        <v>46478.0</v>
      </c>
      <c r="P10" s="30">
        <v>46508.0</v>
      </c>
      <c r="Q10" s="30">
        <v>46539.0</v>
      </c>
      <c r="R10" s="30">
        <v>46569.0</v>
      </c>
      <c r="S10" s="30">
        <v>46600.0</v>
      </c>
      <c r="T10" s="30">
        <v>46631.0</v>
      </c>
      <c r="U10" s="30">
        <v>46661.0</v>
      </c>
      <c r="V10" s="30">
        <v>46692.0</v>
      </c>
      <c r="W10" s="30">
        <v>46722.0</v>
      </c>
      <c r="X10" s="30">
        <v>46753.0</v>
      </c>
      <c r="Y10" s="30">
        <v>46784.0</v>
      </c>
      <c r="Z10" s="30">
        <v>46813.0</v>
      </c>
      <c r="AA10" s="30">
        <v>46844.0</v>
      </c>
      <c r="AB10" s="30">
        <v>46874.0</v>
      </c>
      <c r="AC10" s="30">
        <v>46905.0</v>
      </c>
      <c r="AD10" s="30">
        <v>46935.0</v>
      </c>
      <c r="AE10" s="30">
        <v>46966.0</v>
      </c>
      <c r="AF10" s="30">
        <v>46997.0</v>
      </c>
      <c r="AG10" s="30">
        <v>47027.0</v>
      </c>
      <c r="AH10" s="30">
        <v>47058.0</v>
      </c>
      <c r="AI10" s="30">
        <v>47088.0</v>
      </c>
      <c r="AJ10" s="30">
        <v>47119.0</v>
      </c>
      <c r="AK10" s="30">
        <v>47150.0</v>
      </c>
      <c r="AL10" s="30">
        <v>47178.0</v>
      </c>
      <c r="AM10" s="30">
        <v>47209.0</v>
      </c>
      <c r="AN10" s="30">
        <v>47239.0</v>
      </c>
      <c r="AO10" s="30">
        <v>47270.0</v>
      </c>
      <c r="AP10" s="30">
        <v>47300.0</v>
      </c>
      <c r="AQ10" s="30">
        <v>47331.0</v>
      </c>
      <c r="AR10" s="30">
        <v>47362.0</v>
      </c>
      <c r="AS10" s="30">
        <v>47392.0</v>
      </c>
      <c r="AT10" s="30">
        <v>47423.0</v>
      </c>
      <c r="AU10" s="30">
        <v>47453.0</v>
      </c>
      <c r="AV10" s="30">
        <v>47484.0</v>
      </c>
      <c r="AW10" s="30">
        <v>47515.0</v>
      </c>
      <c r="AX10" s="30">
        <v>47543.0</v>
      </c>
      <c r="AY10" s="30">
        <v>47574.0</v>
      </c>
      <c r="AZ10" s="30">
        <v>47604.0</v>
      </c>
      <c r="BA10" s="30">
        <v>47635.0</v>
      </c>
      <c r="BB10" s="30">
        <v>47665.0</v>
      </c>
      <c r="BC10" s="30">
        <v>47696.0</v>
      </c>
      <c r="BD10" s="30">
        <v>47727.0</v>
      </c>
      <c r="BE10" s="30">
        <v>47757.0</v>
      </c>
      <c r="BF10" s="30">
        <v>47788.0</v>
      </c>
      <c r="BG10" s="30">
        <v>47818.0</v>
      </c>
      <c r="BH10" s="30">
        <v>47849.0</v>
      </c>
      <c r="BI10" s="30">
        <v>47880.0</v>
      </c>
      <c r="BJ10" s="30">
        <v>47908.0</v>
      </c>
    </row>
    <row r="11">
      <c r="A11" s="22" t="s">
        <v>168</v>
      </c>
      <c r="B11" s="22" t="s">
        <v>169</v>
      </c>
      <c r="C11" s="22">
        <v>1.0</v>
      </c>
      <c r="D11" s="22">
        <v>2.0</v>
      </c>
      <c r="E11" s="22">
        <v>3.0</v>
      </c>
      <c r="F11" s="22">
        <v>4.0</v>
      </c>
      <c r="G11" s="22">
        <v>5.0</v>
      </c>
      <c r="H11" s="22">
        <v>6.0</v>
      </c>
      <c r="I11" s="22">
        <v>7.0</v>
      </c>
      <c r="J11" s="22">
        <v>8.0</v>
      </c>
      <c r="K11" s="22">
        <v>9.0</v>
      </c>
      <c r="L11" s="22">
        <v>10.0</v>
      </c>
      <c r="M11" s="22">
        <v>11.0</v>
      </c>
      <c r="N11" s="22">
        <v>12.0</v>
      </c>
      <c r="O11" s="22">
        <v>13.0</v>
      </c>
      <c r="P11" s="22">
        <v>14.0</v>
      </c>
      <c r="Q11" s="22">
        <v>15.0</v>
      </c>
      <c r="R11" s="22">
        <v>16.0</v>
      </c>
      <c r="S11" s="22">
        <v>17.0</v>
      </c>
      <c r="T11" s="22">
        <v>18.0</v>
      </c>
      <c r="U11" s="22">
        <v>19.0</v>
      </c>
      <c r="V11" s="22">
        <v>20.0</v>
      </c>
      <c r="W11" s="22">
        <v>21.0</v>
      </c>
      <c r="X11" s="22">
        <v>22.0</v>
      </c>
      <c r="Y11" s="22">
        <v>23.0</v>
      </c>
      <c r="Z11" s="22">
        <v>24.0</v>
      </c>
      <c r="AA11" s="22">
        <v>25.0</v>
      </c>
      <c r="AB11" s="22">
        <v>26.0</v>
      </c>
      <c r="AC11" s="22">
        <v>27.0</v>
      </c>
      <c r="AD11" s="22">
        <v>28.0</v>
      </c>
      <c r="AE11" s="22">
        <v>29.0</v>
      </c>
      <c r="AF11" s="22">
        <v>30.0</v>
      </c>
      <c r="AG11" s="22">
        <v>31.0</v>
      </c>
      <c r="AH11" s="22">
        <v>32.0</v>
      </c>
      <c r="AI11" s="22">
        <v>33.0</v>
      </c>
      <c r="AJ11" s="22">
        <v>34.0</v>
      </c>
      <c r="AK11" s="22">
        <v>35.0</v>
      </c>
      <c r="AL11" s="22">
        <v>36.0</v>
      </c>
      <c r="AM11" s="22">
        <v>37.0</v>
      </c>
      <c r="AN11" s="22">
        <v>38.0</v>
      </c>
      <c r="AO11" s="22">
        <v>39.0</v>
      </c>
      <c r="AP11" s="22">
        <v>40.0</v>
      </c>
      <c r="AQ11" s="22">
        <v>41.0</v>
      </c>
      <c r="AR11" s="22">
        <v>42.0</v>
      </c>
      <c r="AS11" s="22">
        <v>43.0</v>
      </c>
      <c r="AT11" s="22">
        <v>44.0</v>
      </c>
      <c r="AU11" s="22">
        <v>45.0</v>
      </c>
      <c r="AV11" s="22">
        <v>46.0</v>
      </c>
      <c r="AW11" s="22">
        <v>47.0</v>
      </c>
      <c r="AX11" s="22">
        <v>48.0</v>
      </c>
      <c r="AY11" s="22">
        <v>49.0</v>
      </c>
      <c r="AZ11" s="22">
        <v>50.0</v>
      </c>
      <c r="BA11" s="22">
        <v>51.0</v>
      </c>
      <c r="BB11" s="22">
        <v>52.0</v>
      </c>
      <c r="BC11" s="22">
        <v>53.0</v>
      </c>
      <c r="BD11" s="22">
        <v>54.0</v>
      </c>
      <c r="BE11" s="22">
        <v>55.0</v>
      </c>
      <c r="BF11" s="22">
        <v>56.0</v>
      </c>
      <c r="BG11" s="22">
        <v>57.0</v>
      </c>
      <c r="BH11" s="22">
        <v>58.0</v>
      </c>
      <c r="BI11" s="22">
        <v>59.0</v>
      </c>
      <c r="BJ11" s="22">
        <v>60.0</v>
      </c>
    </row>
    <row r="12">
      <c r="A12" s="22" t="s">
        <v>170</v>
      </c>
      <c r="B12" s="22" t="s">
        <v>171</v>
      </c>
      <c r="C12" s="28">
        <f>Supuestos!$B$10*(1+Supuestos!$B$11)^((C11-1)/12)</f>
        <v>13250000</v>
      </c>
      <c r="D12" s="28">
        <f>Supuestos!$B$10*(1+Supuestos!$B$11)^((D11-1)/12)</f>
        <v>13266449.71</v>
      </c>
      <c r="E12" s="28">
        <f>Supuestos!$B$10*(1+Supuestos!$B$11)^((E11-1)/12)</f>
        <v>13282919.85</v>
      </c>
      <c r="F12" s="28">
        <f>Supuestos!$B$10*(1+Supuestos!$B$11)^((F11-1)/12)</f>
        <v>13299410.43</v>
      </c>
      <c r="G12" s="28">
        <f>Supuestos!$B$10*(1+Supuestos!$B$11)^((G11-1)/12)</f>
        <v>13315921.48</v>
      </c>
      <c r="H12" s="28">
        <f>Supuestos!$B$10*(1+Supuestos!$B$11)^((H11-1)/12)</f>
        <v>13332453.04</v>
      </c>
      <c r="I12" s="28">
        <f>Supuestos!$B$10*(1+Supuestos!$B$11)^((I11-1)/12)</f>
        <v>13349005.11</v>
      </c>
      <c r="J12" s="28">
        <f>Supuestos!$B$10*(1+Supuestos!$B$11)^((J11-1)/12)</f>
        <v>13365577.74</v>
      </c>
      <c r="K12" s="28">
        <f>Supuestos!$B$10*(1+Supuestos!$B$11)^((K11-1)/12)</f>
        <v>13382170.94</v>
      </c>
      <c r="L12" s="28">
        <f>Supuestos!$B$10*(1+Supuestos!$B$11)^((L11-1)/12)</f>
        <v>13398784.74</v>
      </c>
      <c r="M12" s="28">
        <f>Supuestos!$B$10*(1+Supuestos!$B$11)^((M11-1)/12)</f>
        <v>13415419.17</v>
      </c>
      <c r="N12" s="28">
        <f>Supuestos!$B$10*(1+Supuestos!$B$11)^((N11-1)/12)</f>
        <v>13432074.24</v>
      </c>
      <c r="O12" s="28">
        <f>Supuestos!$B$10*(1+Supuestos!$B$11)^((O11-1)/12)</f>
        <v>13448750</v>
      </c>
      <c r="P12" s="28">
        <f>Supuestos!$B$10*(1+Supuestos!$B$11)^((P11-1)/12)</f>
        <v>13465446.46</v>
      </c>
      <c r="Q12" s="28">
        <f>Supuestos!$B$10*(1+Supuestos!$B$11)^((Q11-1)/12)</f>
        <v>13482163.64</v>
      </c>
      <c r="R12" s="28">
        <f>Supuestos!$B$10*(1+Supuestos!$B$11)^((R11-1)/12)</f>
        <v>13498901.58</v>
      </c>
      <c r="S12" s="28">
        <f>Supuestos!$B$10*(1+Supuestos!$B$11)^((S11-1)/12)</f>
        <v>13515660.31</v>
      </c>
      <c r="T12" s="28">
        <f>Supuestos!$B$10*(1+Supuestos!$B$11)^((T11-1)/12)</f>
        <v>13532439.83</v>
      </c>
      <c r="U12" s="28">
        <f>Supuestos!$B$10*(1+Supuestos!$B$11)^((U11-1)/12)</f>
        <v>13549240.19</v>
      </c>
      <c r="V12" s="28">
        <f>Supuestos!$B$10*(1+Supuestos!$B$11)^((V11-1)/12)</f>
        <v>13566061.4</v>
      </c>
      <c r="W12" s="28">
        <f>Supuestos!$B$10*(1+Supuestos!$B$11)^((W11-1)/12)</f>
        <v>13582903.5</v>
      </c>
      <c r="X12" s="28">
        <f>Supuestos!$B$10*(1+Supuestos!$B$11)^((X11-1)/12)</f>
        <v>13599766.51</v>
      </c>
      <c r="Y12" s="28">
        <f>Supuestos!$B$10*(1+Supuestos!$B$11)^((Y11-1)/12)</f>
        <v>13616650.45</v>
      </c>
      <c r="Z12" s="28">
        <f>Supuestos!$B$10*(1+Supuestos!$B$11)^((Z11-1)/12)</f>
        <v>13633555.36</v>
      </c>
      <c r="AA12" s="28">
        <f>Supuestos!$B$10*(1+Supuestos!$B$11)^((AA11-1)/12)</f>
        <v>13650481.25</v>
      </c>
      <c r="AB12" s="28">
        <f>Supuestos!$B$10*(1+Supuestos!$B$11)^((AB11-1)/12)</f>
        <v>13667428.15</v>
      </c>
      <c r="AC12" s="28">
        <f>Supuestos!$B$10*(1+Supuestos!$B$11)^((AC11-1)/12)</f>
        <v>13684396.1</v>
      </c>
      <c r="AD12" s="28">
        <f>Supuestos!$B$10*(1+Supuestos!$B$11)^((AD11-1)/12)</f>
        <v>13701385.11</v>
      </c>
      <c r="AE12" s="28">
        <f>Supuestos!$B$10*(1+Supuestos!$B$11)^((AE11-1)/12)</f>
        <v>13718395.21</v>
      </c>
      <c r="AF12" s="28">
        <f>Supuestos!$B$10*(1+Supuestos!$B$11)^((AF11-1)/12)</f>
        <v>13735426.43</v>
      </c>
      <c r="AG12" s="28">
        <f>Supuestos!$B$10*(1+Supuestos!$B$11)^((AG11-1)/12)</f>
        <v>13752478.79</v>
      </c>
      <c r="AH12" s="28">
        <f>Supuestos!$B$10*(1+Supuestos!$B$11)^((AH11-1)/12)</f>
        <v>13769552.33</v>
      </c>
      <c r="AI12" s="28">
        <f>Supuestos!$B$10*(1+Supuestos!$B$11)^((AI11-1)/12)</f>
        <v>13786647.06</v>
      </c>
      <c r="AJ12" s="28">
        <f>Supuestos!$B$10*(1+Supuestos!$B$11)^((AJ11-1)/12)</f>
        <v>13803763.01</v>
      </c>
      <c r="AK12" s="28">
        <f>Supuestos!$B$10*(1+Supuestos!$B$11)^((AK11-1)/12)</f>
        <v>13820900.21</v>
      </c>
      <c r="AL12" s="28">
        <f>Supuestos!$B$10*(1+Supuestos!$B$11)^((AL11-1)/12)</f>
        <v>13838058.69</v>
      </c>
      <c r="AM12" s="28">
        <f>Supuestos!$B$10*(1+Supuestos!$B$11)^((AM11-1)/12)</f>
        <v>13855238.47</v>
      </c>
      <c r="AN12" s="28">
        <f>Supuestos!$B$10*(1+Supuestos!$B$11)^((AN11-1)/12)</f>
        <v>13872439.58</v>
      </c>
      <c r="AO12" s="28">
        <f>Supuestos!$B$10*(1+Supuestos!$B$11)^((AO11-1)/12)</f>
        <v>13889662.04</v>
      </c>
      <c r="AP12" s="28">
        <f>Supuestos!$B$10*(1+Supuestos!$B$11)^((AP11-1)/12)</f>
        <v>13906905.89</v>
      </c>
      <c r="AQ12" s="28">
        <f>Supuestos!$B$10*(1+Supuestos!$B$11)^((AQ11-1)/12)</f>
        <v>13924171.14</v>
      </c>
      <c r="AR12" s="28">
        <f>Supuestos!$B$10*(1+Supuestos!$B$11)^((AR11-1)/12)</f>
        <v>13941457.83</v>
      </c>
      <c r="AS12" s="28">
        <f>Supuestos!$B$10*(1+Supuestos!$B$11)^((AS11-1)/12)</f>
        <v>13958765.97</v>
      </c>
      <c r="AT12" s="28">
        <f>Supuestos!$B$10*(1+Supuestos!$B$11)^((AT11-1)/12)</f>
        <v>13976095.61</v>
      </c>
      <c r="AU12" s="28">
        <f>Supuestos!$B$10*(1+Supuestos!$B$11)^((AU11-1)/12)</f>
        <v>13993446.76</v>
      </c>
      <c r="AV12" s="28">
        <f>Supuestos!$B$10*(1+Supuestos!$B$11)^((AV11-1)/12)</f>
        <v>14010819.45</v>
      </c>
      <c r="AW12" s="28">
        <f>Supuestos!$B$10*(1+Supuestos!$B$11)^((AW11-1)/12)</f>
        <v>14028213.71</v>
      </c>
      <c r="AX12" s="28">
        <f>Supuestos!$B$10*(1+Supuestos!$B$11)^((AX11-1)/12)</f>
        <v>14045629.57</v>
      </c>
      <c r="AY12" s="28">
        <f>Supuestos!$B$10*(1+Supuestos!$B$11)^((AY11-1)/12)</f>
        <v>14063067.05</v>
      </c>
      <c r="AZ12" s="28">
        <f>Supuestos!$B$10*(1+Supuestos!$B$11)^((AZ11-1)/12)</f>
        <v>14080526.17</v>
      </c>
      <c r="BA12" s="28">
        <f>Supuestos!$B$10*(1+Supuestos!$B$11)^((BA11-1)/12)</f>
        <v>14098006.97</v>
      </c>
      <c r="BB12" s="28">
        <f>Supuestos!$B$10*(1+Supuestos!$B$11)^((BB11-1)/12)</f>
        <v>14115509.47</v>
      </c>
      <c r="BC12" s="28">
        <f>Supuestos!$B$10*(1+Supuestos!$B$11)^((BC11-1)/12)</f>
        <v>14133033.71</v>
      </c>
      <c r="BD12" s="28">
        <f>Supuestos!$B$10*(1+Supuestos!$B$11)^((BD11-1)/12)</f>
        <v>14150579.69</v>
      </c>
      <c r="BE12" s="28">
        <f>Supuestos!$B$10*(1+Supuestos!$B$11)^((BE11-1)/12)</f>
        <v>14168147.46</v>
      </c>
      <c r="BF12" s="28">
        <f>Supuestos!$B$10*(1+Supuestos!$B$11)^((BF11-1)/12)</f>
        <v>14185737.04</v>
      </c>
      <c r="BG12" s="28">
        <f>Supuestos!$B$10*(1+Supuestos!$B$11)^((BG11-1)/12)</f>
        <v>14203348.46</v>
      </c>
      <c r="BH12" s="28">
        <f>Supuestos!$B$10*(1+Supuestos!$B$11)^((BH11-1)/12)</f>
        <v>14220981.75</v>
      </c>
      <c r="BI12" s="28">
        <f>Supuestos!$B$10*(1+Supuestos!$B$11)^((BI11-1)/12)</f>
        <v>14238636.92</v>
      </c>
      <c r="BJ12" s="28">
        <f>Supuestos!$B$10*(1+Supuestos!$B$11)^((BJ11-1)/12)</f>
        <v>14256314.01</v>
      </c>
    </row>
    <row r="13">
      <c r="A13" s="22" t="s">
        <v>172</v>
      </c>
      <c r="B13" s="22" t="s">
        <v>173</v>
      </c>
      <c r="C13" s="28">
        <f>C12*Supuestos!$B$28</f>
        <v>6625000</v>
      </c>
      <c r="D13" s="28">
        <f>D12*Supuestos!$B$28</f>
        <v>6633224.856</v>
      </c>
      <c r="E13" s="28">
        <f>E12*Supuestos!$B$28</f>
        <v>6641459.923</v>
      </c>
      <c r="F13" s="28">
        <f>F12*Supuestos!$B$28</f>
        <v>6649705.214</v>
      </c>
      <c r="G13" s="28">
        <f>G12*Supuestos!$B$28</f>
        <v>6657960.742</v>
      </c>
      <c r="H13" s="28">
        <f>H12*Supuestos!$B$28</f>
        <v>6666226.518</v>
      </c>
      <c r="I13" s="28">
        <f>I12*Supuestos!$B$28</f>
        <v>6674502.556</v>
      </c>
      <c r="J13" s="28">
        <f>J12*Supuestos!$B$28</f>
        <v>6682788.869</v>
      </c>
      <c r="K13" s="28">
        <f>K12*Supuestos!$B$28</f>
        <v>6691085.47</v>
      </c>
      <c r="L13" s="28">
        <f>L12*Supuestos!$B$28</f>
        <v>6699392.37</v>
      </c>
      <c r="M13" s="28">
        <f>M12*Supuestos!$B$28</f>
        <v>6707709.583</v>
      </c>
      <c r="N13" s="28">
        <f>N12*Supuestos!$B$28</f>
        <v>6716037.122</v>
      </c>
      <c r="O13" s="28">
        <f>O12*Supuestos!$B$28</f>
        <v>6724375</v>
      </c>
      <c r="P13" s="28">
        <f>P12*Supuestos!$B$28</f>
        <v>6732723.229</v>
      </c>
      <c r="Q13" s="28">
        <f>Q12*Supuestos!$B$28</f>
        <v>6741081.822</v>
      </c>
      <c r="R13" s="28">
        <f>R12*Supuestos!$B$28</f>
        <v>6749450.792</v>
      </c>
      <c r="S13" s="28">
        <f>S12*Supuestos!$B$28</f>
        <v>6757830.153</v>
      </c>
      <c r="T13" s="28">
        <f>T12*Supuestos!$B$28</f>
        <v>6766219.916</v>
      </c>
      <c r="U13" s="28">
        <f>U12*Supuestos!$B$28</f>
        <v>6774620.095</v>
      </c>
      <c r="V13" s="28">
        <f>V12*Supuestos!$B$28</f>
        <v>6783030.702</v>
      </c>
      <c r="W13" s="28">
        <f>W12*Supuestos!$B$28</f>
        <v>6791451.752</v>
      </c>
      <c r="X13" s="28">
        <f>X12*Supuestos!$B$28</f>
        <v>6799883.256</v>
      </c>
      <c r="Y13" s="28">
        <f>Y12*Supuestos!$B$28</f>
        <v>6808325.227</v>
      </c>
      <c r="Z13" s="28">
        <f>Z12*Supuestos!$B$28</f>
        <v>6816777.679</v>
      </c>
      <c r="AA13" s="28">
        <f>AA12*Supuestos!$B$28</f>
        <v>6825240.625</v>
      </c>
      <c r="AB13" s="28">
        <f>AB12*Supuestos!$B$28</f>
        <v>6833714.077</v>
      </c>
      <c r="AC13" s="28">
        <f>AC12*Supuestos!$B$28</f>
        <v>6842198.049</v>
      </c>
      <c r="AD13" s="28">
        <f>AD12*Supuestos!$B$28</f>
        <v>6850692.554</v>
      </c>
      <c r="AE13" s="28">
        <f>AE12*Supuestos!$B$28</f>
        <v>6859197.605</v>
      </c>
      <c r="AF13" s="28">
        <f>AF12*Supuestos!$B$28</f>
        <v>6867713.215</v>
      </c>
      <c r="AG13" s="28">
        <f>AG12*Supuestos!$B$28</f>
        <v>6876239.396</v>
      </c>
      <c r="AH13" s="28">
        <f>AH12*Supuestos!$B$28</f>
        <v>6884776.163</v>
      </c>
      <c r="AI13" s="28">
        <f>AI12*Supuestos!$B$28</f>
        <v>6893323.528</v>
      </c>
      <c r="AJ13" s="28">
        <f>AJ12*Supuestos!$B$28</f>
        <v>6901881.504</v>
      </c>
      <c r="AK13" s="28">
        <f>AK12*Supuestos!$B$28</f>
        <v>6910450.106</v>
      </c>
      <c r="AL13" s="28">
        <f>AL12*Supuestos!$B$28</f>
        <v>6919029.344</v>
      </c>
      <c r="AM13" s="28">
        <f>AM12*Supuestos!$B$28</f>
        <v>6927619.234</v>
      </c>
      <c r="AN13" s="28">
        <f>AN12*Supuestos!$B$28</f>
        <v>6936219.789</v>
      </c>
      <c r="AO13" s="28">
        <f>AO12*Supuestos!$B$28</f>
        <v>6944831.02</v>
      </c>
      <c r="AP13" s="28">
        <f>AP12*Supuestos!$B$28</f>
        <v>6953452.943</v>
      </c>
      <c r="AQ13" s="28">
        <f>AQ12*Supuestos!$B$28</f>
        <v>6962085.569</v>
      </c>
      <c r="AR13" s="28">
        <f>AR12*Supuestos!$B$28</f>
        <v>6970728.913</v>
      </c>
      <c r="AS13" s="28">
        <f>AS12*Supuestos!$B$28</f>
        <v>6979382.987</v>
      </c>
      <c r="AT13" s="28">
        <f>AT12*Supuestos!$B$28</f>
        <v>6988047.805</v>
      </c>
      <c r="AU13" s="28">
        <f>AU12*Supuestos!$B$28</f>
        <v>6996723.381</v>
      </c>
      <c r="AV13" s="28">
        <f>AV12*Supuestos!$B$28</f>
        <v>7005409.727</v>
      </c>
      <c r="AW13" s="28">
        <f>AW12*Supuestos!$B$28</f>
        <v>7014106.857</v>
      </c>
      <c r="AX13" s="28">
        <f>AX12*Supuestos!$B$28</f>
        <v>7022814.785</v>
      </c>
      <c r="AY13" s="28">
        <f>AY12*Supuestos!$B$28</f>
        <v>7031533.523</v>
      </c>
      <c r="AZ13" s="28">
        <f>AZ12*Supuestos!$B$28</f>
        <v>7040263.085</v>
      </c>
      <c r="BA13" s="28">
        <f>BA12*Supuestos!$B$28</f>
        <v>7049003.486</v>
      </c>
      <c r="BB13" s="28">
        <f>BB12*Supuestos!$B$28</f>
        <v>7057754.737</v>
      </c>
      <c r="BC13" s="28">
        <f>BC12*Supuestos!$B$28</f>
        <v>7066516.853</v>
      </c>
      <c r="BD13" s="28">
        <f>BD12*Supuestos!$B$28</f>
        <v>7075289.846</v>
      </c>
      <c r="BE13" s="28">
        <f>BE12*Supuestos!$B$28</f>
        <v>7084073.732</v>
      </c>
      <c r="BF13" s="28">
        <f>BF12*Supuestos!$B$28</f>
        <v>7092868.522</v>
      </c>
      <c r="BG13" s="28">
        <f>BG12*Supuestos!$B$28</f>
        <v>7101674.232</v>
      </c>
      <c r="BH13" s="28">
        <f>BH12*Supuestos!$B$28</f>
        <v>7110490.873</v>
      </c>
      <c r="BI13" s="28">
        <f>BI12*Supuestos!$B$28</f>
        <v>7119318.46</v>
      </c>
      <c r="BJ13" s="28">
        <f>BJ12*Supuestos!$B$28</f>
        <v>7128157.006</v>
      </c>
    </row>
    <row r="14">
      <c r="A14" s="22" t="s">
        <v>174</v>
      </c>
      <c r="B14" s="22" t="s">
        <v>175</v>
      </c>
      <c r="C14" s="28">
        <f>C12*Supuestos!$B$29</f>
        <v>4637500</v>
      </c>
      <c r="D14" s="28">
        <f>D12*Supuestos!$B$29</f>
        <v>4643257.399</v>
      </c>
      <c r="E14" s="28">
        <f>E12*Supuestos!$B$29</f>
        <v>4649021.946</v>
      </c>
      <c r="F14" s="28">
        <f>F12*Supuestos!$B$29</f>
        <v>4654793.65</v>
      </c>
      <c r="G14" s="28">
        <f>G12*Supuestos!$B$29</f>
        <v>4660572.519</v>
      </c>
      <c r="H14" s="28">
        <f>H12*Supuestos!$B$29</f>
        <v>4666358.563</v>
      </c>
      <c r="I14" s="28">
        <f>I12*Supuestos!$B$29</f>
        <v>4672151.789</v>
      </c>
      <c r="J14" s="28">
        <f>J12*Supuestos!$B$29</f>
        <v>4677952.209</v>
      </c>
      <c r="K14" s="28">
        <f>K12*Supuestos!$B$29</f>
        <v>4683759.829</v>
      </c>
      <c r="L14" s="28">
        <f>L12*Supuestos!$B$29</f>
        <v>4689574.659</v>
      </c>
      <c r="M14" s="28">
        <f>M12*Supuestos!$B$29</f>
        <v>4695396.708</v>
      </c>
      <c r="N14" s="28">
        <f>N12*Supuestos!$B$29</f>
        <v>4701225.986</v>
      </c>
      <c r="O14" s="28">
        <f>O12*Supuestos!$B$29</f>
        <v>4707062.5</v>
      </c>
      <c r="P14" s="28">
        <f>P12*Supuestos!$B$29</f>
        <v>4712906.26</v>
      </c>
      <c r="Q14" s="28">
        <f>Q12*Supuestos!$B$29</f>
        <v>4718757.276</v>
      </c>
      <c r="R14" s="28">
        <f>R12*Supuestos!$B$29</f>
        <v>4724615.555</v>
      </c>
      <c r="S14" s="28">
        <f>S12*Supuestos!$B$29</f>
        <v>4730481.107</v>
      </c>
      <c r="T14" s="28">
        <f>T12*Supuestos!$B$29</f>
        <v>4736353.941</v>
      </c>
      <c r="U14" s="28">
        <f>U12*Supuestos!$B$29</f>
        <v>4742234.066</v>
      </c>
      <c r="V14" s="28">
        <f>V12*Supuestos!$B$29</f>
        <v>4748121.492</v>
      </c>
      <c r="W14" s="28">
        <f>W12*Supuestos!$B$29</f>
        <v>4754016.226</v>
      </c>
      <c r="X14" s="28">
        <f>X12*Supuestos!$B$29</f>
        <v>4759918.279</v>
      </c>
      <c r="Y14" s="28">
        <f>Y12*Supuestos!$B$29</f>
        <v>4765827.659</v>
      </c>
      <c r="Z14" s="28">
        <f>Z12*Supuestos!$B$29</f>
        <v>4771744.375</v>
      </c>
      <c r="AA14" s="28">
        <f>AA12*Supuestos!$B$29</f>
        <v>4777668.438</v>
      </c>
      <c r="AB14" s="28">
        <f>AB12*Supuestos!$B$29</f>
        <v>4783599.854</v>
      </c>
      <c r="AC14" s="28">
        <f>AC12*Supuestos!$B$29</f>
        <v>4789538.635</v>
      </c>
      <c r="AD14" s="28">
        <f>AD12*Supuestos!$B$29</f>
        <v>4795484.788</v>
      </c>
      <c r="AE14" s="28">
        <f>AE12*Supuestos!$B$29</f>
        <v>4801438.323</v>
      </c>
      <c r="AF14" s="28">
        <f>AF12*Supuestos!$B$29</f>
        <v>4807399.25</v>
      </c>
      <c r="AG14" s="28">
        <f>AG12*Supuestos!$B$29</f>
        <v>4813367.577</v>
      </c>
      <c r="AH14" s="28">
        <f>AH12*Supuestos!$B$29</f>
        <v>4819343.314</v>
      </c>
      <c r="AI14" s="28">
        <f>AI12*Supuestos!$B$29</f>
        <v>4825326.47</v>
      </c>
      <c r="AJ14" s="28">
        <f>AJ12*Supuestos!$B$29</f>
        <v>4831317.053</v>
      </c>
      <c r="AK14" s="28">
        <f>AK12*Supuestos!$B$29</f>
        <v>4837315.074</v>
      </c>
      <c r="AL14" s="28">
        <f>AL12*Supuestos!$B$29</f>
        <v>4843320.541</v>
      </c>
      <c r="AM14" s="28">
        <f>AM12*Supuestos!$B$29</f>
        <v>4849333.464</v>
      </c>
      <c r="AN14" s="28">
        <f>AN12*Supuestos!$B$29</f>
        <v>4855353.852</v>
      </c>
      <c r="AO14" s="28">
        <f>AO12*Supuestos!$B$29</f>
        <v>4861381.714</v>
      </c>
      <c r="AP14" s="28">
        <f>AP12*Supuestos!$B$29</f>
        <v>4867417.06</v>
      </c>
      <c r="AQ14" s="28">
        <f>AQ12*Supuestos!$B$29</f>
        <v>4873459.898</v>
      </c>
      <c r="AR14" s="28">
        <f>AR12*Supuestos!$B$29</f>
        <v>4879510.239</v>
      </c>
      <c r="AS14" s="28">
        <f>AS12*Supuestos!$B$29</f>
        <v>4885568.091</v>
      </c>
      <c r="AT14" s="28">
        <f>AT12*Supuestos!$B$29</f>
        <v>4891633.464</v>
      </c>
      <c r="AU14" s="28">
        <f>AU12*Supuestos!$B$29</f>
        <v>4897706.367</v>
      </c>
      <c r="AV14" s="28">
        <f>AV12*Supuestos!$B$29</f>
        <v>4903786.809</v>
      </c>
      <c r="AW14" s="28">
        <f>AW12*Supuestos!$B$29</f>
        <v>4909874.8</v>
      </c>
      <c r="AX14" s="28">
        <f>AX12*Supuestos!$B$29</f>
        <v>4915970.349</v>
      </c>
      <c r="AY14" s="28">
        <f>AY12*Supuestos!$B$29</f>
        <v>4922073.466</v>
      </c>
      <c r="AZ14" s="28">
        <f>AZ12*Supuestos!$B$29</f>
        <v>4928184.16</v>
      </c>
      <c r="BA14" s="28">
        <f>BA12*Supuestos!$B$29</f>
        <v>4934302.44</v>
      </c>
      <c r="BB14" s="28">
        <f>BB12*Supuestos!$B$29</f>
        <v>4940428.316</v>
      </c>
      <c r="BC14" s="28">
        <f>BC12*Supuestos!$B$29</f>
        <v>4946561.797</v>
      </c>
      <c r="BD14" s="28">
        <f>BD12*Supuestos!$B$29</f>
        <v>4952702.893</v>
      </c>
      <c r="BE14" s="28">
        <f>BE12*Supuestos!$B$29</f>
        <v>4958851.612</v>
      </c>
      <c r="BF14" s="28">
        <f>BF12*Supuestos!$B$29</f>
        <v>4965007.966</v>
      </c>
      <c r="BG14" s="28">
        <f>BG12*Supuestos!$B$29</f>
        <v>4971171.962</v>
      </c>
      <c r="BH14" s="28">
        <f>BH12*Supuestos!$B$29</f>
        <v>4977343.611</v>
      </c>
      <c r="BI14" s="28">
        <f>BI12*Supuestos!$B$29</f>
        <v>4983522.922</v>
      </c>
      <c r="BJ14" s="28">
        <f>BJ12*Supuestos!$B$29</f>
        <v>4989709.904</v>
      </c>
    </row>
    <row r="15">
      <c r="A15" s="22" t="s">
        <v>176</v>
      </c>
      <c r="B15" s="22" t="s">
        <v>177</v>
      </c>
      <c r="C15" s="28">
        <f>C12*Supuestos!$B$30</f>
        <v>1987500</v>
      </c>
      <c r="D15" s="28">
        <f>D12*Supuestos!$B$30</f>
        <v>1989967.457</v>
      </c>
      <c r="E15" s="28">
        <f>E12*Supuestos!$B$30</f>
        <v>1992437.977</v>
      </c>
      <c r="F15" s="28">
        <f>F12*Supuestos!$B$30</f>
        <v>1994911.564</v>
      </c>
      <c r="G15" s="28">
        <f>G12*Supuestos!$B$30</f>
        <v>1997388.222</v>
      </c>
      <c r="H15" s="28">
        <f>H12*Supuestos!$B$30</f>
        <v>1999867.955</v>
      </c>
      <c r="I15" s="28">
        <f>I12*Supuestos!$B$30</f>
        <v>2002350.767</v>
      </c>
      <c r="J15" s="28">
        <f>J12*Supuestos!$B$30</f>
        <v>2004836.661</v>
      </c>
      <c r="K15" s="28">
        <f>K12*Supuestos!$B$30</f>
        <v>2007325.641</v>
      </c>
      <c r="L15" s="28">
        <f>L12*Supuestos!$B$30</f>
        <v>2009817.711</v>
      </c>
      <c r="M15" s="28">
        <f>M12*Supuestos!$B$30</f>
        <v>2012312.875</v>
      </c>
      <c r="N15" s="28">
        <f>N12*Supuestos!$B$30</f>
        <v>2014811.137</v>
      </c>
      <c r="O15" s="28">
        <f>O12*Supuestos!$B$30</f>
        <v>2017312.5</v>
      </c>
      <c r="P15" s="28">
        <f>P12*Supuestos!$B$30</f>
        <v>2019816.969</v>
      </c>
      <c r="Q15" s="28">
        <f>Q12*Supuestos!$B$30</f>
        <v>2022324.547</v>
      </c>
      <c r="R15" s="28">
        <f>R12*Supuestos!$B$30</f>
        <v>2024835.238</v>
      </c>
      <c r="S15" s="28">
        <f>S12*Supuestos!$B$30</f>
        <v>2027349.046</v>
      </c>
      <c r="T15" s="28">
        <f>T12*Supuestos!$B$30</f>
        <v>2029865.975</v>
      </c>
      <c r="U15" s="28">
        <f>U12*Supuestos!$B$30</f>
        <v>2032386.028</v>
      </c>
      <c r="V15" s="28">
        <f>V12*Supuestos!$B$30</f>
        <v>2034909.211</v>
      </c>
      <c r="W15" s="28">
        <f>W12*Supuestos!$B$30</f>
        <v>2037435.525</v>
      </c>
      <c r="X15" s="28">
        <f>X12*Supuestos!$B$30</f>
        <v>2039964.977</v>
      </c>
      <c r="Y15" s="28">
        <f>Y12*Supuestos!$B$30</f>
        <v>2042497.568</v>
      </c>
      <c r="Z15" s="28">
        <f>Z12*Supuestos!$B$30</f>
        <v>2045033.304</v>
      </c>
      <c r="AA15" s="28">
        <f>AA12*Supuestos!$B$30</f>
        <v>2047572.188</v>
      </c>
      <c r="AB15" s="28">
        <f>AB12*Supuestos!$B$30</f>
        <v>2050114.223</v>
      </c>
      <c r="AC15" s="28">
        <f>AC12*Supuestos!$B$30</f>
        <v>2052659.415</v>
      </c>
      <c r="AD15" s="28">
        <f>AD12*Supuestos!$B$30</f>
        <v>2055207.766</v>
      </c>
      <c r="AE15" s="28">
        <f>AE12*Supuestos!$B$30</f>
        <v>2057759.281</v>
      </c>
      <c r="AF15" s="28">
        <f>AF12*Supuestos!$B$30</f>
        <v>2060313.964</v>
      </c>
      <c r="AG15" s="28">
        <f>AG12*Supuestos!$B$30</f>
        <v>2062871.819</v>
      </c>
      <c r="AH15" s="28">
        <f>AH12*Supuestos!$B$30</f>
        <v>2065432.849</v>
      </c>
      <c r="AI15" s="28">
        <f>AI12*Supuestos!$B$30</f>
        <v>2067997.058</v>
      </c>
      <c r="AJ15" s="28">
        <f>AJ12*Supuestos!$B$30</f>
        <v>2070564.451</v>
      </c>
      <c r="AK15" s="28">
        <f>AK12*Supuestos!$B$30</f>
        <v>2073135.032</v>
      </c>
      <c r="AL15" s="28">
        <f>AL12*Supuestos!$B$30</f>
        <v>2075708.803</v>
      </c>
      <c r="AM15" s="28">
        <f>AM12*Supuestos!$B$30</f>
        <v>2078285.77</v>
      </c>
      <c r="AN15" s="28">
        <f>AN12*Supuestos!$B$30</f>
        <v>2080865.937</v>
      </c>
      <c r="AO15" s="28">
        <f>AO12*Supuestos!$B$30</f>
        <v>2083449.306</v>
      </c>
      <c r="AP15" s="28">
        <f>AP12*Supuestos!$B$30</f>
        <v>2086035.883</v>
      </c>
      <c r="AQ15" s="28">
        <f>AQ12*Supuestos!$B$30</f>
        <v>2088625.671</v>
      </c>
      <c r="AR15" s="28">
        <f>AR12*Supuestos!$B$30</f>
        <v>2091218.674</v>
      </c>
      <c r="AS15" s="28">
        <f>AS12*Supuestos!$B$30</f>
        <v>2093814.896</v>
      </c>
      <c r="AT15" s="28">
        <f>AT12*Supuestos!$B$30</f>
        <v>2096414.342</v>
      </c>
      <c r="AU15" s="28">
        <f>AU12*Supuestos!$B$30</f>
        <v>2099017.014</v>
      </c>
      <c r="AV15" s="28">
        <f>AV12*Supuestos!$B$30</f>
        <v>2101622.918</v>
      </c>
      <c r="AW15" s="28">
        <f>AW12*Supuestos!$B$30</f>
        <v>2104232.057</v>
      </c>
      <c r="AX15" s="28">
        <f>AX12*Supuestos!$B$30</f>
        <v>2106844.435</v>
      </c>
      <c r="AY15" s="28">
        <f>AY12*Supuestos!$B$30</f>
        <v>2109460.057</v>
      </c>
      <c r="AZ15" s="28">
        <f>AZ12*Supuestos!$B$30</f>
        <v>2112078.926</v>
      </c>
      <c r="BA15" s="28">
        <f>BA12*Supuestos!$B$30</f>
        <v>2114701.046</v>
      </c>
      <c r="BB15" s="28">
        <f>BB12*Supuestos!$B$30</f>
        <v>2117326.421</v>
      </c>
      <c r="BC15" s="28">
        <f>BC12*Supuestos!$B$30</f>
        <v>2119955.056</v>
      </c>
      <c r="BD15" s="28">
        <f>BD12*Supuestos!$B$30</f>
        <v>2122586.954</v>
      </c>
      <c r="BE15" s="28">
        <f>BE12*Supuestos!$B$30</f>
        <v>2125222.12</v>
      </c>
      <c r="BF15" s="28">
        <f>BF12*Supuestos!$B$30</f>
        <v>2127860.557</v>
      </c>
      <c r="BG15" s="28">
        <f>BG12*Supuestos!$B$30</f>
        <v>2130502.269</v>
      </c>
      <c r="BH15" s="28">
        <f>BH12*Supuestos!$B$30</f>
        <v>2133147.262</v>
      </c>
      <c r="BI15" s="28">
        <f>BI12*Supuestos!$B$30</f>
        <v>2135795.538</v>
      </c>
      <c r="BJ15" s="28">
        <f>BJ12*Supuestos!$B$30</f>
        <v>2138447.102</v>
      </c>
    </row>
    <row r="16">
      <c r="A16" s="22" t="s">
        <v>178</v>
      </c>
      <c r="B16" s="22" t="s">
        <v>179</v>
      </c>
      <c r="C16" s="28">
        <f>C13/Supuestos!$C$28</f>
        <v>20075757.58</v>
      </c>
      <c r="D16" s="28">
        <f>D13/Supuestos!$C$28</f>
        <v>20100681.38</v>
      </c>
      <c r="E16" s="28">
        <f>E13/Supuestos!$C$28</f>
        <v>20125636.13</v>
      </c>
      <c r="F16" s="28">
        <f>F13/Supuestos!$C$28</f>
        <v>20150621.86</v>
      </c>
      <c r="G16" s="28">
        <f>G13/Supuestos!$C$28</f>
        <v>20175638.61</v>
      </c>
      <c r="H16" s="28">
        <f>H13/Supuestos!$C$28</f>
        <v>20200686.42</v>
      </c>
      <c r="I16" s="28">
        <f>I13/Supuestos!$C$28</f>
        <v>20225765.32</v>
      </c>
      <c r="J16" s="28">
        <f>J13/Supuestos!$C$28</f>
        <v>20250875.36</v>
      </c>
      <c r="K16" s="28">
        <f>K13/Supuestos!$C$28</f>
        <v>20276016.57</v>
      </c>
      <c r="L16" s="28">
        <f>L13/Supuestos!$C$28</f>
        <v>20301189</v>
      </c>
      <c r="M16" s="28">
        <f>M13/Supuestos!$C$28</f>
        <v>20326392.68</v>
      </c>
      <c r="N16" s="28">
        <f>N13/Supuestos!$C$28</f>
        <v>20351627.64</v>
      </c>
      <c r="O16" s="28">
        <f>O13/Supuestos!$C$28</f>
        <v>20376893.94</v>
      </c>
      <c r="P16" s="28">
        <f>P13/Supuestos!$C$28</f>
        <v>20402191.6</v>
      </c>
      <c r="Q16" s="28">
        <f>Q13/Supuestos!$C$28</f>
        <v>20427520.67</v>
      </c>
      <c r="R16" s="28">
        <f>R13/Supuestos!$C$28</f>
        <v>20452881.19</v>
      </c>
      <c r="S16" s="28">
        <f>S13/Supuestos!$C$28</f>
        <v>20478273.19</v>
      </c>
      <c r="T16" s="28">
        <f>T13/Supuestos!$C$28</f>
        <v>20503696.71</v>
      </c>
      <c r="U16" s="28">
        <f>U13/Supuestos!$C$28</f>
        <v>20529151.8</v>
      </c>
      <c r="V16" s="28">
        <f>V13/Supuestos!$C$28</f>
        <v>20554638.49</v>
      </c>
      <c r="W16" s="28">
        <f>W13/Supuestos!$C$28</f>
        <v>20580156.82</v>
      </c>
      <c r="X16" s="28">
        <f>X13/Supuestos!$C$28</f>
        <v>20605706.84</v>
      </c>
      <c r="Y16" s="28">
        <f>Y13/Supuestos!$C$28</f>
        <v>20631288.57</v>
      </c>
      <c r="Z16" s="28">
        <f>Z13/Supuestos!$C$28</f>
        <v>20656902.06</v>
      </c>
      <c r="AA16" s="28">
        <f>AA13/Supuestos!$C$28</f>
        <v>20682547.35</v>
      </c>
      <c r="AB16" s="28">
        <f>AB13/Supuestos!$C$28</f>
        <v>20708224.48</v>
      </c>
      <c r="AC16" s="28">
        <f>AC13/Supuestos!$C$28</f>
        <v>20733933.48</v>
      </c>
      <c r="AD16" s="28">
        <f>AD13/Supuestos!$C$28</f>
        <v>20759674.41</v>
      </c>
      <c r="AE16" s="28">
        <f>AE13/Supuestos!$C$28</f>
        <v>20785447.29</v>
      </c>
      <c r="AF16" s="28">
        <f>AF13/Supuestos!$C$28</f>
        <v>20811252.17</v>
      </c>
      <c r="AG16" s="28">
        <f>AG13/Supuestos!$C$28</f>
        <v>20837089.08</v>
      </c>
      <c r="AH16" s="28">
        <f>AH13/Supuestos!$C$28</f>
        <v>20862958.07</v>
      </c>
      <c r="AI16" s="28">
        <f>AI13/Supuestos!$C$28</f>
        <v>20888859.18</v>
      </c>
      <c r="AJ16" s="28">
        <f>AJ13/Supuestos!$C$28</f>
        <v>20914792.44</v>
      </c>
      <c r="AK16" s="28">
        <f>AK13/Supuestos!$C$28</f>
        <v>20940757.9</v>
      </c>
      <c r="AL16" s="28">
        <f>AL13/Supuestos!$C$28</f>
        <v>20966755.59</v>
      </c>
      <c r="AM16" s="28">
        <f>AM13/Supuestos!$C$28</f>
        <v>20992785.56</v>
      </c>
      <c r="AN16" s="28">
        <f>AN13/Supuestos!$C$28</f>
        <v>21018847.84</v>
      </c>
      <c r="AO16" s="28">
        <f>AO13/Supuestos!$C$28</f>
        <v>21044942.49</v>
      </c>
      <c r="AP16" s="28">
        <f>AP13/Supuestos!$C$28</f>
        <v>21071069.52</v>
      </c>
      <c r="AQ16" s="28">
        <f>AQ13/Supuestos!$C$28</f>
        <v>21097229</v>
      </c>
      <c r="AR16" s="28">
        <f>AR13/Supuestos!$C$28</f>
        <v>21123420.95</v>
      </c>
      <c r="AS16" s="28">
        <f>AS13/Supuestos!$C$28</f>
        <v>21149645.42</v>
      </c>
      <c r="AT16" s="28">
        <f>AT13/Supuestos!$C$28</f>
        <v>21175902.44</v>
      </c>
      <c r="AU16" s="28">
        <f>AU13/Supuestos!$C$28</f>
        <v>21202192.06</v>
      </c>
      <c r="AV16" s="28">
        <f>AV13/Supuestos!$C$28</f>
        <v>21228514.32</v>
      </c>
      <c r="AW16" s="28">
        <f>AW13/Supuestos!$C$28</f>
        <v>21254869.26</v>
      </c>
      <c r="AX16" s="28">
        <f>AX13/Supuestos!$C$28</f>
        <v>21281256.92</v>
      </c>
      <c r="AY16" s="28">
        <f>AY13/Supuestos!$C$28</f>
        <v>21307677.34</v>
      </c>
      <c r="AZ16" s="28">
        <f>AZ13/Supuestos!$C$28</f>
        <v>21334130.56</v>
      </c>
      <c r="BA16" s="28">
        <f>BA13/Supuestos!$C$28</f>
        <v>21360616.62</v>
      </c>
      <c r="BB16" s="28">
        <f>BB13/Supuestos!$C$28</f>
        <v>21387135.57</v>
      </c>
      <c r="BC16" s="28">
        <f>BC13/Supuestos!$C$28</f>
        <v>21413687.43</v>
      </c>
      <c r="BD16" s="28">
        <f>BD13/Supuestos!$C$28</f>
        <v>21440272.26</v>
      </c>
      <c r="BE16" s="28">
        <f>BE13/Supuestos!$C$28</f>
        <v>21466890.1</v>
      </c>
      <c r="BF16" s="28">
        <f>BF13/Supuestos!$C$28</f>
        <v>21493540.98</v>
      </c>
      <c r="BG16" s="28">
        <f>BG13/Supuestos!$C$28</f>
        <v>21520224.94</v>
      </c>
      <c r="BH16" s="28">
        <f>BH13/Supuestos!$C$28</f>
        <v>21546942.04</v>
      </c>
      <c r="BI16" s="28">
        <f>BI13/Supuestos!$C$28</f>
        <v>21573692.3</v>
      </c>
      <c r="BJ16" s="28">
        <f>BJ13/Supuestos!$C$28</f>
        <v>21600475.78</v>
      </c>
    </row>
    <row r="17">
      <c r="A17" s="22" t="s">
        <v>180</v>
      </c>
      <c r="B17" s="22" t="s">
        <v>181</v>
      </c>
      <c r="C17" s="28">
        <f>C14/Supuestos!$C$29</f>
        <v>3091666.667</v>
      </c>
      <c r="D17" s="28">
        <f>D14/Supuestos!$C$29</f>
        <v>3095504.933</v>
      </c>
      <c r="E17" s="28">
        <f>E14/Supuestos!$C$29</f>
        <v>3099347.964</v>
      </c>
      <c r="F17" s="28">
        <f>F14/Supuestos!$C$29</f>
        <v>3103195.767</v>
      </c>
      <c r="G17" s="28">
        <f>G14/Supuestos!$C$29</f>
        <v>3107048.346</v>
      </c>
      <c r="H17" s="28">
        <f>H14/Supuestos!$C$29</f>
        <v>3110905.708</v>
      </c>
      <c r="I17" s="28">
        <f>I14/Supuestos!$C$29</f>
        <v>3114767.86</v>
      </c>
      <c r="J17" s="28">
        <f>J14/Supuestos!$C$29</f>
        <v>3118634.806</v>
      </c>
      <c r="K17" s="28">
        <f>K14/Supuestos!$C$29</f>
        <v>3122506.552</v>
      </c>
      <c r="L17" s="28">
        <f>L14/Supuestos!$C$29</f>
        <v>3126383.106</v>
      </c>
      <c r="M17" s="28">
        <f>M14/Supuestos!$C$29</f>
        <v>3130264.472</v>
      </c>
      <c r="N17" s="28">
        <f>N14/Supuestos!$C$29</f>
        <v>3134150.657</v>
      </c>
      <c r="O17" s="28">
        <f>O14/Supuestos!$C$29</f>
        <v>3138041.667</v>
      </c>
      <c r="P17" s="28">
        <f>P14/Supuestos!$C$29</f>
        <v>3141937.507</v>
      </c>
      <c r="Q17" s="28">
        <f>Q14/Supuestos!$C$29</f>
        <v>3145838.184</v>
      </c>
      <c r="R17" s="28">
        <f>R14/Supuestos!$C$29</f>
        <v>3149743.703</v>
      </c>
      <c r="S17" s="28">
        <f>S14/Supuestos!$C$29</f>
        <v>3153654.071</v>
      </c>
      <c r="T17" s="28">
        <f>T14/Supuestos!$C$29</f>
        <v>3157569.294</v>
      </c>
      <c r="U17" s="28">
        <f>U14/Supuestos!$C$29</f>
        <v>3161489.378</v>
      </c>
      <c r="V17" s="28">
        <f>V14/Supuestos!$C$29</f>
        <v>3165414.328</v>
      </c>
      <c r="W17" s="28">
        <f>W14/Supuestos!$C$29</f>
        <v>3169344.151</v>
      </c>
      <c r="X17" s="28">
        <f>X14/Supuestos!$C$29</f>
        <v>3173278.853</v>
      </c>
      <c r="Y17" s="28">
        <f>Y14/Supuestos!$C$29</f>
        <v>3177218.439</v>
      </c>
      <c r="Z17" s="28">
        <f>Z14/Supuestos!$C$29</f>
        <v>3181162.917</v>
      </c>
      <c r="AA17" s="28">
        <f>AA14/Supuestos!$C$29</f>
        <v>3185112.292</v>
      </c>
      <c r="AB17" s="28">
        <f>AB14/Supuestos!$C$29</f>
        <v>3189066.569</v>
      </c>
      <c r="AC17" s="28">
        <f>AC14/Supuestos!$C$29</f>
        <v>3193025.756</v>
      </c>
      <c r="AD17" s="28">
        <f>AD14/Supuestos!$C$29</f>
        <v>3196989.859</v>
      </c>
      <c r="AE17" s="28">
        <f>AE14/Supuestos!$C$29</f>
        <v>3200958.882</v>
      </c>
      <c r="AF17" s="28">
        <f>AF14/Supuestos!$C$29</f>
        <v>3204932.833</v>
      </c>
      <c r="AG17" s="28">
        <f>AG14/Supuestos!$C$29</f>
        <v>3208911.718</v>
      </c>
      <c r="AH17" s="28">
        <f>AH14/Supuestos!$C$29</f>
        <v>3212895.543</v>
      </c>
      <c r="AI17" s="28">
        <f>AI14/Supuestos!$C$29</f>
        <v>3216884.313</v>
      </c>
      <c r="AJ17" s="28">
        <f>AJ14/Supuestos!$C$29</f>
        <v>3220878.035</v>
      </c>
      <c r="AK17" s="28">
        <f>AK14/Supuestos!$C$29</f>
        <v>3224876.716</v>
      </c>
      <c r="AL17" s="28">
        <f>AL14/Supuestos!$C$29</f>
        <v>3228880.361</v>
      </c>
      <c r="AM17" s="28">
        <f>AM14/Supuestos!$C$29</f>
        <v>3232888.976</v>
      </c>
      <c r="AN17" s="28">
        <f>AN14/Supuestos!$C$29</f>
        <v>3236902.568</v>
      </c>
      <c r="AO17" s="28">
        <f>AO14/Supuestos!$C$29</f>
        <v>3240921.143</v>
      </c>
      <c r="AP17" s="28">
        <f>AP14/Supuestos!$C$29</f>
        <v>3244944.707</v>
      </c>
      <c r="AQ17" s="28">
        <f>AQ14/Supuestos!$C$29</f>
        <v>3248973.266</v>
      </c>
      <c r="AR17" s="28">
        <f>AR14/Supuestos!$C$29</f>
        <v>3253006.826</v>
      </c>
      <c r="AS17" s="28">
        <f>AS14/Supuestos!$C$29</f>
        <v>3257045.394</v>
      </c>
      <c r="AT17" s="28">
        <f>AT14/Supuestos!$C$29</f>
        <v>3261088.976</v>
      </c>
      <c r="AU17" s="28">
        <f>AU14/Supuestos!$C$29</f>
        <v>3265137.578</v>
      </c>
      <c r="AV17" s="28">
        <f>AV14/Supuestos!$C$29</f>
        <v>3269191.206</v>
      </c>
      <c r="AW17" s="28">
        <f>AW14/Supuestos!$C$29</f>
        <v>3273249.867</v>
      </c>
      <c r="AX17" s="28">
        <f>AX14/Supuestos!$C$29</f>
        <v>3277313.566</v>
      </c>
      <c r="AY17" s="28">
        <f>AY14/Supuestos!$C$29</f>
        <v>3281382.311</v>
      </c>
      <c r="AZ17" s="28">
        <f>AZ14/Supuestos!$C$29</f>
        <v>3285456.107</v>
      </c>
      <c r="BA17" s="28">
        <f>BA14/Supuestos!$C$29</f>
        <v>3289534.96</v>
      </c>
      <c r="BB17" s="28">
        <f>BB14/Supuestos!$C$29</f>
        <v>3293618.877</v>
      </c>
      <c r="BC17" s="28">
        <f>BC14/Supuestos!$C$29</f>
        <v>3297707.865</v>
      </c>
      <c r="BD17" s="28">
        <f>BD14/Supuestos!$C$29</f>
        <v>3301801.928</v>
      </c>
      <c r="BE17" s="28">
        <f>BE14/Supuestos!$C$29</f>
        <v>3305901.075</v>
      </c>
      <c r="BF17" s="28">
        <f>BF14/Supuestos!$C$29</f>
        <v>3310005.31</v>
      </c>
      <c r="BG17" s="28">
        <f>BG14/Supuestos!$C$29</f>
        <v>3314114.641</v>
      </c>
      <c r="BH17" s="28">
        <f>BH14/Supuestos!$C$29</f>
        <v>3318229.074</v>
      </c>
      <c r="BI17" s="28">
        <f>BI14/Supuestos!$C$29</f>
        <v>3322348.615</v>
      </c>
      <c r="BJ17" s="28">
        <f>BJ14/Supuestos!$C$29</f>
        <v>3326473.27</v>
      </c>
    </row>
    <row r="18">
      <c r="A18" s="22" t="s">
        <v>182</v>
      </c>
      <c r="B18" s="22" t="s">
        <v>183</v>
      </c>
      <c r="C18" s="28">
        <f>C15/Supuestos!$C$30</f>
        <v>79500</v>
      </c>
      <c r="D18" s="28">
        <f>D15/Supuestos!$C$30</f>
        <v>79598.69827</v>
      </c>
      <c r="E18" s="28">
        <f>E15/Supuestos!$C$30</f>
        <v>79697.51908</v>
      </c>
      <c r="F18" s="28">
        <f>F15/Supuestos!$C$30</f>
        <v>79796.46257</v>
      </c>
      <c r="G18" s="28">
        <f>G15/Supuestos!$C$30</f>
        <v>79895.5289</v>
      </c>
      <c r="H18" s="28">
        <f>H15/Supuestos!$C$30</f>
        <v>79994.71822</v>
      </c>
      <c r="I18" s="28">
        <f>I15/Supuestos!$C$30</f>
        <v>80094.03068</v>
      </c>
      <c r="J18" s="28">
        <f>J15/Supuestos!$C$30</f>
        <v>80193.46643</v>
      </c>
      <c r="K18" s="28">
        <f>K15/Supuestos!$C$30</f>
        <v>80293.02564</v>
      </c>
      <c r="L18" s="28">
        <f>L15/Supuestos!$C$30</f>
        <v>80392.70844</v>
      </c>
      <c r="M18" s="28">
        <f>M15/Supuestos!$C$30</f>
        <v>80492.515</v>
      </c>
      <c r="N18" s="28">
        <f>N15/Supuestos!$C$30</f>
        <v>80592.44547</v>
      </c>
      <c r="O18" s="28">
        <f>O15/Supuestos!$C$30</f>
        <v>80692.5</v>
      </c>
      <c r="P18" s="28">
        <f>P15/Supuestos!$C$30</f>
        <v>80792.67875</v>
      </c>
      <c r="Q18" s="28">
        <f>Q15/Supuestos!$C$30</f>
        <v>80892.98187</v>
      </c>
      <c r="R18" s="28">
        <f>R15/Supuestos!$C$30</f>
        <v>80993.40951</v>
      </c>
      <c r="S18" s="28">
        <f>S15/Supuestos!$C$30</f>
        <v>81093.96183</v>
      </c>
      <c r="T18" s="28">
        <f>T15/Supuestos!$C$30</f>
        <v>81194.63899</v>
      </c>
      <c r="U18" s="28">
        <f>U15/Supuestos!$C$30</f>
        <v>81295.44114</v>
      </c>
      <c r="V18" s="28">
        <f>V15/Supuestos!$C$30</f>
        <v>81396.36843</v>
      </c>
      <c r="W18" s="28">
        <f>W15/Supuestos!$C$30</f>
        <v>81497.42102</v>
      </c>
      <c r="X18" s="28">
        <f>X15/Supuestos!$C$30</f>
        <v>81598.59907</v>
      </c>
      <c r="Y18" s="28">
        <f>Y15/Supuestos!$C$30</f>
        <v>81699.90273</v>
      </c>
      <c r="Z18" s="28">
        <f>Z15/Supuestos!$C$30</f>
        <v>81801.33215</v>
      </c>
      <c r="AA18" s="28">
        <f>AA15/Supuestos!$C$30</f>
        <v>81902.8875</v>
      </c>
      <c r="AB18" s="28">
        <f>AB15/Supuestos!$C$30</f>
        <v>82004.56893</v>
      </c>
      <c r="AC18" s="28">
        <f>AC15/Supuestos!$C$30</f>
        <v>82106.37659</v>
      </c>
      <c r="AD18" s="28">
        <f>AD15/Supuestos!$C$30</f>
        <v>82208.31065</v>
      </c>
      <c r="AE18" s="28">
        <f>AE15/Supuestos!$C$30</f>
        <v>82310.37126</v>
      </c>
      <c r="AF18" s="28">
        <f>AF15/Supuestos!$C$30</f>
        <v>82412.55857</v>
      </c>
      <c r="AG18" s="28">
        <f>AG15/Supuestos!$C$30</f>
        <v>82514.87275</v>
      </c>
      <c r="AH18" s="28">
        <f>AH15/Supuestos!$C$30</f>
        <v>82617.31395</v>
      </c>
      <c r="AI18" s="28">
        <f>AI15/Supuestos!$C$30</f>
        <v>82719.88234</v>
      </c>
      <c r="AJ18" s="28">
        <f>AJ15/Supuestos!$C$30</f>
        <v>82822.57805</v>
      </c>
      <c r="AK18" s="28">
        <f>AK15/Supuestos!$C$30</f>
        <v>82925.40127</v>
      </c>
      <c r="AL18" s="28">
        <f>AL15/Supuestos!$C$30</f>
        <v>83028.35213</v>
      </c>
      <c r="AM18" s="28">
        <f>AM15/Supuestos!$C$30</f>
        <v>83131.43081</v>
      </c>
      <c r="AN18" s="28">
        <f>AN15/Supuestos!$C$30</f>
        <v>83234.63746</v>
      </c>
      <c r="AO18" s="28">
        <f>AO15/Supuestos!$C$30</f>
        <v>83337.97224</v>
      </c>
      <c r="AP18" s="28">
        <f>AP15/Supuestos!$C$30</f>
        <v>83441.43531</v>
      </c>
      <c r="AQ18" s="28">
        <f>AQ15/Supuestos!$C$30</f>
        <v>83545.02683</v>
      </c>
      <c r="AR18" s="28">
        <f>AR15/Supuestos!$C$30</f>
        <v>83648.74695</v>
      </c>
      <c r="AS18" s="28">
        <f>AS15/Supuestos!$C$30</f>
        <v>83752.59584</v>
      </c>
      <c r="AT18" s="28">
        <f>AT15/Supuestos!$C$30</f>
        <v>83856.57366</v>
      </c>
      <c r="AU18" s="28">
        <f>AU15/Supuestos!$C$30</f>
        <v>83960.68057</v>
      </c>
      <c r="AV18" s="28">
        <f>AV15/Supuestos!$C$30</f>
        <v>84064.91672</v>
      </c>
      <c r="AW18" s="28">
        <f>AW15/Supuestos!$C$30</f>
        <v>84169.28229</v>
      </c>
      <c r="AX18" s="28">
        <f>AX15/Supuestos!$C$30</f>
        <v>84273.77742</v>
      </c>
      <c r="AY18" s="28">
        <f>AY15/Supuestos!$C$30</f>
        <v>84378.40227</v>
      </c>
      <c r="AZ18" s="28">
        <f>AZ15/Supuestos!$C$30</f>
        <v>84483.15702</v>
      </c>
      <c r="BA18" s="28">
        <f>BA15/Supuestos!$C$30</f>
        <v>84588.04183</v>
      </c>
      <c r="BB18" s="28">
        <f>BB15/Supuestos!$C$30</f>
        <v>84693.05684</v>
      </c>
      <c r="BC18" s="28">
        <f>BC15/Supuestos!$C$30</f>
        <v>84798.20223</v>
      </c>
      <c r="BD18" s="28">
        <f>BD15/Supuestos!$C$30</f>
        <v>84903.47816</v>
      </c>
      <c r="BE18" s="28">
        <f>BE15/Supuestos!$C$30</f>
        <v>85008.88478</v>
      </c>
      <c r="BF18" s="28">
        <f>BF15/Supuestos!$C$30</f>
        <v>85114.42227</v>
      </c>
      <c r="BG18" s="28">
        <f>BG15/Supuestos!$C$30</f>
        <v>85220.09078</v>
      </c>
      <c r="BH18" s="28">
        <f>BH15/Supuestos!$C$30</f>
        <v>85325.89047</v>
      </c>
      <c r="BI18" s="28">
        <f>BI15/Supuestos!$C$30</f>
        <v>85431.82152</v>
      </c>
      <c r="BJ18" s="28">
        <f>BJ15/Supuestos!$C$30</f>
        <v>85537.88408</v>
      </c>
    </row>
    <row r="19">
      <c r="A19" s="22" t="s">
        <v>184</v>
      </c>
      <c r="B19" s="22" t="s">
        <v>185</v>
      </c>
      <c r="C19" s="28">
        <f>C16*Supuestos!$B$14*(1+Supuestos!$B$12)</f>
        <v>20868750</v>
      </c>
      <c r="D19" s="28">
        <f>D16*Supuestos!$B$14*(1+Supuestos!$B$12)</f>
        <v>20894658.3</v>
      </c>
      <c r="E19" s="28">
        <f>E16*Supuestos!$B$14*(1+Supuestos!$B$12)</f>
        <v>20920598.76</v>
      </c>
      <c r="F19" s="28">
        <f>F16*Supuestos!$B$14*(1+Supuestos!$B$12)</f>
        <v>20946571.42</v>
      </c>
      <c r="G19" s="28">
        <f>G16*Supuestos!$B$14*(1+Supuestos!$B$12)</f>
        <v>20972576.34</v>
      </c>
      <c r="H19" s="28">
        <f>H16*Supuestos!$B$14*(1+Supuestos!$B$12)</f>
        <v>20998613.53</v>
      </c>
      <c r="I19" s="28">
        <f>I16*Supuestos!$B$14*(1+Supuestos!$B$12)</f>
        <v>21024683.05</v>
      </c>
      <c r="J19" s="28">
        <f>J16*Supuestos!$B$14*(1+Supuestos!$B$12)</f>
        <v>21050784.94</v>
      </c>
      <c r="K19" s="28">
        <f>K16*Supuestos!$B$14*(1+Supuestos!$B$12)</f>
        <v>21076919.23</v>
      </c>
      <c r="L19" s="28">
        <f>L16*Supuestos!$B$14*(1+Supuestos!$B$12)</f>
        <v>21103085.97</v>
      </c>
      <c r="M19" s="28">
        <f>M16*Supuestos!$B$14*(1+Supuestos!$B$12)</f>
        <v>21129285.19</v>
      </c>
      <c r="N19" s="28">
        <f>N16*Supuestos!$B$14*(1+Supuestos!$B$12)</f>
        <v>21155516.94</v>
      </c>
      <c r="O19" s="28">
        <f>O16*Supuestos!$B$14*(1+Supuestos!$B$12)</f>
        <v>21181781.25</v>
      </c>
      <c r="P19" s="28">
        <f>P16*Supuestos!$B$14*(1+Supuestos!$B$12)</f>
        <v>21208078.17</v>
      </c>
      <c r="Q19" s="28">
        <f>Q16*Supuestos!$B$14*(1+Supuestos!$B$12)</f>
        <v>21234407.74</v>
      </c>
      <c r="R19" s="28">
        <f>R16*Supuestos!$B$14*(1+Supuestos!$B$12)</f>
        <v>21260770</v>
      </c>
      <c r="S19" s="28">
        <f>S16*Supuestos!$B$14*(1+Supuestos!$B$12)</f>
        <v>21287164.98</v>
      </c>
      <c r="T19" s="28">
        <f>T16*Supuestos!$B$14*(1+Supuestos!$B$12)</f>
        <v>21313592.73</v>
      </c>
      <c r="U19" s="28">
        <f>U16*Supuestos!$B$14*(1+Supuestos!$B$12)</f>
        <v>21340053.3</v>
      </c>
      <c r="V19" s="28">
        <f>V16*Supuestos!$B$14*(1+Supuestos!$B$12)</f>
        <v>21366546.71</v>
      </c>
      <c r="W19" s="28">
        <f>W16*Supuestos!$B$14*(1+Supuestos!$B$12)</f>
        <v>21393073.02</v>
      </c>
      <c r="X19" s="28">
        <f>X16*Supuestos!$B$14*(1+Supuestos!$B$12)</f>
        <v>21419632.26</v>
      </c>
      <c r="Y19" s="28">
        <f>Y16*Supuestos!$B$14*(1+Supuestos!$B$12)</f>
        <v>21446224.47</v>
      </c>
      <c r="Z19" s="28">
        <f>Z16*Supuestos!$B$14*(1+Supuestos!$B$12)</f>
        <v>21472849.69</v>
      </c>
      <c r="AA19" s="28">
        <f>AA16*Supuestos!$B$14*(1+Supuestos!$B$12)</f>
        <v>21499507.97</v>
      </c>
      <c r="AB19" s="28">
        <f>AB16*Supuestos!$B$14*(1+Supuestos!$B$12)</f>
        <v>21526199.34</v>
      </c>
      <c r="AC19" s="28">
        <f>AC16*Supuestos!$B$14*(1+Supuestos!$B$12)</f>
        <v>21552923.86</v>
      </c>
      <c r="AD19" s="28">
        <f>AD16*Supuestos!$B$14*(1+Supuestos!$B$12)</f>
        <v>21579681.55</v>
      </c>
      <c r="AE19" s="28">
        <f>AE16*Supuestos!$B$14*(1+Supuestos!$B$12)</f>
        <v>21606472.46</v>
      </c>
      <c r="AF19" s="28">
        <f>AF16*Supuestos!$B$14*(1+Supuestos!$B$12)</f>
        <v>21633296.63</v>
      </c>
      <c r="AG19" s="28">
        <f>AG16*Supuestos!$B$14*(1+Supuestos!$B$12)</f>
        <v>21660154.1</v>
      </c>
      <c r="AH19" s="28">
        <f>AH16*Supuestos!$B$14*(1+Supuestos!$B$12)</f>
        <v>21687044.91</v>
      </c>
      <c r="AI19" s="28">
        <f>AI16*Supuestos!$B$14*(1+Supuestos!$B$12)</f>
        <v>21713969.11</v>
      </c>
      <c r="AJ19" s="28">
        <f>AJ16*Supuestos!$B$14*(1+Supuestos!$B$12)</f>
        <v>21740926.74</v>
      </c>
      <c r="AK19" s="28">
        <f>AK16*Supuestos!$B$14*(1+Supuestos!$B$12)</f>
        <v>21767917.83</v>
      </c>
      <c r="AL19" s="28">
        <f>AL16*Supuestos!$B$14*(1+Supuestos!$B$12)</f>
        <v>21794942.43</v>
      </c>
      <c r="AM19" s="28">
        <f>AM16*Supuestos!$B$14*(1+Supuestos!$B$12)</f>
        <v>21822000.59</v>
      </c>
      <c r="AN19" s="28">
        <f>AN16*Supuestos!$B$14*(1+Supuestos!$B$12)</f>
        <v>21849092.33</v>
      </c>
      <c r="AO19" s="28">
        <f>AO16*Supuestos!$B$14*(1+Supuestos!$B$12)</f>
        <v>21876217.71</v>
      </c>
      <c r="AP19" s="28">
        <f>AP16*Supuestos!$B$14*(1+Supuestos!$B$12)</f>
        <v>21903376.77</v>
      </c>
      <c r="AQ19" s="28">
        <f>AQ16*Supuestos!$B$14*(1+Supuestos!$B$12)</f>
        <v>21930569.54</v>
      </c>
      <c r="AR19" s="28">
        <f>AR16*Supuestos!$B$14*(1+Supuestos!$B$12)</f>
        <v>21957796.08</v>
      </c>
      <c r="AS19" s="28">
        <f>AS16*Supuestos!$B$14*(1+Supuestos!$B$12)</f>
        <v>21985056.41</v>
      </c>
      <c r="AT19" s="28">
        <f>AT16*Supuestos!$B$14*(1+Supuestos!$B$12)</f>
        <v>22012350.59</v>
      </c>
      <c r="AU19" s="28">
        <f>AU16*Supuestos!$B$14*(1+Supuestos!$B$12)</f>
        <v>22039678.65</v>
      </c>
      <c r="AV19" s="28">
        <f>AV16*Supuestos!$B$14*(1+Supuestos!$B$12)</f>
        <v>22067040.64</v>
      </c>
      <c r="AW19" s="28">
        <f>AW16*Supuestos!$B$14*(1+Supuestos!$B$12)</f>
        <v>22094436.6</v>
      </c>
      <c r="AX19" s="28">
        <f>AX16*Supuestos!$B$14*(1+Supuestos!$B$12)</f>
        <v>22121866.57</v>
      </c>
      <c r="AY19" s="28">
        <f>AY16*Supuestos!$B$14*(1+Supuestos!$B$12)</f>
        <v>22149330.6</v>
      </c>
      <c r="AZ19" s="28">
        <f>AZ16*Supuestos!$B$14*(1+Supuestos!$B$12)</f>
        <v>22176828.72</v>
      </c>
      <c r="BA19" s="28">
        <f>BA16*Supuestos!$B$14*(1+Supuestos!$B$12)</f>
        <v>22204360.98</v>
      </c>
      <c r="BB19" s="28">
        <f>BB16*Supuestos!$B$14*(1+Supuestos!$B$12)</f>
        <v>22231927.42</v>
      </c>
      <c r="BC19" s="28">
        <f>BC16*Supuestos!$B$14*(1+Supuestos!$B$12)</f>
        <v>22259528.09</v>
      </c>
      <c r="BD19" s="28">
        <f>BD16*Supuestos!$B$14*(1+Supuestos!$B$12)</f>
        <v>22287163.02</v>
      </c>
      <c r="BE19" s="28">
        <f>BE16*Supuestos!$B$14*(1+Supuestos!$B$12)</f>
        <v>22314832.26</v>
      </c>
      <c r="BF19" s="28">
        <f>BF16*Supuestos!$B$14*(1+Supuestos!$B$12)</f>
        <v>22342535.85</v>
      </c>
      <c r="BG19" s="28">
        <f>BG16*Supuestos!$B$14*(1+Supuestos!$B$12)</f>
        <v>22370273.83</v>
      </c>
      <c r="BH19" s="28">
        <f>BH16*Supuestos!$B$14*(1+Supuestos!$B$12)</f>
        <v>22398046.25</v>
      </c>
      <c r="BI19" s="28">
        <f>BI16*Supuestos!$B$14*(1+Supuestos!$B$12)</f>
        <v>22425853.15</v>
      </c>
      <c r="BJ19" s="28">
        <f>BJ16*Supuestos!$B$14*(1+Supuestos!$B$12)</f>
        <v>22453694.57</v>
      </c>
    </row>
    <row r="20">
      <c r="A20" s="22" t="s">
        <v>186</v>
      </c>
      <c r="B20" s="22" t="s">
        <v>187</v>
      </c>
      <c r="C20" s="28">
        <f>C17*Supuestos!$B$14*(1+Supuestos!$B$12)</f>
        <v>3213787.5</v>
      </c>
      <c r="D20" s="28">
        <f>D17*Supuestos!$B$14*(1+Supuestos!$B$12)</f>
        <v>3217777.378</v>
      </c>
      <c r="E20" s="28">
        <f>E17*Supuestos!$B$14*(1+Supuestos!$B$12)</f>
        <v>3221772.209</v>
      </c>
      <c r="F20" s="28">
        <f>F17*Supuestos!$B$14*(1+Supuestos!$B$12)</f>
        <v>3225771.999</v>
      </c>
      <c r="G20" s="28">
        <f>G17*Supuestos!$B$14*(1+Supuestos!$B$12)</f>
        <v>3229776.756</v>
      </c>
      <c r="H20" s="28">
        <f>H17*Supuestos!$B$14*(1+Supuestos!$B$12)</f>
        <v>3233786.484</v>
      </c>
      <c r="I20" s="28">
        <f>I17*Supuestos!$B$14*(1+Supuestos!$B$12)</f>
        <v>3237801.19</v>
      </c>
      <c r="J20" s="28">
        <f>J17*Supuestos!$B$14*(1+Supuestos!$B$12)</f>
        <v>3241820.881</v>
      </c>
      <c r="K20" s="28">
        <f>K17*Supuestos!$B$14*(1+Supuestos!$B$12)</f>
        <v>3245845.561</v>
      </c>
      <c r="L20" s="28">
        <f>L17*Supuestos!$B$14*(1+Supuestos!$B$12)</f>
        <v>3249875.239</v>
      </c>
      <c r="M20" s="28">
        <f>M17*Supuestos!$B$14*(1+Supuestos!$B$12)</f>
        <v>3253909.919</v>
      </c>
      <c r="N20" s="28">
        <f>N17*Supuestos!$B$14*(1+Supuestos!$B$12)</f>
        <v>3257949.608</v>
      </c>
      <c r="O20" s="28">
        <f>O17*Supuestos!$B$14*(1+Supuestos!$B$12)</f>
        <v>3261994.313</v>
      </c>
      <c r="P20" s="28">
        <f>P17*Supuestos!$B$14*(1+Supuestos!$B$12)</f>
        <v>3266044.038</v>
      </c>
      <c r="Q20" s="28">
        <f>Q17*Supuestos!$B$14*(1+Supuestos!$B$12)</f>
        <v>3270098.792</v>
      </c>
      <c r="R20" s="28">
        <f>R17*Supuestos!$B$14*(1+Supuestos!$B$12)</f>
        <v>3274158.579</v>
      </c>
      <c r="S20" s="28">
        <f>S17*Supuestos!$B$14*(1+Supuestos!$B$12)</f>
        <v>3278223.407</v>
      </c>
      <c r="T20" s="28">
        <f>T17*Supuestos!$B$14*(1+Supuestos!$B$12)</f>
        <v>3282293.281</v>
      </c>
      <c r="U20" s="28">
        <f>U17*Supuestos!$B$14*(1+Supuestos!$B$12)</f>
        <v>3286368.208</v>
      </c>
      <c r="V20" s="28">
        <f>V17*Supuestos!$B$14*(1+Supuestos!$B$12)</f>
        <v>3290448.194</v>
      </c>
      <c r="W20" s="28">
        <f>W17*Supuestos!$B$14*(1+Supuestos!$B$12)</f>
        <v>3294533.245</v>
      </c>
      <c r="X20" s="28">
        <f>X17*Supuestos!$B$14*(1+Supuestos!$B$12)</f>
        <v>3298623.367</v>
      </c>
      <c r="Y20" s="28">
        <f>Y17*Supuestos!$B$14*(1+Supuestos!$B$12)</f>
        <v>3302718.568</v>
      </c>
      <c r="Z20" s="28">
        <f>Z17*Supuestos!$B$14*(1+Supuestos!$B$12)</f>
        <v>3306818.852</v>
      </c>
      <c r="AA20" s="28">
        <f>AA17*Supuestos!$B$14*(1+Supuestos!$B$12)</f>
        <v>3310924.227</v>
      </c>
      <c r="AB20" s="28">
        <f>AB17*Supuestos!$B$14*(1+Supuestos!$B$12)</f>
        <v>3315034.699</v>
      </c>
      <c r="AC20" s="28">
        <f>AC17*Supuestos!$B$14*(1+Supuestos!$B$12)</f>
        <v>3319150.274</v>
      </c>
      <c r="AD20" s="28">
        <f>AD17*Supuestos!$B$14*(1+Supuestos!$B$12)</f>
        <v>3323270.958</v>
      </c>
      <c r="AE20" s="28">
        <f>AE17*Supuestos!$B$14*(1+Supuestos!$B$12)</f>
        <v>3327396.758</v>
      </c>
      <c r="AF20" s="28">
        <f>AF17*Supuestos!$B$14*(1+Supuestos!$B$12)</f>
        <v>3331527.68</v>
      </c>
      <c r="AG20" s="28">
        <f>AG17*Supuestos!$B$14*(1+Supuestos!$B$12)</f>
        <v>3335663.731</v>
      </c>
      <c r="AH20" s="28">
        <f>AH17*Supuestos!$B$14*(1+Supuestos!$B$12)</f>
        <v>3339804.917</v>
      </c>
      <c r="AI20" s="28">
        <f>AI17*Supuestos!$B$14*(1+Supuestos!$B$12)</f>
        <v>3343951.243</v>
      </c>
      <c r="AJ20" s="28">
        <f>AJ17*Supuestos!$B$14*(1+Supuestos!$B$12)</f>
        <v>3348102.718</v>
      </c>
      <c r="AK20" s="28">
        <f>AK17*Supuestos!$B$14*(1+Supuestos!$B$12)</f>
        <v>3352259.346</v>
      </c>
      <c r="AL20" s="28">
        <f>AL17*Supuestos!$B$14*(1+Supuestos!$B$12)</f>
        <v>3356421.135</v>
      </c>
      <c r="AM20" s="28">
        <f>AM17*Supuestos!$B$14*(1+Supuestos!$B$12)</f>
        <v>3360588.091</v>
      </c>
      <c r="AN20" s="28">
        <f>AN17*Supuestos!$B$14*(1+Supuestos!$B$12)</f>
        <v>3364760.219</v>
      </c>
      <c r="AO20" s="28">
        <f>AO17*Supuestos!$B$14*(1+Supuestos!$B$12)</f>
        <v>3368937.528</v>
      </c>
      <c r="AP20" s="28">
        <f>AP17*Supuestos!$B$14*(1+Supuestos!$B$12)</f>
        <v>3373120.022</v>
      </c>
      <c r="AQ20" s="28">
        <f>AQ17*Supuestos!$B$14*(1+Supuestos!$B$12)</f>
        <v>3377307.71</v>
      </c>
      <c r="AR20" s="28">
        <f>AR17*Supuestos!$B$14*(1+Supuestos!$B$12)</f>
        <v>3381500.596</v>
      </c>
      <c r="AS20" s="28">
        <f>AS17*Supuestos!$B$14*(1+Supuestos!$B$12)</f>
        <v>3385698.687</v>
      </c>
      <c r="AT20" s="28">
        <f>AT17*Supuestos!$B$14*(1+Supuestos!$B$12)</f>
        <v>3389901.99</v>
      </c>
      <c r="AU20" s="28">
        <f>AU17*Supuestos!$B$14*(1+Supuestos!$B$12)</f>
        <v>3394110.512</v>
      </c>
      <c r="AV20" s="28">
        <f>AV17*Supuestos!$B$14*(1+Supuestos!$B$12)</f>
        <v>3398324.259</v>
      </c>
      <c r="AW20" s="28">
        <f>AW17*Supuestos!$B$14*(1+Supuestos!$B$12)</f>
        <v>3402543.236</v>
      </c>
      <c r="AX20" s="28">
        <f>AX17*Supuestos!$B$14*(1+Supuestos!$B$12)</f>
        <v>3406767.452</v>
      </c>
      <c r="AY20" s="28">
        <f>AY17*Supuestos!$B$14*(1+Supuestos!$B$12)</f>
        <v>3410996.912</v>
      </c>
      <c r="AZ20" s="28">
        <f>AZ17*Supuestos!$B$14*(1+Supuestos!$B$12)</f>
        <v>3415231.623</v>
      </c>
      <c r="BA20" s="28">
        <f>BA17*Supuestos!$B$14*(1+Supuestos!$B$12)</f>
        <v>3419471.591</v>
      </c>
      <c r="BB20" s="28">
        <f>BB17*Supuestos!$B$14*(1+Supuestos!$B$12)</f>
        <v>3423716.823</v>
      </c>
      <c r="BC20" s="28">
        <f>BC17*Supuestos!$B$14*(1+Supuestos!$B$12)</f>
        <v>3427967.325</v>
      </c>
      <c r="BD20" s="28">
        <f>BD17*Supuestos!$B$14*(1+Supuestos!$B$12)</f>
        <v>3432223.105</v>
      </c>
      <c r="BE20" s="28">
        <f>BE17*Supuestos!$B$14*(1+Supuestos!$B$12)</f>
        <v>3436484.167</v>
      </c>
      <c r="BF20" s="28">
        <f>BF17*Supuestos!$B$14*(1+Supuestos!$B$12)</f>
        <v>3440750.52</v>
      </c>
      <c r="BG20" s="28">
        <f>BG17*Supuestos!$B$14*(1+Supuestos!$B$12)</f>
        <v>3445022.17</v>
      </c>
      <c r="BH20" s="28">
        <f>BH17*Supuestos!$B$14*(1+Supuestos!$B$12)</f>
        <v>3449299.122</v>
      </c>
      <c r="BI20" s="28">
        <f>BI17*Supuestos!$B$14*(1+Supuestos!$B$12)</f>
        <v>3453581.385</v>
      </c>
      <c r="BJ20" s="28">
        <f>BJ17*Supuestos!$B$14*(1+Supuestos!$B$12)</f>
        <v>3457868.964</v>
      </c>
    </row>
    <row r="21" ht="15.75" customHeight="1">
      <c r="A21" s="22" t="s">
        <v>188</v>
      </c>
      <c r="B21" s="22" t="s">
        <v>189</v>
      </c>
      <c r="C21" s="28">
        <f>C18*Supuestos!$B$14*(1+Supuestos!$B$12)</f>
        <v>82640.25</v>
      </c>
      <c r="D21" s="28">
        <f>D18*Supuestos!$B$14*(1+Supuestos!$B$12)</f>
        <v>82742.84686</v>
      </c>
      <c r="E21" s="28">
        <f>E18*Supuestos!$B$14*(1+Supuestos!$B$12)</f>
        <v>82845.57108</v>
      </c>
      <c r="F21" s="28">
        <f>F18*Supuestos!$B$14*(1+Supuestos!$B$12)</f>
        <v>82948.42284</v>
      </c>
      <c r="G21" s="28">
        <f>G18*Supuestos!$B$14*(1+Supuestos!$B$12)</f>
        <v>83051.40229</v>
      </c>
      <c r="H21" s="28">
        <f>H18*Supuestos!$B$14*(1+Supuestos!$B$12)</f>
        <v>83154.50959</v>
      </c>
      <c r="I21" s="28">
        <f>I18*Supuestos!$B$14*(1+Supuestos!$B$12)</f>
        <v>83257.74489</v>
      </c>
      <c r="J21" s="28">
        <f>J18*Supuestos!$B$14*(1+Supuestos!$B$12)</f>
        <v>83361.10836</v>
      </c>
      <c r="K21" s="28">
        <f>K18*Supuestos!$B$14*(1+Supuestos!$B$12)</f>
        <v>83464.60015</v>
      </c>
      <c r="L21" s="28">
        <f>L18*Supuestos!$B$14*(1+Supuestos!$B$12)</f>
        <v>83568.22042</v>
      </c>
      <c r="M21" s="28">
        <f>M18*Supuestos!$B$14*(1+Supuestos!$B$12)</f>
        <v>83671.96934</v>
      </c>
      <c r="N21" s="28">
        <f>N18*Supuestos!$B$14*(1+Supuestos!$B$12)</f>
        <v>83775.84706</v>
      </c>
      <c r="O21" s="28">
        <f>O18*Supuestos!$B$14*(1+Supuestos!$B$12)</f>
        <v>83879.85375</v>
      </c>
      <c r="P21" s="28">
        <f>P18*Supuestos!$B$14*(1+Supuestos!$B$12)</f>
        <v>83983.98956</v>
      </c>
      <c r="Q21" s="28">
        <f>Q18*Supuestos!$B$14*(1+Supuestos!$B$12)</f>
        <v>84088.25465</v>
      </c>
      <c r="R21" s="28">
        <f>R18*Supuestos!$B$14*(1+Supuestos!$B$12)</f>
        <v>84192.64918</v>
      </c>
      <c r="S21" s="28">
        <f>S18*Supuestos!$B$14*(1+Supuestos!$B$12)</f>
        <v>84297.17332</v>
      </c>
      <c r="T21" s="28">
        <f>T18*Supuestos!$B$14*(1+Supuestos!$B$12)</f>
        <v>84401.82723</v>
      </c>
      <c r="U21" s="28">
        <f>U18*Supuestos!$B$14*(1+Supuestos!$B$12)</f>
        <v>84506.61106</v>
      </c>
      <c r="V21" s="28">
        <f>V18*Supuestos!$B$14*(1+Supuestos!$B$12)</f>
        <v>84611.52498</v>
      </c>
      <c r="W21" s="28">
        <f>W18*Supuestos!$B$14*(1+Supuestos!$B$12)</f>
        <v>84716.56915</v>
      </c>
      <c r="X21" s="28">
        <f>X18*Supuestos!$B$14*(1+Supuestos!$B$12)</f>
        <v>84821.74373</v>
      </c>
      <c r="Y21" s="28">
        <f>Y18*Supuestos!$B$14*(1+Supuestos!$B$12)</f>
        <v>84927.04888</v>
      </c>
      <c r="Z21" s="28">
        <f>Z18*Supuestos!$B$14*(1+Supuestos!$B$12)</f>
        <v>85032.48477</v>
      </c>
      <c r="AA21" s="28">
        <f>AA18*Supuestos!$B$14*(1+Supuestos!$B$12)</f>
        <v>85138.05156</v>
      </c>
      <c r="AB21" s="28">
        <f>AB18*Supuestos!$B$14*(1+Supuestos!$B$12)</f>
        <v>85243.7494</v>
      </c>
      <c r="AC21" s="28">
        <f>AC18*Supuestos!$B$14*(1+Supuestos!$B$12)</f>
        <v>85349.57847</v>
      </c>
      <c r="AD21" s="28">
        <f>AD18*Supuestos!$B$14*(1+Supuestos!$B$12)</f>
        <v>85455.53892</v>
      </c>
      <c r="AE21" s="28">
        <f>AE18*Supuestos!$B$14*(1+Supuestos!$B$12)</f>
        <v>85561.63092</v>
      </c>
      <c r="AF21" s="28">
        <f>AF18*Supuestos!$B$14*(1+Supuestos!$B$12)</f>
        <v>85667.85464</v>
      </c>
      <c r="AG21" s="28">
        <f>AG18*Supuestos!$B$14*(1+Supuestos!$B$12)</f>
        <v>85774.21023</v>
      </c>
      <c r="AH21" s="28">
        <f>AH18*Supuestos!$B$14*(1+Supuestos!$B$12)</f>
        <v>85880.69786</v>
      </c>
      <c r="AI21" s="28">
        <f>AI18*Supuestos!$B$14*(1+Supuestos!$B$12)</f>
        <v>85987.31769</v>
      </c>
      <c r="AJ21" s="28">
        <f>AJ18*Supuestos!$B$14*(1+Supuestos!$B$12)</f>
        <v>86094.06989</v>
      </c>
      <c r="AK21" s="28">
        <f>AK18*Supuestos!$B$14*(1+Supuestos!$B$12)</f>
        <v>86200.95462</v>
      </c>
      <c r="AL21" s="28">
        <f>AL18*Supuestos!$B$14*(1+Supuestos!$B$12)</f>
        <v>86307.97204</v>
      </c>
      <c r="AM21" s="28">
        <f>AM18*Supuestos!$B$14*(1+Supuestos!$B$12)</f>
        <v>86415.12233</v>
      </c>
      <c r="AN21" s="28">
        <f>AN18*Supuestos!$B$14*(1+Supuestos!$B$12)</f>
        <v>86522.40564</v>
      </c>
      <c r="AO21" s="28">
        <f>AO18*Supuestos!$B$14*(1+Supuestos!$B$12)</f>
        <v>86629.82215</v>
      </c>
      <c r="AP21" s="28">
        <f>AP18*Supuestos!$B$14*(1+Supuestos!$B$12)</f>
        <v>86737.37201</v>
      </c>
      <c r="AQ21" s="28">
        <f>AQ18*Supuestos!$B$14*(1+Supuestos!$B$12)</f>
        <v>86845.05539</v>
      </c>
      <c r="AR21" s="28">
        <f>AR18*Supuestos!$B$14*(1+Supuestos!$B$12)</f>
        <v>86952.87246</v>
      </c>
      <c r="AS21" s="28">
        <f>AS18*Supuestos!$B$14*(1+Supuestos!$B$12)</f>
        <v>87060.82338</v>
      </c>
      <c r="AT21" s="28">
        <f>AT18*Supuestos!$B$14*(1+Supuestos!$B$12)</f>
        <v>87168.90832</v>
      </c>
      <c r="AU21" s="28">
        <f>AU18*Supuestos!$B$14*(1+Supuestos!$B$12)</f>
        <v>87277.12745</v>
      </c>
      <c r="AV21" s="28">
        <f>AV18*Supuestos!$B$14*(1+Supuestos!$B$12)</f>
        <v>87385.48093</v>
      </c>
      <c r="AW21" s="28">
        <f>AW18*Supuestos!$B$14*(1+Supuestos!$B$12)</f>
        <v>87493.96894</v>
      </c>
      <c r="AX21" s="28">
        <f>AX18*Supuestos!$B$14*(1+Supuestos!$B$12)</f>
        <v>87602.59162</v>
      </c>
      <c r="AY21" s="28">
        <f>AY18*Supuestos!$B$14*(1+Supuestos!$B$12)</f>
        <v>87711.34916</v>
      </c>
      <c r="AZ21" s="28">
        <f>AZ18*Supuestos!$B$14*(1+Supuestos!$B$12)</f>
        <v>87820.24173</v>
      </c>
      <c r="BA21" s="28">
        <f>BA18*Supuestos!$B$14*(1+Supuestos!$B$12)</f>
        <v>87929.26948</v>
      </c>
      <c r="BB21" s="28">
        <f>BB18*Supuestos!$B$14*(1+Supuestos!$B$12)</f>
        <v>88038.43259</v>
      </c>
      <c r="BC21" s="28">
        <f>BC18*Supuestos!$B$14*(1+Supuestos!$B$12)</f>
        <v>88147.73122</v>
      </c>
      <c r="BD21" s="28">
        <f>BD18*Supuestos!$B$14*(1+Supuestos!$B$12)</f>
        <v>88257.16554</v>
      </c>
      <c r="BE21" s="28">
        <f>BE18*Supuestos!$B$14*(1+Supuestos!$B$12)</f>
        <v>88366.73573</v>
      </c>
      <c r="BF21" s="28">
        <f>BF18*Supuestos!$B$14*(1+Supuestos!$B$12)</f>
        <v>88476.44195</v>
      </c>
      <c r="BG21" s="28">
        <f>BG18*Supuestos!$B$14*(1+Supuestos!$B$12)</f>
        <v>88586.28436</v>
      </c>
      <c r="BH21" s="28">
        <f>BH18*Supuestos!$B$14*(1+Supuestos!$B$12)</f>
        <v>88696.26315</v>
      </c>
      <c r="BI21" s="28">
        <f>BI18*Supuestos!$B$14*(1+Supuestos!$B$12)</f>
        <v>88806.37847</v>
      </c>
      <c r="BJ21" s="28">
        <f>BJ18*Supuestos!$B$14*(1+Supuestos!$B$12)</f>
        <v>88916.6305</v>
      </c>
    </row>
    <row r="22" ht="15.75" customHeight="1">
      <c r="A22" s="22" t="s">
        <v>190</v>
      </c>
      <c r="B22" s="22" t="s">
        <v>191</v>
      </c>
      <c r="C22" s="28">
        <f>350000*Supuestos!$B$23*Supuestos!$B$22*Supuestos!$B$13</f>
        <v>28350000</v>
      </c>
      <c r="D22" s="28">
        <f>350000*Supuestos!$B$23*Supuestos!$B$22*Supuestos!$B$13</f>
        <v>28350000</v>
      </c>
      <c r="E22" s="28">
        <f>350000*Supuestos!$B$23*Supuestos!$B$22*Supuestos!$B$13</f>
        <v>28350000</v>
      </c>
      <c r="F22" s="28">
        <f>350000*Supuestos!$B$23*Supuestos!$B$22*Supuestos!$B$13</f>
        <v>28350000</v>
      </c>
      <c r="G22" s="28">
        <f>350000*Supuestos!$B$23*Supuestos!$B$22*Supuestos!$B$13</f>
        <v>28350000</v>
      </c>
      <c r="H22" s="28">
        <f>350000*Supuestos!$B$23*Supuestos!$B$22*Supuestos!$B$13</f>
        <v>28350000</v>
      </c>
      <c r="I22" s="28">
        <f>350000*Supuestos!$B$23*Supuestos!$B$22*Supuestos!$B$13</f>
        <v>28350000</v>
      </c>
      <c r="J22" s="28">
        <f>350000*Supuestos!$B$23*Supuestos!$B$22*Supuestos!$B$13</f>
        <v>28350000</v>
      </c>
      <c r="K22" s="28">
        <f>350000*Supuestos!$B$23*Supuestos!$B$22*Supuestos!$B$13</f>
        <v>28350000</v>
      </c>
      <c r="L22" s="28">
        <f>350000*Supuestos!$B$23*Supuestos!$B$22*Supuestos!$B$13</f>
        <v>28350000</v>
      </c>
      <c r="M22" s="28">
        <f>350000*Supuestos!$B$23*Supuestos!$B$22*Supuestos!$B$13</f>
        <v>28350000</v>
      </c>
      <c r="N22" s="28">
        <f>350000*Supuestos!$B$23*Supuestos!$B$22*Supuestos!$B$13</f>
        <v>28350000</v>
      </c>
      <c r="O22" s="28">
        <f>350000*Supuestos!$B$23*Supuestos!$B$22*Supuestos!$B$13</f>
        <v>28350000</v>
      </c>
      <c r="P22" s="28">
        <f>350000*Supuestos!$B$23*Supuestos!$B$22*Supuestos!$B$13</f>
        <v>28350000</v>
      </c>
      <c r="Q22" s="28">
        <f>350000*Supuestos!$B$23*Supuestos!$B$22*Supuestos!$B$13</f>
        <v>28350000</v>
      </c>
      <c r="R22" s="28">
        <f>350000*Supuestos!$B$23*Supuestos!$B$22*Supuestos!$B$13</f>
        <v>28350000</v>
      </c>
      <c r="S22" s="28">
        <f>350000*Supuestos!$B$23*Supuestos!$B$22*Supuestos!$B$13</f>
        <v>28350000</v>
      </c>
      <c r="T22" s="28">
        <f>350000*Supuestos!$B$23*Supuestos!$B$22*Supuestos!$B$13</f>
        <v>28350000</v>
      </c>
      <c r="U22" s="28">
        <f>350000*Supuestos!$B$23*Supuestos!$B$22*Supuestos!$B$13</f>
        <v>28350000</v>
      </c>
      <c r="V22" s="28">
        <f>350000*Supuestos!$B$23*Supuestos!$B$22*Supuestos!$B$13</f>
        <v>28350000</v>
      </c>
      <c r="W22" s="28">
        <f>350000*Supuestos!$B$23*Supuestos!$B$22*Supuestos!$B$13</f>
        <v>28350000</v>
      </c>
      <c r="X22" s="28">
        <f>350000*Supuestos!$B$23*Supuestos!$B$22*Supuestos!$B$13</f>
        <v>28350000</v>
      </c>
      <c r="Y22" s="28">
        <f>350000*Supuestos!$B$23*Supuestos!$B$22*Supuestos!$B$13</f>
        <v>28350000</v>
      </c>
      <c r="Z22" s="28">
        <f>350000*Supuestos!$B$23*Supuestos!$B$22*Supuestos!$B$13</f>
        <v>28350000</v>
      </c>
      <c r="AA22" s="28">
        <f>350000*Supuestos!$B$23*Supuestos!$B$22*Supuestos!$B$13</f>
        <v>28350000</v>
      </c>
      <c r="AB22" s="28">
        <f>350000*Supuestos!$B$23*Supuestos!$B$22*Supuestos!$B$13</f>
        <v>28350000</v>
      </c>
      <c r="AC22" s="28">
        <f>350000*Supuestos!$B$23*Supuestos!$B$22*Supuestos!$B$13</f>
        <v>28350000</v>
      </c>
      <c r="AD22" s="28">
        <f>350000*Supuestos!$B$23*Supuestos!$B$22*Supuestos!$B$13</f>
        <v>28350000</v>
      </c>
      <c r="AE22" s="28">
        <f>350000*Supuestos!$B$23*Supuestos!$B$22*Supuestos!$B$13</f>
        <v>28350000</v>
      </c>
      <c r="AF22" s="28">
        <f>350000*Supuestos!$B$23*Supuestos!$B$22*Supuestos!$B$13</f>
        <v>28350000</v>
      </c>
      <c r="AG22" s="28">
        <f>350000*Supuestos!$B$23*Supuestos!$B$22*Supuestos!$B$13</f>
        <v>28350000</v>
      </c>
      <c r="AH22" s="28">
        <f>350000*Supuestos!$B$23*Supuestos!$B$22*Supuestos!$B$13</f>
        <v>28350000</v>
      </c>
      <c r="AI22" s="28">
        <f>350000*Supuestos!$B$23*Supuestos!$B$22*Supuestos!$B$13</f>
        <v>28350000</v>
      </c>
      <c r="AJ22" s="28">
        <f>350000*Supuestos!$B$23*Supuestos!$B$22*Supuestos!$B$13</f>
        <v>28350000</v>
      </c>
      <c r="AK22" s="28">
        <f>350000*Supuestos!$B$23*Supuestos!$B$22*Supuestos!$B$13</f>
        <v>28350000</v>
      </c>
      <c r="AL22" s="28">
        <f>350000*Supuestos!$B$23*Supuestos!$B$22*Supuestos!$B$13</f>
        <v>28350000</v>
      </c>
      <c r="AM22" s="28">
        <f>350000*Supuestos!$B$23*Supuestos!$B$22*Supuestos!$B$13</f>
        <v>28350000</v>
      </c>
      <c r="AN22" s="28">
        <f>350000*Supuestos!$B$23*Supuestos!$B$22*Supuestos!$B$13</f>
        <v>28350000</v>
      </c>
      <c r="AO22" s="28">
        <f>350000*Supuestos!$B$23*Supuestos!$B$22*Supuestos!$B$13</f>
        <v>28350000</v>
      </c>
      <c r="AP22" s="28">
        <f>350000*Supuestos!$B$23*Supuestos!$B$22*Supuestos!$B$13</f>
        <v>28350000</v>
      </c>
      <c r="AQ22" s="28">
        <f>350000*Supuestos!$B$23*Supuestos!$B$22*Supuestos!$B$13</f>
        <v>28350000</v>
      </c>
      <c r="AR22" s="28">
        <f>350000*Supuestos!$B$23*Supuestos!$B$22*Supuestos!$B$13</f>
        <v>28350000</v>
      </c>
      <c r="AS22" s="28">
        <f>350000*Supuestos!$B$23*Supuestos!$B$22*Supuestos!$B$13</f>
        <v>28350000</v>
      </c>
      <c r="AT22" s="28">
        <f>350000*Supuestos!$B$23*Supuestos!$B$22*Supuestos!$B$13</f>
        <v>28350000</v>
      </c>
      <c r="AU22" s="28">
        <f>350000*Supuestos!$B$23*Supuestos!$B$22*Supuestos!$B$13</f>
        <v>28350000</v>
      </c>
      <c r="AV22" s="28">
        <f>350000*Supuestos!$B$23*Supuestos!$B$22*Supuestos!$B$13</f>
        <v>28350000</v>
      </c>
      <c r="AW22" s="28">
        <f>350000*Supuestos!$B$23*Supuestos!$B$22*Supuestos!$B$13</f>
        <v>28350000</v>
      </c>
      <c r="AX22" s="28">
        <f>350000*Supuestos!$B$23*Supuestos!$B$22*Supuestos!$B$13</f>
        <v>28350000</v>
      </c>
      <c r="AY22" s="28">
        <f>350000*Supuestos!$B$23*Supuestos!$B$22*Supuestos!$B$13</f>
        <v>28350000</v>
      </c>
      <c r="AZ22" s="28">
        <f>350000*Supuestos!$B$23*Supuestos!$B$22*Supuestos!$B$13</f>
        <v>28350000</v>
      </c>
      <c r="BA22" s="28">
        <f>350000*Supuestos!$B$23*Supuestos!$B$22*Supuestos!$B$13</f>
        <v>28350000</v>
      </c>
      <c r="BB22" s="28">
        <f>350000*Supuestos!$B$23*Supuestos!$B$22*Supuestos!$B$13</f>
        <v>28350000</v>
      </c>
      <c r="BC22" s="28">
        <f>350000*Supuestos!$B$23*Supuestos!$B$22*Supuestos!$B$13</f>
        <v>28350000</v>
      </c>
      <c r="BD22" s="28">
        <f>350000*Supuestos!$B$23*Supuestos!$B$22*Supuestos!$B$13</f>
        <v>28350000</v>
      </c>
      <c r="BE22" s="28">
        <f>350000*Supuestos!$B$23*Supuestos!$B$22*Supuestos!$B$13</f>
        <v>28350000</v>
      </c>
      <c r="BF22" s="28">
        <f>350000*Supuestos!$B$23*Supuestos!$B$22*Supuestos!$B$13</f>
        <v>28350000</v>
      </c>
      <c r="BG22" s="28">
        <f>350000*Supuestos!$B$23*Supuestos!$B$22*Supuestos!$B$13</f>
        <v>28350000</v>
      </c>
      <c r="BH22" s="28">
        <f>350000*Supuestos!$B$23*Supuestos!$B$22*Supuestos!$B$13</f>
        <v>28350000</v>
      </c>
      <c r="BI22" s="28">
        <f>350000*Supuestos!$B$23*Supuestos!$B$22*Supuestos!$B$13</f>
        <v>28350000</v>
      </c>
      <c r="BJ22" s="28">
        <f>350000*Supuestos!$B$23*Supuestos!$B$22*Supuestos!$B$13</f>
        <v>28350000</v>
      </c>
    </row>
    <row r="23" ht="15.75" customHeight="1">
      <c r="A23" s="22" t="s">
        <v>192</v>
      </c>
      <c r="B23" s="22" t="s">
        <v>193</v>
      </c>
      <c r="C23" s="28">
        <f>100000*Supuestos!$B$23*Supuestos!$B$22*Supuestos!$B$13</f>
        <v>8100000</v>
      </c>
      <c r="D23" s="28">
        <f>100000*Supuestos!$B$23*Supuestos!$B$22*Supuestos!$B$13</f>
        <v>8100000</v>
      </c>
      <c r="E23" s="28">
        <f>100000*Supuestos!$B$23*Supuestos!$B$22*Supuestos!$B$13</f>
        <v>8100000</v>
      </c>
      <c r="F23" s="28">
        <f>100000*Supuestos!$B$23*Supuestos!$B$22*Supuestos!$B$13</f>
        <v>8100000</v>
      </c>
      <c r="G23" s="28">
        <f>100000*Supuestos!$B$23*Supuestos!$B$22*Supuestos!$B$13</f>
        <v>8100000</v>
      </c>
      <c r="H23" s="28">
        <f>100000*Supuestos!$B$23*Supuestos!$B$22*Supuestos!$B$13</f>
        <v>8100000</v>
      </c>
      <c r="I23" s="28">
        <f>100000*Supuestos!$B$23*Supuestos!$B$22*Supuestos!$B$13</f>
        <v>8100000</v>
      </c>
      <c r="J23" s="28">
        <f>100000*Supuestos!$B$23*Supuestos!$B$22*Supuestos!$B$13</f>
        <v>8100000</v>
      </c>
      <c r="K23" s="28">
        <f>100000*Supuestos!$B$23*Supuestos!$B$22*Supuestos!$B$13</f>
        <v>8100000</v>
      </c>
      <c r="L23" s="28">
        <f>100000*Supuestos!$B$23*Supuestos!$B$22*Supuestos!$B$13</f>
        <v>8100000</v>
      </c>
      <c r="M23" s="28">
        <f>100000*Supuestos!$B$23*Supuestos!$B$22*Supuestos!$B$13</f>
        <v>8100000</v>
      </c>
      <c r="N23" s="28">
        <f>100000*Supuestos!$B$23*Supuestos!$B$22*Supuestos!$B$13</f>
        <v>8100000</v>
      </c>
      <c r="O23" s="28">
        <f>100000*Supuestos!$B$23*Supuestos!$B$22*Supuestos!$B$13</f>
        <v>8100000</v>
      </c>
      <c r="P23" s="28">
        <f>100000*Supuestos!$B$23*Supuestos!$B$22*Supuestos!$B$13</f>
        <v>8100000</v>
      </c>
      <c r="Q23" s="28">
        <f>100000*Supuestos!$B$23*Supuestos!$B$22*Supuestos!$B$13</f>
        <v>8100000</v>
      </c>
      <c r="R23" s="28">
        <f>100000*Supuestos!$B$23*Supuestos!$B$22*Supuestos!$B$13</f>
        <v>8100000</v>
      </c>
      <c r="S23" s="28">
        <f>100000*Supuestos!$B$23*Supuestos!$B$22*Supuestos!$B$13</f>
        <v>8100000</v>
      </c>
      <c r="T23" s="28">
        <f>100000*Supuestos!$B$23*Supuestos!$B$22*Supuestos!$B$13</f>
        <v>8100000</v>
      </c>
      <c r="U23" s="28">
        <f>100000*Supuestos!$B$23*Supuestos!$B$22*Supuestos!$B$13</f>
        <v>8100000</v>
      </c>
      <c r="V23" s="28">
        <f>100000*Supuestos!$B$23*Supuestos!$B$22*Supuestos!$B$13</f>
        <v>8100000</v>
      </c>
      <c r="W23" s="28">
        <f>100000*Supuestos!$B$23*Supuestos!$B$22*Supuestos!$B$13</f>
        <v>8100000</v>
      </c>
      <c r="X23" s="28">
        <f>100000*Supuestos!$B$23*Supuestos!$B$22*Supuestos!$B$13</f>
        <v>8100000</v>
      </c>
      <c r="Y23" s="28">
        <f>100000*Supuestos!$B$23*Supuestos!$B$22*Supuestos!$B$13</f>
        <v>8100000</v>
      </c>
      <c r="Z23" s="28">
        <f>100000*Supuestos!$B$23*Supuestos!$B$22*Supuestos!$B$13</f>
        <v>8100000</v>
      </c>
      <c r="AA23" s="28">
        <f>100000*Supuestos!$B$23*Supuestos!$B$22*Supuestos!$B$13</f>
        <v>8100000</v>
      </c>
      <c r="AB23" s="28">
        <f>100000*Supuestos!$B$23*Supuestos!$B$22*Supuestos!$B$13</f>
        <v>8100000</v>
      </c>
      <c r="AC23" s="28">
        <f>100000*Supuestos!$B$23*Supuestos!$B$22*Supuestos!$B$13</f>
        <v>8100000</v>
      </c>
      <c r="AD23" s="28">
        <f>100000*Supuestos!$B$23*Supuestos!$B$22*Supuestos!$B$13</f>
        <v>8100000</v>
      </c>
      <c r="AE23" s="28">
        <f>100000*Supuestos!$B$23*Supuestos!$B$22*Supuestos!$B$13</f>
        <v>8100000</v>
      </c>
      <c r="AF23" s="28">
        <f>100000*Supuestos!$B$23*Supuestos!$B$22*Supuestos!$B$13</f>
        <v>8100000</v>
      </c>
      <c r="AG23" s="28">
        <f>100000*Supuestos!$B$23*Supuestos!$B$22*Supuestos!$B$13</f>
        <v>8100000</v>
      </c>
      <c r="AH23" s="28">
        <f>100000*Supuestos!$B$23*Supuestos!$B$22*Supuestos!$B$13</f>
        <v>8100000</v>
      </c>
      <c r="AI23" s="28">
        <f>100000*Supuestos!$B$23*Supuestos!$B$22*Supuestos!$B$13</f>
        <v>8100000</v>
      </c>
      <c r="AJ23" s="28">
        <f>100000*Supuestos!$B$23*Supuestos!$B$22*Supuestos!$B$13</f>
        <v>8100000</v>
      </c>
      <c r="AK23" s="28">
        <f>100000*Supuestos!$B$23*Supuestos!$B$22*Supuestos!$B$13</f>
        <v>8100000</v>
      </c>
      <c r="AL23" s="28">
        <f>100000*Supuestos!$B$23*Supuestos!$B$22*Supuestos!$B$13</f>
        <v>8100000</v>
      </c>
      <c r="AM23" s="28">
        <f>100000*Supuestos!$B$23*Supuestos!$B$22*Supuestos!$B$13</f>
        <v>8100000</v>
      </c>
      <c r="AN23" s="28">
        <f>100000*Supuestos!$B$23*Supuestos!$B$22*Supuestos!$B$13</f>
        <v>8100000</v>
      </c>
      <c r="AO23" s="28">
        <f>100000*Supuestos!$B$23*Supuestos!$B$22*Supuestos!$B$13</f>
        <v>8100000</v>
      </c>
      <c r="AP23" s="28">
        <f>100000*Supuestos!$B$23*Supuestos!$B$22*Supuestos!$B$13</f>
        <v>8100000</v>
      </c>
      <c r="AQ23" s="28">
        <f>100000*Supuestos!$B$23*Supuestos!$B$22*Supuestos!$B$13</f>
        <v>8100000</v>
      </c>
      <c r="AR23" s="28">
        <f>100000*Supuestos!$B$23*Supuestos!$B$22*Supuestos!$B$13</f>
        <v>8100000</v>
      </c>
      <c r="AS23" s="28">
        <f>100000*Supuestos!$B$23*Supuestos!$B$22*Supuestos!$B$13</f>
        <v>8100000</v>
      </c>
      <c r="AT23" s="28">
        <f>100000*Supuestos!$B$23*Supuestos!$B$22*Supuestos!$B$13</f>
        <v>8100000</v>
      </c>
      <c r="AU23" s="28">
        <f>100000*Supuestos!$B$23*Supuestos!$B$22*Supuestos!$B$13</f>
        <v>8100000</v>
      </c>
      <c r="AV23" s="28">
        <f>100000*Supuestos!$B$23*Supuestos!$B$22*Supuestos!$B$13</f>
        <v>8100000</v>
      </c>
      <c r="AW23" s="28">
        <f>100000*Supuestos!$B$23*Supuestos!$B$22*Supuestos!$B$13</f>
        <v>8100000</v>
      </c>
      <c r="AX23" s="28">
        <f>100000*Supuestos!$B$23*Supuestos!$B$22*Supuestos!$B$13</f>
        <v>8100000</v>
      </c>
      <c r="AY23" s="28">
        <f>100000*Supuestos!$B$23*Supuestos!$B$22*Supuestos!$B$13</f>
        <v>8100000</v>
      </c>
      <c r="AZ23" s="28">
        <f>100000*Supuestos!$B$23*Supuestos!$B$22*Supuestos!$B$13</f>
        <v>8100000</v>
      </c>
      <c r="BA23" s="28">
        <f>100000*Supuestos!$B$23*Supuestos!$B$22*Supuestos!$B$13</f>
        <v>8100000</v>
      </c>
      <c r="BB23" s="28">
        <f>100000*Supuestos!$B$23*Supuestos!$B$22*Supuestos!$B$13</f>
        <v>8100000</v>
      </c>
      <c r="BC23" s="28">
        <f>100000*Supuestos!$B$23*Supuestos!$B$22*Supuestos!$B$13</f>
        <v>8100000</v>
      </c>
      <c r="BD23" s="28">
        <f>100000*Supuestos!$B$23*Supuestos!$B$22*Supuestos!$B$13</f>
        <v>8100000</v>
      </c>
      <c r="BE23" s="28">
        <f>100000*Supuestos!$B$23*Supuestos!$B$22*Supuestos!$B$13</f>
        <v>8100000</v>
      </c>
      <c r="BF23" s="28">
        <f>100000*Supuestos!$B$23*Supuestos!$B$22*Supuestos!$B$13</f>
        <v>8100000</v>
      </c>
      <c r="BG23" s="28">
        <f>100000*Supuestos!$B$23*Supuestos!$B$22*Supuestos!$B$13</f>
        <v>8100000</v>
      </c>
      <c r="BH23" s="28">
        <f>100000*Supuestos!$B$23*Supuestos!$B$22*Supuestos!$B$13</f>
        <v>8100000</v>
      </c>
      <c r="BI23" s="28">
        <f>100000*Supuestos!$B$23*Supuestos!$B$22*Supuestos!$B$13</f>
        <v>8100000</v>
      </c>
      <c r="BJ23" s="28">
        <f>100000*Supuestos!$B$23*Supuestos!$B$22*Supuestos!$B$13</f>
        <v>8100000</v>
      </c>
    </row>
    <row r="24" ht="15.75" customHeight="1">
      <c r="A24" s="22" t="s">
        <v>194</v>
      </c>
      <c r="B24" s="22" t="s">
        <v>195</v>
      </c>
      <c r="C24" s="28">
        <f>5000*Supuestos!$B$23*Supuestos!$B$22*Supuestos!$B$13</f>
        <v>405000</v>
      </c>
      <c r="D24" s="28">
        <f>5000*Supuestos!$B$23*Supuestos!$B$22*Supuestos!$B$13</f>
        <v>405000</v>
      </c>
      <c r="E24" s="28">
        <f>5000*Supuestos!$B$23*Supuestos!$B$22*Supuestos!$B$13</f>
        <v>405000</v>
      </c>
      <c r="F24" s="28">
        <f>5000*Supuestos!$B$23*Supuestos!$B$22*Supuestos!$B$13</f>
        <v>405000</v>
      </c>
      <c r="G24" s="28">
        <f>5000*Supuestos!$B$23*Supuestos!$B$22*Supuestos!$B$13</f>
        <v>405000</v>
      </c>
      <c r="H24" s="28">
        <f>5000*Supuestos!$B$23*Supuestos!$B$22*Supuestos!$B$13</f>
        <v>405000</v>
      </c>
      <c r="I24" s="28">
        <f>5000*Supuestos!$B$23*Supuestos!$B$22*Supuestos!$B$13</f>
        <v>405000</v>
      </c>
      <c r="J24" s="28">
        <f>5000*Supuestos!$B$23*Supuestos!$B$22*Supuestos!$B$13</f>
        <v>405000</v>
      </c>
      <c r="K24" s="28">
        <f>5000*Supuestos!$B$23*Supuestos!$B$22*Supuestos!$B$13</f>
        <v>405000</v>
      </c>
      <c r="L24" s="28">
        <f>5000*Supuestos!$B$23*Supuestos!$B$22*Supuestos!$B$13</f>
        <v>405000</v>
      </c>
      <c r="M24" s="28">
        <f>5000*Supuestos!$B$23*Supuestos!$B$22*Supuestos!$B$13</f>
        <v>405000</v>
      </c>
      <c r="N24" s="28">
        <f>5000*Supuestos!$B$23*Supuestos!$B$22*Supuestos!$B$13</f>
        <v>405000</v>
      </c>
      <c r="O24" s="28">
        <f>5000*Supuestos!$B$23*Supuestos!$B$22*Supuestos!$B$13</f>
        <v>405000</v>
      </c>
      <c r="P24" s="28">
        <f>5000*Supuestos!$B$23*Supuestos!$B$22*Supuestos!$B$13</f>
        <v>405000</v>
      </c>
      <c r="Q24" s="28">
        <f>5000*Supuestos!$B$23*Supuestos!$B$22*Supuestos!$B$13</f>
        <v>405000</v>
      </c>
      <c r="R24" s="28">
        <f>5000*Supuestos!$B$23*Supuestos!$B$22*Supuestos!$B$13</f>
        <v>405000</v>
      </c>
      <c r="S24" s="28">
        <f>5000*Supuestos!$B$23*Supuestos!$B$22*Supuestos!$B$13</f>
        <v>405000</v>
      </c>
      <c r="T24" s="28">
        <f>5000*Supuestos!$B$23*Supuestos!$B$22*Supuestos!$B$13</f>
        <v>405000</v>
      </c>
      <c r="U24" s="28">
        <f>5000*Supuestos!$B$23*Supuestos!$B$22*Supuestos!$B$13</f>
        <v>405000</v>
      </c>
      <c r="V24" s="28">
        <f>5000*Supuestos!$B$23*Supuestos!$B$22*Supuestos!$B$13</f>
        <v>405000</v>
      </c>
      <c r="W24" s="28">
        <f>5000*Supuestos!$B$23*Supuestos!$B$22*Supuestos!$B$13</f>
        <v>405000</v>
      </c>
      <c r="X24" s="28">
        <f>5000*Supuestos!$B$23*Supuestos!$B$22*Supuestos!$B$13</f>
        <v>405000</v>
      </c>
      <c r="Y24" s="28">
        <f>5000*Supuestos!$B$23*Supuestos!$B$22*Supuestos!$B$13</f>
        <v>405000</v>
      </c>
      <c r="Z24" s="28">
        <f>5000*Supuestos!$B$23*Supuestos!$B$22*Supuestos!$B$13</f>
        <v>405000</v>
      </c>
      <c r="AA24" s="28">
        <f>5000*Supuestos!$B$23*Supuestos!$B$22*Supuestos!$B$13</f>
        <v>405000</v>
      </c>
      <c r="AB24" s="28">
        <f>5000*Supuestos!$B$23*Supuestos!$B$22*Supuestos!$B$13</f>
        <v>405000</v>
      </c>
      <c r="AC24" s="28">
        <f>5000*Supuestos!$B$23*Supuestos!$B$22*Supuestos!$B$13</f>
        <v>405000</v>
      </c>
      <c r="AD24" s="28">
        <f>5000*Supuestos!$B$23*Supuestos!$B$22*Supuestos!$B$13</f>
        <v>405000</v>
      </c>
      <c r="AE24" s="28">
        <f>5000*Supuestos!$B$23*Supuestos!$B$22*Supuestos!$B$13</f>
        <v>405000</v>
      </c>
      <c r="AF24" s="28">
        <f>5000*Supuestos!$B$23*Supuestos!$B$22*Supuestos!$B$13</f>
        <v>405000</v>
      </c>
      <c r="AG24" s="28">
        <f>5000*Supuestos!$B$23*Supuestos!$B$22*Supuestos!$B$13</f>
        <v>405000</v>
      </c>
      <c r="AH24" s="28">
        <f>5000*Supuestos!$B$23*Supuestos!$B$22*Supuestos!$B$13</f>
        <v>405000</v>
      </c>
      <c r="AI24" s="28">
        <f>5000*Supuestos!$B$23*Supuestos!$B$22*Supuestos!$B$13</f>
        <v>405000</v>
      </c>
      <c r="AJ24" s="28">
        <f>5000*Supuestos!$B$23*Supuestos!$B$22*Supuestos!$B$13</f>
        <v>405000</v>
      </c>
      <c r="AK24" s="28">
        <f>5000*Supuestos!$B$23*Supuestos!$B$22*Supuestos!$B$13</f>
        <v>405000</v>
      </c>
      <c r="AL24" s="28">
        <f>5000*Supuestos!$B$23*Supuestos!$B$22*Supuestos!$B$13</f>
        <v>405000</v>
      </c>
      <c r="AM24" s="28">
        <f>5000*Supuestos!$B$23*Supuestos!$B$22*Supuestos!$B$13</f>
        <v>405000</v>
      </c>
      <c r="AN24" s="28">
        <f>5000*Supuestos!$B$23*Supuestos!$B$22*Supuestos!$B$13</f>
        <v>405000</v>
      </c>
      <c r="AO24" s="28">
        <f>5000*Supuestos!$B$23*Supuestos!$B$22*Supuestos!$B$13</f>
        <v>405000</v>
      </c>
      <c r="AP24" s="28">
        <f>5000*Supuestos!$B$23*Supuestos!$B$22*Supuestos!$B$13</f>
        <v>405000</v>
      </c>
      <c r="AQ24" s="28">
        <f>5000*Supuestos!$B$23*Supuestos!$B$22*Supuestos!$B$13</f>
        <v>405000</v>
      </c>
      <c r="AR24" s="28">
        <f>5000*Supuestos!$B$23*Supuestos!$B$22*Supuestos!$B$13</f>
        <v>405000</v>
      </c>
      <c r="AS24" s="28">
        <f>5000*Supuestos!$B$23*Supuestos!$B$22*Supuestos!$B$13</f>
        <v>405000</v>
      </c>
      <c r="AT24" s="28">
        <f>5000*Supuestos!$B$23*Supuestos!$B$22*Supuestos!$B$13</f>
        <v>405000</v>
      </c>
      <c r="AU24" s="28">
        <f>5000*Supuestos!$B$23*Supuestos!$B$22*Supuestos!$B$13</f>
        <v>405000</v>
      </c>
      <c r="AV24" s="28">
        <f>5000*Supuestos!$B$23*Supuestos!$B$22*Supuestos!$B$13</f>
        <v>405000</v>
      </c>
      <c r="AW24" s="28">
        <f>5000*Supuestos!$B$23*Supuestos!$B$22*Supuestos!$B$13</f>
        <v>405000</v>
      </c>
      <c r="AX24" s="28">
        <f>5000*Supuestos!$B$23*Supuestos!$B$22*Supuestos!$B$13</f>
        <v>405000</v>
      </c>
      <c r="AY24" s="28">
        <f>5000*Supuestos!$B$23*Supuestos!$B$22*Supuestos!$B$13</f>
        <v>405000</v>
      </c>
      <c r="AZ24" s="28">
        <f>5000*Supuestos!$B$23*Supuestos!$B$22*Supuestos!$B$13</f>
        <v>405000</v>
      </c>
      <c r="BA24" s="28">
        <f>5000*Supuestos!$B$23*Supuestos!$B$22*Supuestos!$B$13</f>
        <v>405000</v>
      </c>
      <c r="BB24" s="28">
        <f>5000*Supuestos!$B$23*Supuestos!$B$22*Supuestos!$B$13</f>
        <v>405000</v>
      </c>
      <c r="BC24" s="28">
        <f>5000*Supuestos!$B$23*Supuestos!$B$22*Supuestos!$B$13</f>
        <v>405000</v>
      </c>
      <c r="BD24" s="28">
        <f>5000*Supuestos!$B$23*Supuestos!$B$22*Supuestos!$B$13</f>
        <v>405000</v>
      </c>
      <c r="BE24" s="28">
        <f>5000*Supuestos!$B$23*Supuestos!$B$22*Supuestos!$B$13</f>
        <v>405000</v>
      </c>
      <c r="BF24" s="28">
        <f>5000*Supuestos!$B$23*Supuestos!$B$22*Supuestos!$B$13</f>
        <v>405000</v>
      </c>
      <c r="BG24" s="28">
        <f>5000*Supuestos!$B$23*Supuestos!$B$22*Supuestos!$B$13</f>
        <v>405000</v>
      </c>
      <c r="BH24" s="28">
        <f>5000*Supuestos!$B$23*Supuestos!$B$22*Supuestos!$B$13</f>
        <v>405000</v>
      </c>
      <c r="BI24" s="28">
        <f>5000*Supuestos!$B$23*Supuestos!$B$22*Supuestos!$B$13</f>
        <v>405000</v>
      </c>
      <c r="BJ24" s="28">
        <f>5000*Supuestos!$B$23*Supuestos!$B$22*Supuestos!$B$13</f>
        <v>405000</v>
      </c>
    </row>
    <row r="25" ht="15.75" customHeight="1">
      <c r="A25" s="22" t="s">
        <v>196</v>
      </c>
      <c r="B25" s="22" t="s">
        <v>197</v>
      </c>
      <c r="C25" s="28">
        <f>350000*Supuestos!$B$23*Supuestos!$B$22*(1+Supuestos!$B$15)*Cronograma!C$7</f>
        <v>0</v>
      </c>
      <c r="D25" s="28">
        <f>350000*Supuestos!$B$23*Supuestos!$B$22*(1+Supuestos!$B$15)*Cronograma!D$7</f>
        <v>0</v>
      </c>
      <c r="E25" s="28">
        <f>350000*Supuestos!$B$23*Supuestos!$B$22*(1+Supuestos!$B$15)*Cronograma!E$7</f>
        <v>17482500</v>
      </c>
      <c r="F25" s="28">
        <f>350000*Supuestos!$B$23*Supuestos!$B$22*(1+Supuestos!$B$15)*Cronograma!F$7</f>
        <v>27972000</v>
      </c>
      <c r="G25" s="28">
        <f>350000*Supuestos!$B$23*Supuestos!$B$22*(1+Supuestos!$B$15)*Cronograma!G$7</f>
        <v>34965000</v>
      </c>
      <c r="H25" s="28">
        <f>350000*Supuestos!$B$23*Supuestos!$B$22*(1+Supuestos!$B$15)*Cronograma!H$7</f>
        <v>34965000</v>
      </c>
      <c r="I25" s="28">
        <f>350000*Supuestos!$B$23*Supuestos!$B$22*(1+Supuestos!$B$15)*Cronograma!I$7</f>
        <v>34965000</v>
      </c>
      <c r="J25" s="28">
        <f>350000*Supuestos!$B$23*Supuestos!$B$22*(1+Supuestos!$B$15)*Cronograma!J$7</f>
        <v>34965000</v>
      </c>
      <c r="K25" s="28">
        <f>350000*Supuestos!$B$23*Supuestos!$B$22*(1+Supuestos!$B$15)*Cronograma!K$7</f>
        <v>34965000</v>
      </c>
      <c r="L25" s="28">
        <f>350000*Supuestos!$B$23*Supuestos!$B$22*(1+Supuestos!$B$15)*Cronograma!L$7</f>
        <v>34965000</v>
      </c>
      <c r="M25" s="28">
        <f>350000*Supuestos!$B$23*Supuestos!$B$22*(1+Supuestos!$B$15)*Cronograma!M$7</f>
        <v>34965000</v>
      </c>
      <c r="N25" s="28">
        <f>350000*Supuestos!$B$23*Supuestos!$B$22*(1+Supuestos!$B$15)*Cronograma!N$7</f>
        <v>34965000</v>
      </c>
      <c r="O25" s="28">
        <f>350000*Supuestos!$B$23*Supuestos!$B$22*(1+Supuestos!$B$15)*Cronograma!O$7</f>
        <v>34965000</v>
      </c>
      <c r="P25" s="28">
        <f>350000*Supuestos!$B$23*Supuestos!$B$22*(1+Supuestos!$B$15)*Cronograma!P$7</f>
        <v>34965000</v>
      </c>
      <c r="Q25" s="28">
        <f>350000*Supuestos!$B$23*Supuestos!$B$22*(1+Supuestos!$B$15)*Cronograma!Q$7</f>
        <v>34965000</v>
      </c>
      <c r="R25" s="28">
        <f>350000*Supuestos!$B$23*Supuestos!$B$22*(1+Supuestos!$B$15)*Cronograma!R$7</f>
        <v>34965000</v>
      </c>
      <c r="S25" s="28">
        <f>350000*Supuestos!$B$23*Supuestos!$B$22*(1+Supuestos!$B$15)*Cronograma!S$7</f>
        <v>34965000</v>
      </c>
      <c r="T25" s="28">
        <f>350000*Supuestos!$B$23*Supuestos!$B$22*(1+Supuestos!$B$15)*Cronograma!T$7</f>
        <v>34965000</v>
      </c>
      <c r="U25" s="28">
        <f>350000*Supuestos!$B$23*Supuestos!$B$22*(1+Supuestos!$B$15)*Cronograma!U$7</f>
        <v>34965000</v>
      </c>
      <c r="V25" s="28">
        <f>350000*Supuestos!$B$23*Supuestos!$B$22*(1+Supuestos!$B$15)*Cronograma!V$7</f>
        <v>34965000</v>
      </c>
      <c r="W25" s="28">
        <f>350000*Supuestos!$B$23*Supuestos!$B$22*(1+Supuestos!$B$15)*Cronograma!W$7</f>
        <v>34965000</v>
      </c>
      <c r="X25" s="28">
        <f>350000*Supuestos!$B$23*Supuestos!$B$22*(1+Supuestos!$B$15)*Cronograma!X$7</f>
        <v>34965000</v>
      </c>
      <c r="Y25" s="28">
        <f>350000*Supuestos!$B$23*Supuestos!$B$22*(1+Supuestos!$B$15)*Cronograma!Y$7</f>
        <v>34965000</v>
      </c>
      <c r="Z25" s="28">
        <f>350000*Supuestos!$B$23*Supuestos!$B$22*(1+Supuestos!$B$15)*Cronograma!Z$7</f>
        <v>34965000</v>
      </c>
      <c r="AA25" s="28">
        <f>350000*Supuestos!$B$23*Supuestos!$B$22*(1+Supuestos!$B$15)*Cronograma!AA$7</f>
        <v>34965000</v>
      </c>
      <c r="AB25" s="28">
        <f>350000*Supuestos!$B$23*Supuestos!$B$22*(1+Supuestos!$B$15)*Cronograma!AB$7</f>
        <v>34965000</v>
      </c>
      <c r="AC25" s="28">
        <f>350000*Supuestos!$B$23*Supuestos!$B$22*(1+Supuestos!$B$15)*Cronograma!AC$7</f>
        <v>34965000</v>
      </c>
      <c r="AD25" s="28">
        <f>350000*Supuestos!$B$23*Supuestos!$B$22*(1+Supuestos!$B$15)*Cronograma!AD$7</f>
        <v>34965000</v>
      </c>
      <c r="AE25" s="28">
        <f>350000*Supuestos!$B$23*Supuestos!$B$22*(1+Supuestos!$B$15)*Cronograma!AE$7</f>
        <v>34965000</v>
      </c>
      <c r="AF25" s="28">
        <f>350000*Supuestos!$B$23*Supuestos!$B$22*(1+Supuestos!$B$15)*Cronograma!AF$7</f>
        <v>34965000</v>
      </c>
      <c r="AG25" s="28">
        <f>350000*Supuestos!$B$23*Supuestos!$B$22*(1+Supuestos!$B$15)*Cronograma!AG$7</f>
        <v>34965000</v>
      </c>
      <c r="AH25" s="28">
        <f>350000*Supuestos!$B$23*Supuestos!$B$22*(1+Supuestos!$B$15)*Cronograma!AH$7</f>
        <v>34965000</v>
      </c>
      <c r="AI25" s="28">
        <f>350000*Supuestos!$B$23*Supuestos!$B$22*(1+Supuestos!$B$15)*Cronograma!AI$7</f>
        <v>34965000</v>
      </c>
      <c r="AJ25" s="28">
        <f>350000*Supuestos!$B$23*Supuestos!$B$22*(1+Supuestos!$B$15)*Cronograma!AJ$7</f>
        <v>34965000</v>
      </c>
      <c r="AK25" s="28">
        <f>350000*Supuestos!$B$23*Supuestos!$B$22*(1+Supuestos!$B$15)*Cronograma!AK$7</f>
        <v>34965000</v>
      </c>
      <c r="AL25" s="28">
        <f>350000*Supuestos!$B$23*Supuestos!$B$22*(1+Supuestos!$B$15)*Cronograma!AL$7</f>
        <v>34965000</v>
      </c>
      <c r="AM25" s="28">
        <f>350000*Supuestos!$B$23*Supuestos!$B$22*(1+Supuestos!$B$15)*Cronograma!AM$7</f>
        <v>34965000</v>
      </c>
      <c r="AN25" s="28">
        <f>350000*Supuestos!$B$23*Supuestos!$B$22*(1+Supuestos!$B$15)*Cronograma!AN$7</f>
        <v>34965000</v>
      </c>
      <c r="AO25" s="28">
        <f>350000*Supuestos!$B$23*Supuestos!$B$22*(1+Supuestos!$B$15)*Cronograma!AO$7</f>
        <v>34965000</v>
      </c>
      <c r="AP25" s="28">
        <f>350000*Supuestos!$B$23*Supuestos!$B$22*(1+Supuestos!$B$15)*Cronograma!AP$7</f>
        <v>34965000</v>
      </c>
      <c r="AQ25" s="28">
        <f>350000*Supuestos!$B$23*Supuestos!$B$22*(1+Supuestos!$B$15)*Cronograma!AQ$7</f>
        <v>34965000</v>
      </c>
      <c r="AR25" s="28">
        <f>350000*Supuestos!$B$23*Supuestos!$B$22*(1+Supuestos!$B$15)*Cronograma!AR$7</f>
        <v>34965000</v>
      </c>
      <c r="AS25" s="28">
        <f>350000*Supuestos!$B$23*Supuestos!$B$22*(1+Supuestos!$B$15)*Cronograma!AS$7</f>
        <v>34965000</v>
      </c>
      <c r="AT25" s="28">
        <f>350000*Supuestos!$B$23*Supuestos!$B$22*(1+Supuestos!$B$15)*Cronograma!AT$7</f>
        <v>34965000</v>
      </c>
      <c r="AU25" s="28">
        <f>350000*Supuestos!$B$23*Supuestos!$B$22*(1+Supuestos!$B$15)*Cronograma!AU$7</f>
        <v>34965000</v>
      </c>
      <c r="AV25" s="28">
        <f>350000*Supuestos!$B$23*Supuestos!$B$22*(1+Supuestos!$B$15)*Cronograma!AV$7</f>
        <v>34965000</v>
      </c>
      <c r="AW25" s="28">
        <f>350000*Supuestos!$B$23*Supuestos!$B$22*(1+Supuestos!$B$15)*Cronograma!AW$7</f>
        <v>34965000</v>
      </c>
      <c r="AX25" s="28">
        <f>350000*Supuestos!$B$23*Supuestos!$B$22*(1+Supuestos!$B$15)*Cronograma!AX$7</f>
        <v>34965000</v>
      </c>
      <c r="AY25" s="28">
        <f>350000*Supuestos!$B$23*Supuestos!$B$22*(1+Supuestos!$B$15)*Cronograma!AY$7</f>
        <v>34965000</v>
      </c>
      <c r="AZ25" s="28">
        <f>350000*Supuestos!$B$23*Supuestos!$B$22*(1+Supuestos!$B$15)*Cronograma!AZ$7</f>
        <v>34965000</v>
      </c>
      <c r="BA25" s="28">
        <f>350000*Supuestos!$B$23*Supuestos!$B$22*(1+Supuestos!$B$15)*Cronograma!BA$7</f>
        <v>34965000</v>
      </c>
      <c r="BB25" s="28">
        <f>350000*Supuestos!$B$23*Supuestos!$B$22*(1+Supuestos!$B$15)*Cronograma!BB$7</f>
        <v>34965000</v>
      </c>
      <c r="BC25" s="28">
        <f>350000*Supuestos!$B$23*Supuestos!$B$22*(1+Supuestos!$B$15)*Cronograma!BC$7</f>
        <v>34965000</v>
      </c>
      <c r="BD25" s="28">
        <f>350000*Supuestos!$B$23*Supuestos!$B$22*(1+Supuestos!$B$15)*Cronograma!BD$7</f>
        <v>34965000</v>
      </c>
      <c r="BE25" s="28">
        <f>350000*Supuestos!$B$23*Supuestos!$B$22*(1+Supuestos!$B$15)*Cronograma!BE$7</f>
        <v>34965000</v>
      </c>
      <c r="BF25" s="28">
        <f>350000*Supuestos!$B$23*Supuestos!$B$22*(1+Supuestos!$B$15)*Cronograma!BF$7</f>
        <v>34965000</v>
      </c>
      <c r="BG25" s="28">
        <f>350000*Supuestos!$B$23*Supuestos!$B$22*(1+Supuestos!$B$15)*Cronograma!BG$7</f>
        <v>34965000</v>
      </c>
      <c r="BH25" s="28">
        <f>350000*Supuestos!$B$23*Supuestos!$B$22*(1+Supuestos!$B$15)*Cronograma!BH$7</f>
        <v>34965000</v>
      </c>
      <c r="BI25" s="28">
        <f>350000*Supuestos!$B$23*Supuestos!$B$22*(1+Supuestos!$B$15)*Cronograma!BI$7</f>
        <v>34965000</v>
      </c>
      <c r="BJ25" s="28">
        <f>350000*Supuestos!$B$23*Supuestos!$B$22*(1+Supuestos!$B$15)*Cronograma!BJ$7</f>
        <v>34965000</v>
      </c>
    </row>
    <row r="26" ht="15.75" customHeight="1">
      <c r="A26" s="22" t="s">
        <v>198</v>
      </c>
      <c r="B26" s="22" t="s">
        <v>199</v>
      </c>
      <c r="C26" s="28">
        <f>100000*Supuestos!$B$23*Supuestos!$B$22*(1+Supuestos!$B$15)*Cronograma!C$7</f>
        <v>0</v>
      </c>
      <c r="D26" s="28">
        <f>100000*Supuestos!$B$23*Supuestos!$B$22*(1+Supuestos!$B$15)*Cronograma!D$7</f>
        <v>0</v>
      </c>
      <c r="E26" s="28">
        <f>100000*Supuestos!$B$23*Supuestos!$B$22*(1+Supuestos!$B$15)*Cronograma!E$7</f>
        <v>4995000</v>
      </c>
      <c r="F26" s="28">
        <f>100000*Supuestos!$B$23*Supuestos!$B$22*(1+Supuestos!$B$15)*Cronograma!F$7</f>
        <v>7992000</v>
      </c>
      <c r="G26" s="28">
        <f>100000*Supuestos!$B$23*Supuestos!$B$22*(1+Supuestos!$B$15)*Cronograma!G$7</f>
        <v>9990000</v>
      </c>
      <c r="H26" s="28">
        <f>100000*Supuestos!$B$23*Supuestos!$B$22*(1+Supuestos!$B$15)*Cronograma!H$7</f>
        <v>9990000</v>
      </c>
      <c r="I26" s="28">
        <f>100000*Supuestos!$B$23*Supuestos!$B$22*(1+Supuestos!$B$15)*Cronograma!I$7</f>
        <v>9990000</v>
      </c>
      <c r="J26" s="28">
        <f>100000*Supuestos!$B$23*Supuestos!$B$22*(1+Supuestos!$B$15)*Cronograma!J$7</f>
        <v>9990000</v>
      </c>
      <c r="K26" s="28">
        <f>100000*Supuestos!$B$23*Supuestos!$B$22*(1+Supuestos!$B$15)*Cronograma!K$7</f>
        <v>9990000</v>
      </c>
      <c r="L26" s="28">
        <f>100000*Supuestos!$B$23*Supuestos!$B$22*(1+Supuestos!$B$15)*Cronograma!L$7</f>
        <v>9990000</v>
      </c>
      <c r="M26" s="28">
        <f>100000*Supuestos!$B$23*Supuestos!$B$22*(1+Supuestos!$B$15)*Cronograma!M$7</f>
        <v>9990000</v>
      </c>
      <c r="N26" s="28">
        <f>100000*Supuestos!$B$23*Supuestos!$B$22*(1+Supuestos!$B$15)*Cronograma!N$7</f>
        <v>9990000</v>
      </c>
      <c r="O26" s="28">
        <f>100000*Supuestos!$B$23*Supuestos!$B$22*(1+Supuestos!$B$15)*Cronograma!O$7</f>
        <v>9990000</v>
      </c>
      <c r="P26" s="28">
        <f>100000*Supuestos!$B$23*Supuestos!$B$22*(1+Supuestos!$B$15)*Cronograma!P$7</f>
        <v>9990000</v>
      </c>
      <c r="Q26" s="28">
        <f>100000*Supuestos!$B$23*Supuestos!$B$22*(1+Supuestos!$B$15)*Cronograma!Q$7</f>
        <v>9990000</v>
      </c>
      <c r="R26" s="28">
        <f>100000*Supuestos!$B$23*Supuestos!$B$22*(1+Supuestos!$B$15)*Cronograma!R$7</f>
        <v>9990000</v>
      </c>
      <c r="S26" s="28">
        <f>100000*Supuestos!$B$23*Supuestos!$B$22*(1+Supuestos!$B$15)*Cronograma!S$7</f>
        <v>9990000</v>
      </c>
      <c r="T26" s="28">
        <f>100000*Supuestos!$B$23*Supuestos!$B$22*(1+Supuestos!$B$15)*Cronograma!T$7</f>
        <v>9990000</v>
      </c>
      <c r="U26" s="28">
        <f>100000*Supuestos!$B$23*Supuestos!$B$22*(1+Supuestos!$B$15)*Cronograma!U$7</f>
        <v>9990000</v>
      </c>
      <c r="V26" s="28">
        <f>100000*Supuestos!$B$23*Supuestos!$B$22*(1+Supuestos!$B$15)*Cronograma!V$7</f>
        <v>9990000</v>
      </c>
      <c r="W26" s="28">
        <f>100000*Supuestos!$B$23*Supuestos!$B$22*(1+Supuestos!$B$15)*Cronograma!W$7</f>
        <v>9990000</v>
      </c>
      <c r="X26" s="28">
        <f>100000*Supuestos!$B$23*Supuestos!$B$22*(1+Supuestos!$B$15)*Cronograma!X$7</f>
        <v>9990000</v>
      </c>
      <c r="Y26" s="28">
        <f>100000*Supuestos!$B$23*Supuestos!$B$22*(1+Supuestos!$B$15)*Cronograma!Y$7</f>
        <v>9990000</v>
      </c>
      <c r="Z26" s="28">
        <f>100000*Supuestos!$B$23*Supuestos!$B$22*(1+Supuestos!$B$15)*Cronograma!Z$7</f>
        <v>9990000</v>
      </c>
      <c r="AA26" s="28">
        <f>100000*Supuestos!$B$23*Supuestos!$B$22*(1+Supuestos!$B$15)*Cronograma!AA$7</f>
        <v>9990000</v>
      </c>
      <c r="AB26" s="28">
        <f>100000*Supuestos!$B$23*Supuestos!$B$22*(1+Supuestos!$B$15)*Cronograma!AB$7</f>
        <v>9990000</v>
      </c>
      <c r="AC26" s="28">
        <f>100000*Supuestos!$B$23*Supuestos!$B$22*(1+Supuestos!$B$15)*Cronograma!AC$7</f>
        <v>9990000</v>
      </c>
      <c r="AD26" s="28">
        <f>100000*Supuestos!$B$23*Supuestos!$B$22*(1+Supuestos!$B$15)*Cronograma!AD$7</f>
        <v>9990000</v>
      </c>
      <c r="AE26" s="28">
        <f>100000*Supuestos!$B$23*Supuestos!$B$22*(1+Supuestos!$B$15)*Cronograma!AE$7</f>
        <v>9990000</v>
      </c>
      <c r="AF26" s="28">
        <f>100000*Supuestos!$B$23*Supuestos!$B$22*(1+Supuestos!$B$15)*Cronograma!AF$7</f>
        <v>9990000</v>
      </c>
      <c r="AG26" s="28">
        <f>100000*Supuestos!$B$23*Supuestos!$B$22*(1+Supuestos!$B$15)*Cronograma!AG$7</f>
        <v>9990000</v>
      </c>
      <c r="AH26" s="28">
        <f>100000*Supuestos!$B$23*Supuestos!$B$22*(1+Supuestos!$B$15)*Cronograma!AH$7</f>
        <v>9990000</v>
      </c>
      <c r="AI26" s="28">
        <f>100000*Supuestos!$B$23*Supuestos!$B$22*(1+Supuestos!$B$15)*Cronograma!AI$7</f>
        <v>9990000</v>
      </c>
      <c r="AJ26" s="28">
        <f>100000*Supuestos!$B$23*Supuestos!$B$22*(1+Supuestos!$B$15)*Cronograma!AJ$7</f>
        <v>9990000</v>
      </c>
      <c r="AK26" s="28">
        <f>100000*Supuestos!$B$23*Supuestos!$B$22*(1+Supuestos!$B$15)*Cronograma!AK$7</f>
        <v>9990000</v>
      </c>
      <c r="AL26" s="28">
        <f>100000*Supuestos!$B$23*Supuestos!$B$22*(1+Supuestos!$B$15)*Cronograma!AL$7</f>
        <v>9990000</v>
      </c>
      <c r="AM26" s="28">
        <f>100000*Supuestos!$B$23*Supuestos!$B$22*(1+Supuestos!$B$15)*Cronograma!AM$7</f>
        <v>9990000</v>
      </c>
      <c r="AN26" s="28">
        <f>100000*Supuestos!$B$23*Supuestos!$B$22*(1+Supuestos!$B$15)*Cronograma!AN$7</f>
        <v>9990000</v>
      </c>
      <c r="AO26" s="28">
        <f>100000*Supuestos!$B$23*Supuestos!$B$22*(1+Supuestos!$B$15)*Cronograma!AO$7</f>
        <v>9990000</v>
      </c>
      <c r="AP26" s="28">
        <f>100000*Supuestos!$B$23*Supuestos!$B$22*(1+Supuestos!$B$15)*Cronograma!AP$7</f>
        <v>9990000</v>
      </c>
      <c r="AQ26" s="28">
        <f>100000*Supuestos!$B$23*Supuestos!$B$22*(1+Supuestos!$B$15)*Cronograma!AQ$7</f>
        <v>9990000</v>
      </c>
      <c r="AR26" s="28">
        <f>100000*Supuestos!$B$23*Supuestos!$B$22*(1+Supuestos!$B$15)*Cronograma!AR$7</f>
        <v>9990000</v>
      </c>
      <c r="AS26" s="28">
        <f>100000*Supuestos!$B$23*Supuestos!$B$22*(1+Supuestos!$B$15)*Cronograma!AS$7</f>
        <v>9990000</v>
      </c>
      <c r="AT26" s="28">
        <f>100000*Supuestos!$B$23*Supuestos!$B$22*(1+Supuestos!$B$15)*Cronograma!AT$7</f>
        <v>9990000</v>
      </c>
      <c r="AU26" s="28">
        <f>100000*Supuestos!$B$23*Supuestos!$B$22*(1+Supuestos!$B$15)*Cronograma!AU$7</f>
        <v>9990000</v>
      </c>
      <c r="AV26" s="28">
        <f>100000*Supuestos!$B$23*Supuestos!$B$22*(1+Supuestos!$B$15)*Cronograma!AV$7</f>
        <v>9990000</v>
      </c>
      <c r="AW26" s="28">
        <f>100000*Supuestos!$B$23*Supuestos!$B$22*(1+Supuestos!$B$15)*Cronograma!AW$7</f>
        <v>9990000</v>
      </c>
      <c r="AX26" s="28">
        <f>100000*Supuestos!$B$23*Supuestos!$B$22*(1+Supuestos!$B$15)*Cronograma!AX$7</f>
        <v>9990000</v>
      </c>
      <c r="AY26" s="28">
        <f>100000*Supuestos!$B$23*Supuestos!$B$22*(1+Supuestos!$B$15)*Cronograma!AY$7</f>
        <v>9990000</v>
      </c>
      <c r="AZ26" s="28">
        <f>100000*Supuestos!$B$23*Supuestos!$B$22*(1+Supuestos!$B$15)*Cronograma!AZ$7</f>
        <v>9990000</v>
      </c>
      <c r="BA26" s="28">
        <f>100000*Supuestos!$B$23*Supuestos!$B$22*(1+Supuestos!$B$15)*Cronograma!BA$7</f>
        <v>9990000</v>
      </c>
      <c r="BB26" s="28">
        <f>100000*Supuestos!$B$23*Supuestos!$B$22*(1+Supuestos!$B$15)*Cronograma!BB$7</f>
        <v>9990000</v>
      </c>
      <c r="BC26" s="28">
        <f>100000*Supuestos!$B$23*Supuestos!$B$22*(1+Supuestos!$B$15)*Cronograma!BC$7</f>
        <v>9990000</v>
      </c>
      <c r="BD26" s="28">
        <f>100000*Supuestos!$B$23*Supuestos!$B$22*(1+Supuestos!$B$15)*Cronograma!BD$7</f>
        <v>9990000</v>
      </c>
      <c r="BE26" s="28">
        <f>100000*Supuestos!$B$23*Supuestos!$B$22*(1+Supuestos!$B$15)*Cronograma!BE$7</f>
        <v>9990000</v>
      </c>
      <c r="BF26" s="28">
        <f>100000*Supuestos!$B$23*Supuestos!$B$22*(1+Supuestos!$B$15)*Cronograma!BF$7</f>
        <v>9990000</v>
      </c>
      <c r="BG26" s="28">
        <f>100000*Supuestos!$B$23*Supuestos!$B$22*(1+Supuestos!$B$15)*Cronograma!BG$7</f>
        <v>9990000</v>
      </c>
      <c r="BH26" s="28">
        <f>100000*Supuestos!$B$23*Supuestos!$B$22*(1+Supuestos!$B$15)*Cronograma!BH$7</f>
        <v>9990000</v>
      </c>
      <c r="BI26" s="28">
        <f>100000*Supuestos!$B$23*Supuestos!$B$22*(1+Supuestos!$B$15)*Cronograma!BI$7</f>
        <v>9990000</v>
      </c>
      <c r="BJ26" s="28">
        <f>100000*Supuestos!$B$23*Supuestos!$B$22*(1+Supuestos!$B$15)*Cronograma!BJ$7</f>
        <v>9990000</v>
      </c>
    </row>
    <row r="27" ht="15.75" customHeight="1">
      <c r="A27" s="22" t="s">
        <v>200</v>
      </c>
      <c r="B27" s="22" t="s">
        <v>201</v>
      </c>
      <c r="C27" s="28">
        <f>5000*Supuestos!$B$23*Supuestos!$B$22*(1+Supuestos!$B$15)*Cronograma!C$7</f>
        <v>0</v>
      </c>
      <c r="D27" s="28">
        <f>5000*Supuestos!$B$23*Supuestos!$B$22*(1+Supuestos!$B$15)*Cronograma!D$7</f>
        <v>0</v>
      </c>
      <c r="E27" s="28">
        <f>5000*Supuestos!$B$23*Supuestos!$B$22*(1+Supuestos!$B$15)*Cronograma!E$7</f>
        <v>249750</v>
      </c>
      <c r="F27" s="28">
        <f>5000*Supuestos!$B$23*Supuestos!$B$22*(1+Supuestos!$B$15)*Cronograma!F$7</f>
        <v>399600</v>
      </c>
      <c r="G27" s="28">
        <f>5000*Supuestos!$B$23*Supuestos!$B$22*(1+Supuestos!$B$15)*Cronograma!G$7</f>
        <v>499500</v>
      </c>
      <c r="H27" s="28">
        <f>5000*Supuestos!$B$23*Supuestos!$B$22*(1+Supuestos!$B$15)*Cronograma!H$7</f>
        <v>499500</v>
      </c>
      <c r="I27" s="28">
        <f>5000*Supuestos!$B$23*Supuestos!$B$22*(1+Supuestos!$B$15)*Cronograma!I$7</f>
        <v>499500</v>
      </c>
      <c r="J27" s="28">
        <f>5000*Supuestos!$B$23*Supuestos!$B$22*(1+Supuestos!$B$15)*Cronograma!J$7</f>
        <v>499500</v>
      </c>
      <c r="K27" s="28">
        <f>5000*Supuestos!$B$23*Supuestos!$B$22*(1+Supuestos!$B$15)*Cronograma!K$7</f>
        <v>499500</v>
      </c>
      <c r="L27" s="28">
        <f>5000*Supuestos!$B$23*Supuestos!$B$22*(1+Supuestos!$B$15)*Cronograma!L$7</f>
        <v>499500</v>
      </c>
      <c r="M27" s="28">
        <f>5000*Supuestos!$B$23*Supuestos!$B$22*(1+Supuestos!$B$15)*Cronograma!M$7</f>
        <v>499500</v>
      </c>
      <c r="N27" s="28">
        <f>5000*Supuestos!$B$23*Supuestos!$B$22*(1+Supuestos!$B$15)*Cronograma!N$7</f>
        <v>499500</v>
      </c>
      <c r="O27" s="28">
        <f>5000*Supuestos!$B$23*Supuestos!$B$22*(1+Supuestos!$B$15)*Cronograma!O$7</f>
        <v>499500</v>
      </c>
      <c r="P27" s="28">
        <f>5000*Supuestos!$B$23*Supuestos!$B$22*(1+Supuestos!$B$15)*Cronograma!P$7</f>
        <v>499500</v>
      </c>
      <c r="Q27" s="28">
        <f>5000*Supuestos!$B$23*Supuestos!$B$22*(1+Supuestos!$B$15)*Cronograma!Q$7</f>
        <v>499500</v>
      </c>
      <c r="R27" s="28">
        <f>5000*Supuestos!$B$23*Supuestos!$B$22*(1+Supuestos!$B$15)*Cronograma!R$7</f>
        <v>499500</v>
      </c>
      <c r="S27" s="28">
        <f>5000*Supuestos!$B$23*Supuestos!$B$22*(1+Supuestos!$B$15)*Cronograma!S$7</f>
        <v>499500</v>
      </c>
      <c r="T27" s="28">
        <f>5000*Supuestos!$B$23*Supuestos!$B$22*(1+Supuestos!$B$15)*Cronograma!T$7</f>
        <v>499500</v>
      </c>
      <c r="U27" s="28">
        <f>5000*Supuestos!$B$23*Supuestos!$B$22*(1+Supuestos!$B$15)*Cronograma!U$7</f>
        <v>499500</v>
      </c>
      <c r="V27" s="28">
        <f>5000*Supuestos!$B$23*Supuestos!$B$22*(1+Supuestos!$B$15)*Cronograma!V$7</f>
        <v>499500</v>
      </c>
      <c r="W27" s="28">
        <f>5000*Supuestos!$B$23*Supuestos!$B$22*(1+Supuestos!$B$15)*Cronograma!W$7</f>
        <v>499500</v>
      </c>
      <c r="X27" s="28">
        <f>5000*Supuestos!$B$23*Supuestos!$B$22*(1+Supuestos!$B$15)*Cronograma!X$7</f>
        <v>499500</v>
      </c>
      <c r="Y27" s="28">
        <f>5000*Supuestos!$B$23*Supuestos!$B$22*(1+Supuestos!$B$15)*Cronograma!Y$7</f>
        <v>499500</v>
      </c>
      <c r="Z27" s="28">
        <f>5000*Supuestos!$B$23*Supuestos!$B$22*(1+Supuestos!$B$15)*Cronograma!Z$7</f>
        <v>499500</v>
      </c>
      <c r="AA27" s="28">
        <f>5000*Supuestos!$B$23*Supuestos!$B$22*(1+Supuestos!$B$15)*Cronograma!AA$7</f>
        <v>499500</v>
      </c>
      <c r="AB27" s="28">
        <f>5000*Supuestos!$B$23*Supuestos!$B$22*(1+Supuestos!$B$15)*Cronograma!AB$7</f>
        <v>499500</v>
      </c>
      <c r="AC27" s="28">
        <f>5000*Supuestos!$B$23*Supuestos!$B$22*(1+Supuestos!$B$15)*Cronograma!AC$7</f>
        <v>499500</v>
      </c>
      <c r="AD27" s="28">
        <f>5000*Supuestos!$B$23*Supuestos!$B$22*(1+Supuestos!$B$15)*Cronograma!AD$7</f>
        <v>499500</v>
      </c>
      <c r="AE27" s="28">
        <f>5000*Supuestos!$B$23*Supuestos!$B$22*(1+Supuestos!$B$15)*Cronograma!AE$7</f>
        <v>499500</v>
      </c>
      <c r="AF27" s="28">
        <f>5000*Supuestos!$B$23*Supuestos!$B$22*(1+Supuestos!$B$15)*Cronograma!AF$7</f>
        <v>499500</v>
      </c>
      <c r="AG27" s="28">
        <f>5000*Supuestos!$B$23*Supuestos!$B$22*(1+Supuestos!$B$15)*Cronograma!AG$7</f>
        <v>499500</v>
      </c>
      <c r="AH27" s="28">
        <f>5000*Supuestos!$B$23*Supuestos!$B$22*(1+Supuestos!$B$15)*Cronograma!AH$7</f>
        <v>499500</v>
      </c>
      <c r="AI27" s="28">
        <f>5000*Supuestos!$B$23*Supuestos!$B$22*(1+Supuestos!$B$15)*Cronograma!AI$7</f>
        <v>499500</v>
      </c>
      <c r="AJ27" s="28">
        <f>5000*Supuestos!$B$23*Supuestos!$B$22*(1+Supuestos!$B$15)*Cronograma!AJ$7</f>
        <v>499500</v>
      </c>
      <c r="AK27" s="28">
        <f>5000*Supuestos!$B$23*Supuestos!$B$22*(1+Supuestos!$B$15)*Cronograma!AK$7</f>
        <v>499500</v>
      </c>
      <c r="AL27" s="28">
        <f>5000*Supuestos!$B$23*Supuestos!$B$22*(1+Supuestos!$B$15)*Cronograma!AL$7</f>
        <v>499500</v>
      </c>
      <c r="AM27" s="28">
        <f>5000*Supuestos!$B$23*Supuestos!$B$22*(1+Supuestos!$B$15)*Cronograma!AM$7</f>
        <v>499500</v>
      </c>
      <c r="AN27" s="28">
        <f>5000*Supuestos!$B$23*Supuestos!$B$22*(1+Supuestos!$B$15)*Cronograma!AN$7</f>
        <v>499500</v>
      </c>
      <c r="AO27" s="28">
        <f>5000*Supuestos!$B$23*Supuestos!$B$22*(1+Supuestos!$B$15)*Cronograma!AO$7</f>
        <v>499500</v>
      </c>
      <c r="AP27" s="28">
        <f>5000*Supuestos!$B$23*Supuestos!$B$22*(1+Supuestos!$B$15)*Cronograma!AP$7</f>
        <v>499500</v>
      </c>
      <c r="AQ27" s="28">
        <f>5000*Supuestos!$B$23*Supuestos!$B$22*(1+Supuestos!$B$15)*Cronograma!AQ$7</f>
        <v>499500</v>
      </c>
      <c r="AR27" s="28">
        <f>5000*Supuestos!$B$23*Supuestos!$B$22*(1+Supuestos!$B$15)*Cronograma!AR$7</f>
        <v>499500</v>
      </c>
      <c r="AS27" s="28">
        <f>5000*Supuestos!$B$23*Supuestos!$B$22*(1+Supuestos!$B$15)*Cronograma!AS$7</f>
        <v>499500</v>
      </c>
      <c r="AT27" s="28">
        <f>5000*Supuestos!$B$23*Supuestos!$B$22*(1+Supuestos!$B$15)*Cronograma!AT$7</f>
        <v>499500</v>
      </c>
      <c r="AU27" s="28">
        <f>5000*Supuestos!$B$23*Supuestos!$B$22*(1+Supuestos!$B$15)*Cronograma!AU$7</f>
        <v>499500</v>
      </c>
      <c r="AV27" s="28">
        <f>5000*Supuestos!$B$23*Supuestos!$B$22*(1+Supuestos!$B$15)*Cronograma!AV$7</f>
        <v>499500</v>
      </c>
      <c r="AW27" s="28">
        <f>5000*Supuestos!$B$23*Supuestos!$B$22*(1+Supuestos!$B$15)*Cronograma!AW$7</f>
        <v>499500</v>
      </c>
      <c r="AX27" s="28">
        <f>5000*Supuestos!$B$23*Supuestos!$B$22*(1+Supuestos!$B$15)*Cronograma!AX$7</f>
        <v>499500</v>
      </c>
      <c r="AY27" s="28">
        <f>5000*Supuestos!$B$23*Supuestos!$B$22*(1+Supuestos!$B$15)*Cronograma!AY$7</f>
        <v>499500</v>
      </c>
      <c r="AZ27" s="28">
        <f>5000*Supuestos!$B$23*Supuestos!$B$22*(1+Supuestos!$B$15)*Cronograma!AZ$7</f>
        <v>499500</v>
      </c>
      <c r="BA27" s="28">
        <f>5000*Supuestos!$B$23*Supuestos!$B$22*(1+Supuestos!$B$15)*Cronograma!BA$7</f>
        <v>499500</v>
      </c>
      <c r="BB27" s="28">
        <f>5000*Supuestos!$B$23*Supuestos!$B$22*(1+Supuestos!$B$15)*Cronograma!BB$7</f>
        <v>499500</v>
      </c>
      <c r="BC27" s="28">
        <f>5000*Supuestos!$B$23*Supuestos!$B$22*(1+Supuestos!$B$15)*Cronograma!BC$7</f>
        <v>499500</v>
      </c>
      <c r="BD27" s="28">
        <f>5000*Supuestos!$B$23*Supuestos!$B$22*(1+Supuestos!$B$15)*Cronograma!BD$7</f>
        <v>499500</v>
      </c>
      <c r="BE27" s="28">
        <f>5000*Supuestos!$B$23*Supuestos!$B$22*(1+Supuestos!$B$15)*Cronograma!BE$7</f>
        <v>499500</v>
      </c>
      <c r="BF27" s="28">
        <f>5000*Supuestos!$B$23*Supuestos!$B$22*(1+Supuestos!$B$15)*Cronograma!BF$7</f>
        <v>499500</v>
      </c>
      <c r="BG27" s="28">
        <f>5000*Supuestos!$B$23*Supuestos!$B$22*(1+Supuestos!$B$15)*Cronograma!BG$7</f>
        <v>499500</v>
      </c>
      <c r="BH27" s="28">
        <f>5000*Supuestos!$B$23*Supuestos!$B$22*(1+Supuestos!$B$15)*Cronograma!BH$7</f>
        <v>499500</v>
      </c>
      <c r="BI27" s="28">
        <f>5000*Supuestos!$B$23*Supuestos!$B$22*(1+Supuestos!$B$15)*Cronograma!BI$7</f>
        <v>499500</v>
      </c>
      <c r="BJ27" s="28">
        <f>5000*Supuestos!$B$23*Supuestos!$B$22*(1+Supuestos!$B$15)*Cronograma!BJ$7</f>
        <v>499500</v>
      </c>
    </row>
    <row r="28" ht="15.75" customHeight="1">
      <c r="A28" s="22" t="s">
        <v>202</v>
      </c>
      <c r="B28" s="22" t="s">
        <v>203</v>
      </c>
      <c r="C28" s="29">
        <f t="shared" ref="C28:BJ28" si="2">IF(C19=0,0,C25/C19)</f>
        <v>0</v>
      </c>
      <c r="D28" s="29">
        <f t="shared" si="2"/>
        <v>0</v>
      </c>
      <c r="E28" s="29">
        <f t="shared" si="2"/>
        <v>0.8356596387</v>
      </c>
      <c r="F28" s="29">
        <f t="shared" si="2"/>
        <v>1.335397542</v>
      </c>
      <c r="G28" s="29">
        <f t="shared" si="2"/>
        <v>1.667177148</v>
      </c>
      <c r="H28" s="29">
        <f t="shared" si="2"/>
        <v>1.665109934</v>
      </c>
      <c r="I28" s="29">
        <f t="shared" si="2"/>
        <v>1.663045284</v>
      </c>
      <c r="J28" s="29">
        <f t="shared" si="2"/>
        <v>1.660983194</v>
      </c>
      <c r="K28" s="29">
        <f t="shared" si="2"/>
        <v>1.658923661</v>
      </c>
      <c r="L28" s="29">
        <f t="shared" si="2"/>
        <v>1.656866681</v>
      </c>
      <c r="M28" s="29">
        <f t="shared" si="2"/>
        <v>1.654812252</v>
      </c>
      <c r="N28" s="29">
        <f t="shared" si="2"/>
        <v>1.65276037</v>
      </c>
      <c r="O28" s="29">
        <f t="shared" si="2"/>
        <v>1.650711033</v>
      </c>
      <c r="P28" s="29">
        <f t="shared" si="2"/>
        <v>1.648664236</v>
      </c>
      <c r="Q28" s="29">
        <f t="shared" si="2"/>
        <v>1.646619978</v>
      </c>
      <c r="R28" s="29">
        <f t="shared" si="2"/>
        <v>1.644578254</v>
      </c>
      <c r="S28" s="29">
        <f t="shared" si="2"/>
        <v>1.642539062</v>
      </c>
      <c r="T28" s="29">
        <f t="shared" si="2"/>
        <v>1.640502398</v>
      </c>
      <c r="U28" s="29">
        <f t="shared" si="2"/>
        <v>1.63846826</v>
      </c>
      <c r="V28" s="29">
        <f t="shared" si="2"/>
        <v>1.636436644</v>
      </c>
      <c r="W28" s="29">
        <f t="shared" si="2"/>
        <v>1.634407547</v>
      </c>
      <c r="X28" s="29">
        <f t="shared" si="2"/>
        <v>1.632380966</v>
      </c>
      <c r="Y28" s="29">
        <f t="shared" si="2"/>
        <v>1.630356898</v>
      </c>
      <c r="Z28" s="29">
        <f t="shared" si="2"/>
        <v>1.62833534</v>
      </c>
      <c r="AA28" s="29">
        <f t="shared" si="2"/>
        <v>1.626316288</v>
      </c>
      <c r="AB28" s="29">
        <f t="shared" si="2"/>
        <v>1.62429974</v>
      </c>
      <c r="AC28" s="29">
        <f t="shared" si="2"/>
        <v>1.622285692</v>
      </c>
      <c r="AD28" s="29">
        <f t="shared" si="2"/>
        <v>1.620274142</v>
      </c>
      <c r="AE28" s="29">
        <f t="shared" si="2"/>
        <v>1.618265086</v>
      </c>
      <c r="AF28" s="29">
        <f t="shared" si="2"/>
        <v>1.616258521</v>
      </c>
      <c r="AG28" s="29">
        <f t="shared" si="2"/>
        <v>1.614254444</v>
      </c>
      <c r="AH28" s="29">
        <f t="shared" si="2"/>
        <v>1.612252851</v>
      </c>
      <c r="AI28" s="29">
        <f t="shared" si="2"/>
        <v>1.610253741</v>
      </c>
      <c r="AJ28" s="29">
        <f t="shared" si="2"/>
        <v>1.60825711</v>
      </c>
      <c r="AK28" s="29">
        <f t="shared" si="2"/>
        <v>1.606262954</v>
      </c>
      <c r="AL28" s="29">
        <f t="shared" si="2"/>
        <v>1.604271271</v>
      </c>
      <c r="AM28" s="29">
        <f t="shared" si="2"/>
        <v>1.602282057</v>
      </c>
      <c r="AN28" s="29">
        <f t="shared" si="2"/>
        <v>1.60029531</v>
      </c>
      <c r="AO28" s="29">
        <f t="shared" si="2"/>
        <v>1.598311027</v>
      </c>
      <c r="AP28" s="29">
        <f t="shared" si="2"/>
        <v>1.596329204</v>
      </c>
      <c r="AQ28" s="29">
        <f t="shared" si="2"/>
        <v>1.594349838</v>
      </c>
      <c r="AR28" s="29">
        <f t="shared" si="2"/>
        <v>1.592372927</v>
      </c>
      <c r="AS28" s="29">
        <f t="shared" si="2"/>
        <v>1.590398467</v>
      </c>
      <c r="AT28" s="29">
        <f t="shared" si="2"/>
        <v>1.588426455</v>
      </c>
      <c r="AU28" s="29">
        <f t="shared" si="2"/>
        <v>1.586456888</v>
      </c>
      <c r="AV28" s="29">
        <f t="shared" si="2"/>
        <v>1.584489763</v>
      </c>
      <c r="AW28" s="29">
        <f t="shared" si="2"/>
        <v>1.582525078</v>
      </c>
      <c r="AX28" s="29">
        <f t="shared" si="2"/>
        <v>1.580562829</v>
      </c>
      <c r="AY28" s="29">
        <f t="shared" si="2"/>
        <v>1.578603012</v>
      </c>
      <c r="AZ28" s="29">
        <f t="shared" si="2"/>
        <v>1.576645626</v>
      </c>
      <c r="BA28" s="29">
        <f t="shared" si="2"/>
        <v>1.574690667</v>
      </c>
      <c r="BB28" s="29">
        <f t="shared" si="2"/>
        <v>1.572738132</v>
      </c>
      <c r="BC28" s="29">
        <f t="shared" si="2"/>
        <v>1.570788018</v>
      </c>
      <c r="BD28" s="29">
        <f t="shared" si="2"/>
        <v>1.568840322</v>
      </c>
      <c r="BE28" s="29">
        <f t="shared" si="2"/>
        <v>1.566895041</v>
      </c>
      <c r="BF28" s="29">
        <f t="shared" si="2"/>
        <v>1.564952172</v>
      </c>
      <c r="BG28" s="29">
        <f t="shared" si="2"/>
        <v>1.563011712</v>
      </c>
      <c r="BH28" s="29">
        <f t="shared" si="2"/>
        <v>1.561073658</v>
      </c>
      <c r="BI28" s="29">
        <f t="shared" si="2"/>
        <v>1.559138008</v>
      </c>
      <c r="BJ28" s="29">
        <f t="shared" si="2"/>
        <v>1.557204757</v>
      </c>
    </row>
    <row r="29" ht="15.75" customHeight="1">
      <c r="A29" s="22" t="s">
        <v>204</v>
      </c>
      <c r="B29" s="22" t="s">
        <v>205</v>
      </c>
      <c r="C29" s="29">
        <f t="shared" ref="C29:BJ29" si="3">IF(C20=0,0,C26/C20)</f>
        <v>0</v>
      </c>
      <c r="D29" s="29">
        <f t="shared" si="3"/>
        <v>0</v>
      </c>
      <c r="E29" s="29">
        <f t="shared" si="3"/>
        <v>1.55038894</v>
      </c>
      <c r="F29" s="29">
        <f t="shared" si="3"/>
        <v>2.477546461</v>
      </c>
      <c r="G29" s="29">
        <f t="shared" si="3"/>
        <v>3.093093039</v>
      </c>
      <c r="H29" s="29">
        <f t="shared" si="3"/>
        <v>3.089257763</v>
      </c>
      <c r="I29" s="29">
        <f t="shared" si="3"/>
        <v>3.085427243</v>
      </c>
      <c r="J29" s="29">
        <f t="shared" si="3"/>
        <v>3.081601473</v>
      </c>
      <c r="K29" s="29">
        <f t="shared" si="3"/>
        <v>3.077780446</v>
      </c>
      <c r="L29" s="29">
        <f t="shared" si="3"/>
        <v>3.073964157</v>
      </c>
      <c r="M29" s="29">
        <f t="shared" si="3"/>
        <v>3.070152601</v>
      </c>
      <c r="N29" s="29">
        <f t="shared" si="3"/>
        <v>3.06634577</v>
      </c>
      <c r="O29" s="29">
        <f t="shared" si="3"/>
        <v>3.06254366</v>
      </c>
      <c r="P29" s="29">
        <f t="shared" si="3"/>
        <v>3.058746264</v>
      </c>
      <c r="Q29" s="29">
        <f t="shared" si="3"/>
        <v>3.054953577</v>
      </c>
      <c r="R29" s="29">
        <f t="shared" si="3"/>
        <v>3.051165592</v>
      </c>
      <c r="S29" s="29">
        <f t="shared" si="3"/>
        <v>3.047382304</v>
      </c>
      <c r="T29" s="29">
        <f t="shared" si="3"/>
        <v>3.043603708</v>
      </c>
      <c r="U29" s="29">
        <f t="shared" si="3"/>
        <v>3.039829796</v>
      </c>
      <c r="V29" s="29">
        <f t="shared" si="3"/>
        <v>3.036060564</v>
      </c>
      <c r="W29" s="29">
        <f t="shared" si="3"/>
        <v>3.032296006</v>
      </c>
      <c r="X29" s="29">
        <f t="shared" si="3"/>
        <v>3.028536116</v>
      </c>
      <c r="Y29" s="29">
        <f t="shared" si="3"/>
        <v>3.024780887</v>
      </c>
      <c r="Z29" s="29">
        <f t="shared" si="3"/>
        <v>3.021030315</v>
      </c>
      <c r="AA29" s="29">
        <f t="shared" si="3"/>
        <v>3.017284394</v>
      </c>
      <c r="AB29" s="29">
        <f t="shared" si="3"/>
        <v>3.013543117</v>
      </c>
      <c r="AC29" s="29">
        <f t="shared" si="3"/>
        <v>3.009806479</v>
      </c>
      <c r="AD29" s="29">
        <f t="shared" si="3"/>
        <v>3.006074475</v>
      </c>
      <c r="AE29" s="29">
        <f t="shared" si="3"/>
        <v>3.002347098</v>
      </c>
      <c r="AF29" s="29">
        <f t="shared" si="3"/>
        <v>2.998624342</v>
      </c>
      <c r="AG29" s="29">
        <f t="shared" si="3"/>
        <v>2.994906203</v>
      </c>
      <c r="AH29" s="29">
        <f t="shared" si="3"/>
        <v>2.991192674</v>
      </c>
      <c r="AI29" s="29">
        <f t="shared" si="3"/>
        <v>2.98748375</v>
      </c>
      <c r="AJ29" s="29">
        <f t="shared" si="3"/>
        <v>2.983779424</v>
      </c>
      <c r="AK29" s="29">
        <f t="shared" si="3"/>
        <v>2.980079692</v>
      </c>
      <c r="AL29" s="29">
        <f t="shared" si="3"/>
        <v>2.976384547</v>
      </c>
      <c r="AM29" s="29">
        <f t="shared" si="3"/>
        <v>2.972693984</v>
      </c>
      <c r="AN29" s="29">
        <f t="shared" si="3"/>
        <v>2.969007997</v>
      </c>
      <c r="AO29" s="29">
        <f t="shared" si="3"/>
        <v>2.965326581</v>
      </c>
      <c r="AP29" s="29">
        <f t="shared" si="3"/>
        <v>2.961649729</v>
      </c>
      <c r="AQ29" s="29">
        <f t="shared" si="3"/>
        <v>2.957977436</v>
      </c>
      <c r="AR29" s="29">
        <f t="shared" si="3"/>
        <v>2.954309697</v>
      </c>
      <c r="AS29" s="29">
        <f t="shared" si="3"/>
        <v>2.950646506</v>
      </c>
      <c r="AT29" s="29">
        <f t="shared" si="3"/>
        <v>2.946987856</v>
      </c>
      <c r="AU29" s="29">
        <f t="shared" si="3"/>
        <v>2.943333744</v>
      </c>
      <c r="AV29" s="29">
        <f t="shared" si="3"/>
        <v>2.939684162</v>
      </c>
      <c r="AW29" s="29">
        <f t="shared" si="3"/>
        <v>2.936039105</v>
      </c>
      <c r="AX29" s="29">
        <f t="shared" si="3"/>
        <v>2.932398569</v>
      </c>
      <c r="AY29" s="29">
        <f t="shared" si="3"/>
        <v>2.928762546</v>
      </c>
      <c r="AZ29" s="29">
        <f t="shared" si="3"/>
        <v>2.925131032</v>
      </c>
      <c r="BA29" s="29">
        <f t="shared" si="3"/>
        <v>2.92150402</v>
      </c>
      <c r="BB29" s="29">
        <f t="shared" si="3"/>
        <v>2.917881506</v>
      </c>
      <c r="BC29" s="29">
        <f t="shared" si="3"/>
        <v>2.914263484</v>
      </c>
      <c r="BD29" s="29">
        <f t="shared" si="3"/>
        <v>2.910649948</v>
      </c>
      <c r="BE29" s="29">
        <f t="shared" si="3"/>
        <v>2.907040892</v>
      </c>
      <c r="BF29" s="29">
        <f t="shared" si="3"/>
        <v>2.903436312</v>
      </c>
      <c r="BG29" s="29">
        <f t="shared" si="3"/>
        <v>2.899836201</v>
      </c>
      <c r="BH29" s="29">
        <f t="shared" si="3"/>
        <v>2.896240554</v>
      </c>
      <c r="BI29" s="29">
        <f t="shared" si="3"/>
        <v>2.892649365</v>
      </c>
      <c r="BJ29" s="29">
        <f t="shared" si="3"/>
        <v>2.889062629</v>
      </c>
    </row>
    <row r="30" ht="15.75" customHeight="1">
      <c r="A30" s="22" t="s">
        <v>206</v>
      </c>
      <c r="B30" s="22" t="s">
        <v>207</v>
      </c>
      <c r="C30" s="29">
        <f t="shared" ref="C30:BJ30" si="4">IF(C21=0,0,C27/C21)</f>
        <v>0</v>
      </c>
      <c r="D30" s="29">
        <f t="shared" si="4"/>
        <v>0</v>
      </c>
      <c r="E30" s="29">
        <f t="shared" si="4"/>
        <v>3.014645161</v>
      </c>
      <c r="F30" s="29">
        <f t="shared" si="4"/>
        <v>4.817451451</v>
      </c>
      <c r="G30" s="29">
        <f t="shared" si="4"/>
        <v>6.014347575</v>
      </c>
      <c r="H30" s="29">
        <f t="shared" si="4"/>
        <v>6.006890095</v>
      </c>
      <c r="I30" s="29">
        <f t="shared" si="4"/>
        <v>5.999441862</v>
      </c>
      <c r="J30" s="29">
        <f t="shared" si="4"/>
        <v>5.992002864</v>
      </c>
      <c r="K30" s="29">
        <f t="shared" si="4"/>
        <v>5.98457309</v>
      </c>
      <c r="L30" s="29">
        <f t="shared" si="4"/>
        <v>5.977152528</v>
      </c>
      <c r="M30" s="29">
        <f t="shared" si="4"/>
        <v>5.969741168</v>
      </c>
      <c r="N30" s="29">
        <f t="shared" si="4"/>
        <v>5.962338997</v>
      </c>
      <c r="O30" s="29">
        <f t="shared" si="4"/>
        <v>5.954946005</v>
      </c>
      <c r="P30" s="29">
        <f t="shared" si="4"/>
        <v>5.94756218</v>
      </c>
      <c r="Q30" s="29">
        <f t="shared" si="4"/>
        <v>5.94018751</v>
      </c>
      <c r="R30" s="29">
        <f t="shared" si="4"/>
        <v>5.932821984</v>
      </c>
      <c r="S30" s="29">
        <f t="shared" si="4"/>
        <v>5.925465592</v>
      </c>
      <c r="T30" s="29">
        <f t="shared" si="4"/>
        <v>5.91811832</v>
      </c>
      <c r="U30" s="29">
        <f t="shared" si="4"/>
        <v>5.910780159</v>
      </c>
      <c r="V30" s="29">
        <f t="shared" si="4"/>
        <v>5.903451097</v>
      </c>
      <c r="W30" s="29">
        <f t="shared" si="4"/>
        <v>5.896131123</v>
      </c>
      <c r="X30" s="29">
        <f t="shared" si="4"/>
        <v>5.888820225</v>
      </c>
      <c r="Y30" s="29">
        <f t="shared" si="4"/>
        <v>5.881518392</v>
      </c>
      <c r="Z30" s="29">
        <f t="shared" si="4"/>
        <v>5.874225613</v>
      </c>
      <c r="AA30" s="29">
        <f t="shared" si="4"/>
        <v>5.866941877</v>
      </c>
      <c r="AB30" s="29">
        <f t="shared" si="4"/>
        <v>5.859667172</v>
      </c>
      <c r="AC30" s="29">
        <f t="shared" si="4"/>
        <v>5.852401488</v>
      </c>
      <c r="AD30" s="29">
        <f t="shared" si="4"/>
        <v>5.845144812</v>
      </c>
      <c r="AE30" s="29">
        <f t="shared" si="4"/>
        <v>5.837897135</v>
      </c>
      <c r="AF30" s="29">
        <f t="shared" si="4"/>
        <v>5.830658444</v>
      </c>
      <c r="AG30" s="29">
        <f t="shared" si="4"/>
        <v>5.823428728</v>
      </c>
      <c r="AH30" s="29">
        <f t="shared" si="4"/>
        <v>5.816207978</v>
      </c>
      <c r="AI30" s="29">
        <f t="shared" si="4"/>
        <v>5.80899618</v>
      </c>
      <c r="AJ30" s="29">
        <f t="shared" si="4"/>
        <v>5.801793325</v>
      </c>
      <c r="AK30" s="29">
        <f t="shared" si="4"/>
        <v>5.794599401</v>
      </c>
      <c r="AL30" s="29">
        <f t="shared" si="4"/>
        <v>5.787414397</v>
      </c>
      <c r="AM30" s="29">
        <f t="shared" si="4"/>
        <v>5.780238302</v>
      </c>
      <c r="AN30" s="29">
        <f t="shared" si="4"/>
        <v>5.773071106</v>
      </c>
      <c r="AO30" s="29">
        <f t="shared" si="4"/>
        <v>5.765912796</v>
      </c>
      <c r="AP30" s="29">
        <f t="shared" si="4"/>
        <v>5.758763362</v>
      </c>
      <c r="AQ30" s="29">
        <f t="shared" si="4"/>
        <v>5.751622793</v>
      </c>
      <c r="AR30" s="29">
        <f t="shared" si="4"/>
        <v>5.744491078</v>
      </c>
      <c r="AS30" s="29">
        <f t="shared" si="4"/>
        <v>5.737368205</v>
      </c>
      <c r="AT30" s="29">
        <f t="shared" si="4"/>
        <v>5.730254165</v>
      </c>
      <c r="AU30" s="29">
        <f t="shared" si="4"/>
        <v>5.723148946</v>
      </c>
      <c r="AV30" s="29">
        <f t="shared" si="4"/>
        <v>5.716052537</v>
      </c>
      <c r="AW30" s="29">
        <f t="shared" si="4"/>
        <v>5.708964927</v>
      </c>
      <c r="AX30" s="29">
        <f t="shared" si="4"/>
        <v>5.701886106</v>
      </c>
      <c r="AY30" s="29">
        <f t="shared" si="4"/>
        <v>5.694816062</v>
      </c>
      <c r="AZ30" s="29">
        <f t="shared" si="4"/>
        <v>5.687754784</v>
      </c>
      <c r="BA30" s="29">
        <f t="shared" si="4"/>
        <v>5.680702262</v>
      </c>
      <c r="BB30" s="29">
        <f t="shared" si="4"/>
        <v>5.673658484</v>
      </c>
      <c r="BC30" s="29">
        <f t="shared" si="4"/>
        <v>5.666623441</v>
      </c>
      <c r="BD30" s="29">
        <f t="shared" si="4"/>
        <v>5.659597121</v>
      </c>
      <c r="BE30" s="29">
        <f t="shared" si="4"/>
        <v>5.652579513</v>
      </c>
      <c r="BF30" s="29">
        <f t="shared" si="4"/>
        <v>5.645570606</v>
      </c>
      <c r="BG30" s="29">
        <f t="shared" si="4"/>
        <v>5.63857039</v>
      </c>
      <c r="BH30" s="29">
        <f t="shared" si="4"/>
        <v>5.631578854</v>
      </c>
      <c r="BI30" s="29">
        <f t="shared" si="4"/>
        <v>5.624595987</v>
      </c>
      <c r="BJ30" s="29">
        <f t="shared" si="4"/>
        <v>5.617621779</v>
      </c>
    </row>
    <row r="31" ht="15.75" customHeight="1">
      <c r="A31" s="22" t="s">
        <v>208</v>
      </c>
      <c r="B31" s="22" t="s">
        <v>209</v>
      </c>
      <c r="C31" s="28">
        <f>MIN(C16*Supuestos!$B$13,C22)</f>
        <v>18068181.82</v>
      </c>
      <c r="D31" s="28">
        <f>MIN(D16*Supuestos!$B$13,D22)</f>
        <v>18090613.24</v>
      </c>
      <c r="E31" s="28">
        <f>MIN(E16*Supuestos!$B$13,E22)</f>
        <v>18113072.52</v>
      </c>
      <c r="F31" s="28">
        <f>MIN(F16*Supuestos!$B$13,F22)</f>
        <v>18135559.68</v>
      </c>
      <c r="G31" s="28">
        <f>MIN(G16*Supuestos!$B$13,G22)</f>
        <v>18158074.75</v>
      </c>
      <c r="H31" s="28">
        <f>MIN(H16*Supuestos!$B$13,H22)</f>
        <v>18180617.78</v>
      </c>
      <c r="I31" s="28">
        <f>MIN(I16*Supuestos!$B$13,I22)</f>
        <v>18203188.79</v>
      </c>
      <c r="J31" s="28">
        <f>MIN(J16*Supuestos!$B$13,J22)</f>
        <v>18225787.83</v>
      </c>
      <c r="K31" s="28">
        <f>MIN(K16*Supuestos!$B$13,K22)</f>
        <v>18248414.92</v>
      </c>
      <c r="L31" s="28">
        <f>MIN(L16*Supuestos!$B$13,L22)</f>
        <v>18271070.1</v>
      </c>
      <c r="M31" s="28">
        <f>MIN(M16*Supuestos!$B$13,M22)</f>
        <v>18293753.41</v>
      </c>
      <c r="N31" s="28">
        <f>MIN(N16*Supuestos!$B$13,N22)</f>
        <v>18316464.88</v>
      </c>
      <c r="O31" s="28">
        <f>MIN(O16*Supuestos!$B$13,O22)</f>
        <v>18339204.55</v>
      </c>
      <c r="P31" s="28">
        <f>MIN(P16*Supuestos!$B$13,P22)</f>
        <v>18361972.44</v>
      </c>
      <c r="Q31" s="28">
        <f>MIN(Q16*Supuestos!$B$13,Q22)</f>
        <v>18384768.61</v>
      </c>
      <c r="R31" s="28">
        <f>MIN(R16*Supuestos!$B$13,R22)</f>
        <v>18407593.07</v>
      </c>
      <c r="S31" s="28">
        <f>MIN(S16*Supuestos!$B$13,S22)</f>
        <v>18430445.87</v>
      </c>
      <c r="T31" s="28">
        <f>MIN(T16*Supuestos!$B$13,T22)</f>
        <v>18453327.04</v>
      </c>
      <c r="U31" s="28">
        <f>MIN(U16*Supuestos!$B$13,U22)</f>
        <v>18476236.62</v>
      </c>
      <c r="V31" s="28">
        <f>MIN(V16*Supuestos!$B$13,V22)</f>
        <v>18499174.64</v>
      </c>
      <c r="W31" s="28">
        <f>MIN(W16*Supuestos!$B$13,W22)</f>
        <v>18522141.14</v>
      </c>
      <c r="X31" s="28">
        <f>MIN(X16*Supuestos!$B$13,X22)</f>
        <v>18545136.15</v>
      </c>
      <c r="Y31" s="28">
        <f>MIN(Y16*Supuestos!$B$13,Y22)</f>
        <v>18568159.71</v>
      </c>
      <c r="Z31" s="28">
        <f>MIN(Z16*Supuestos!$B$13,Z22)</f>
        <v>18591211.85</v>
      </c>
      <c r="AA31" s="28">
        <f>MIN(AA16*Supuestos!$B$13,AA22)</f>
        <v>18614292.61</v>
      </c>
      <c r="AB31" s="28">
        <f>MIN(AB16*Supuestos!$B$13,AB22)</f>
        <v>18637402.03</v>
      </c>
      <c r="AC31" s="28">
        <f>MIN(AC16*Supuestos!$B$13,AC22)</f>
        <v>18660540.13</v>
      </c>
      <c r="AD31" s="28">
        <f>MIN(AD16*Supuestos!$B$13,AD22)</f>
        <v>18683706.97</v>
      </c>
      <c r="AE31" s="28">
        <f>MIN(AE16*Supuestos!$B$13,AE22)</f>
        <v>18706902.56</v>
      </c>
      <c r="AF31" s="28">
        <f>MIN(AF16*Supuestos!$B$13,AF22)</f>
        <v>18730126.95</v>
      </c>
      <c r="AG31" s="28">
        <f>MIN(AG16*Supuestos!$B$13,AG22)</f>
        <v>18753380.17</v>
      </c>
      <c r="AH31" s="28">
        <f>MIN(AH16*Supuestos!$B$13,AH22)</f>
        <v>18776662.26</v>
      </c>
      <c r="AI31" s="28">
        <f>MIN(AI16*Supuestos!$B$13,AI22)</f>
        <v>18799973.26</v>
      </c>
      <c r="AJ31" s="28">
        <f>MIN(AJ16*Supuestos!$B$13,AJ22)</f>
        <v>18823313.19</v>
      </c>
      <c r="AK31" s="28">
        <f>MIN(AK16*Supuestos!$B$13,AK22)</f>
        <v>18846682.11</v>
      </c>
      <c r="AL31" s="28">
        <f>MIN(AL16*Supuestos!$B$13,AL22)</f>
        <v>18870080.03</v>
      </c>
      <c r="AM31" s="28">
        <f>MIN(AM16*Supuestos!$B$13,AM22)</f>
        <v>18893507</v>
      </c>
      <c r="AN31" s="28">
        <f>MIN(AN16*Supuestos!$B$13,AN22)</f>
        <v>18916963.06</v>
      </c>
      <c r="AO31" s="28">
        <f>MIN(AO16*Supuestos!$B$13,AO22)</f>
        <v>18940448.24</v>
      </c>
      <c r="AP31" s="28">
        <f>MIN(AP16*Supuestos!$B$13,AP22)</f>
        <v>18963962.57</v>
      </c>
      <c r="AQ31" s="28">
        <f>MIN(AQ16*Supuestos!$B$13,AQ22)</f>
        <v>18987506.1</v>
      </c>
      <c r="AR31" s="28">
        <f>MIN(AR16*Supuestos!$B$13,AR22)</f>
        <v>19011078.85</v>
      </c>
      <c r="AS31" s="28">
        <f>MIN(AS16*Supuestos!$B$13,AS22)</f>
        <v>19034680.87</v>
      </c>
      <c r="AT31" s="28">
        <f>MIN(AT16*Supuestos!$B$13,AT22)</f>
        <v>19058312.2</v>
      </c>
      <c r="AU31" s="28">
        <f>MIN(AU16*Supuestos!$B$13,AU22)</f>
        <v>19081972.86</v>
      </c>
      <c r="AV31" s="28">
        <f>MIN(AV16*Supuestos!$B$13,AV22)</f>
        <v>19105662.89</v>
      </c>
      <c r="AW31" s="28">
        <f>MIN(AW16*Supuestos!$B$13,AW22)</f>
        <v>19129382.34</v>
      </c>
      <c r="AX31" s="28">
        <f>MIN(AX16*Supuestos!$B$13,AX22)</f>
        <v>19153131.23</v>
      </c>
      <c r="AY31" s="28">
        <f>MIN(AY16*Supuestos!$B$13,AY22)</f>
        <v>19176909.61</v>
      </c>
      <c r="AZ31" s="28">
        <f>MIN(AZ16*Supuestos!$B$13,AZ22)</f>
        <v>19200717.51</v>
      </c>
      <c r="BA31" s="28">
        <f>MIN(BA16*Supuestos!$B$13,BA22)</f>
        <v>19224554.96</v>
      </c>
      <c r="BB31" s="28">
        <f>MIN(BB16*Supuestos!$B$13,BB22)</f>
        <v>19248422.01</v>
      </c>
      <c r="BC31" s="28">
        <f>MIN(BC16*Supuestos!$B$13,BC22)</f>
        <v>19272318.69</v>
      </c>
      <c r="BD31" s="28">
        <f>MIN(BD16*Supuestos!$B$13,BD22)</f>
        <v>19296245.04</v>
      </c>
      <c r="BE31" s="28">
        <f>MIN(BE16*Supuestos!$B$13,BE22)</f>
        <v>19320201.09</v>
      </c>
      <c r="BF31" s="28">
        <f>MIN(BF16*Supuestos!$B$13,BF22)</f>
        <v>19344186.88</v>
      </c>
      <c r="BG31" s="28">
        <f>MIN(BG16*Supuestos!$B$13,BG22)</f>
        <v>19368202.45</v>
      </c>
      <c r="BH31" s="28">
        <f>MIN(BH16*Supuestos!$B$13,BH22)</f>
        <v>19392247.84</v>
      </c>
      <c r="BI31" s="28">
        <f>MIN(BI16*Supuestos!$B$13,BI22)</f>
        <v>19416323.07</v>
      </c>
      <c r="BJ31" s="28">
        <f>MIN(BJ16*Supuestos!$B$13,BJ22)</f>
        <v>19440428.2</v>
      </c>
    </row>
    <row r="32" ht="15.75" customHeight="1">
      <c r="A32" s="22" t="s">
        <v>210</v>
      </c>
      <c r="B32" s="22" t="s">
        <v>211</v>
      </c>
      <c r="C32" s="28">
        <f>MIN(C17*Supuestos!$B$13,C23)</f>
        <v>2782500</v>
      </c>
      <c r="D32" s="28">
        <f>MIN(D17*Supuestos!$B$13,D23)</f>
        <v>2785954.44</v>
      </c>
      <c r="E32" s="28">
        <f>MIN(E17*Supuestos!$B$13,E23)</f>
        <v>2789413.168</v>
      </c>
      <c r="F32" s="28">
        <f>MIN(F17*Supuestos!$B$13,F23)</f>
        <v>2792876.19</v>
      </c>
      <c r="G32" s="28">
        <f>MIN(G17*Supuestos!$B$13,G23)</f>
        <v>2796343.511</v>
      </c>
      <c r="H32" s="28">
        <f>MIN(H17*Supuestos!$B$13,H23)</f>
        <v>2799815.138</v>
      </c>
      <c r="I32" s="28">
        <f>MIN(I17*Supuestos!$B$13,I23)</f>
        <v>2803291.074</v>
      </c>
      <c r="J32" s="28">
        <f>MIN(J17*Supuestos!$B$13,J23)</f>
        <v>2806771.325</v>
      </c>
      <c r="K32" s="28">
        <f>MIN(K17*Supuestos!$B$13,K23)</f>
        <v>2810255.897</v>
      </c>
      <c r="L32" s="28">
        <f>MIN(L17*Supuestos!$B$13,L23)</f>
        <v>2813744.795</v>
      </c>
      <c r="M32" s="28">
        <f>MIN(M17*Supuestos!$B$13,M23)</f>
        <v>2817238.025</v>
      </c>
      <c r="N32" s="28">
        <f>MIN(N17*Supuestos!$B$13,N23)</f>
        <v>2820735.591</v>
      </c>
      <c r="O32" s="28">
        <f>MIN(O17*Supuestos!$B$13,O23)</f>
        <v>2824237.5</v>
      </c>
      <c r="P32" s="28">
        <f>MIN(P17*Supuestos!$B$13,P23)</f>
        <v>2827743.756</v>
      </c>
      <c r="Q32" s="28">
        <f>MIN(Q17*Supuestos!$B$13,Q23)</f>
        <v>2831254.365</v>
      </c>
      <c r="R32" s="28">
        <f>MIN(R17*Supuestos!$B$13,R23)</f>
        <v>2834769.333</v>
      </c>
      <c r="S32" s="28">
        <f>MIN(S17*Supuestos!$B$13,S23)</f>
        <v>2838288.664</v>
      </c>
      <c r="T32" s="28">
        <f>MIN(T17*Supuestos!$B$13,T23)</f>
        <v>2841812.365</v>
      </c>
      <c r="U32" s="28">
        <f>MIN(U17*Supuestos!$B$13,U23)</f>
        <v>2845340.44</v>
      </c>
      <c r="V32" s="28">
        <f>MIN(V17*Supuestos!$B$13,V23)</f>
        <v>2848872.895</v>
      </c>
      <c r="W32" s="28">
        <f>MIN(W17*Supuestos!$B$13,W23)</f>
        <v>2852409.736</v>
      </c>
      <c r="X32" s="28">
        <f>MIN(X17*Supuestos!$B$13,X23)</f>
        <v>2855950.967</v>
      </c>
      <c r="Y32" s="28">
        <f>MIN(Y17*Supuestos!$B$13,Y23)</f>
        <v>2859496.595</v>
      </c>
      <c r="Z32" s="28">
        <f>MIN(Z17*Supuestos!$B$13,Z23)</f>
        <v>2863046.625</v>
      </c>
      <c r="AA32" s="28">
        <f>MIN(AA17*Supuestos!$B$13,AA23)</f>
        <v>2866601.063</v>
      </c>
      <c r="AB32" s="28">
        <f>MIN(AB17*Supuestos!$B$13,AB23)</f>
        <v>2870159.913</v>
      </c>
      <c r="AC32" s="28">
        <f>MIN(AC17*Supuestos!$B$13,AC23)</f>
        <v>2873723.181</v>
      </c>
      <c r="AD32" s="28">
        <f>MIN(AD17*Supuestos!$B$13,AD23)</f>
        <v>2877290.873</v>
      </c>
      <c r="AE32" s="28">
        <f>MIN(AE17*Supuestos!$B$13,AE23)</f>
        <v>2880862.994</v>
      </c>
      <c r="AF32" s="28">
        <f>MIN(AF17*Supuestos!$B$13,AF23)</f>
        <v>2884439.55</v>
      </c>
      <c r="AG32" s="28">
        <f>MIN(AG17*Supuestos!$B$13,AG23)</f>
        <v>2888020.546</v>
      </c>
      <c r="AH32" s="28">
        <f>MIN(AH17*Supuestos!$B$13,AH23)</f>
        <v>2891605.988</v>
      </c>
      <c r="AI32" s="28">
        <f>MIN(AI17*Supuestos!$B$13,AI23)</f>
        <v>2895195.882</v>
      </c>
      <c r="AJ32" s="28">
        <f>MIN(AJ17*Supuestos!$B$13,AJ23)</f>
        <v>2898790.232</v>
      </c>
      <c r="AK32" s="28">
        <f>MIN(AK17*Supuestos!$B$13,AK23)</f>
        <v>2902389.044</v>
      </c>
      <c r="AL32" s="28">
        <f>MIN(AL17*Supuestos!$B$13,AL23)</f>
        <v>2905992.325</v>
      </c>
      <c r="AM32" s="28">
        <f>MIN(AM17*Supuestos!$B$13,AM23)</f>
        <v>2909600.078</v>
      </c>
      <c r="AN32" s="28">
        <f>MIN(AN17*Supuestos!$B$13,AN23)</f>
        <v>2913212.311</v>
      </c>
      <c r="AO32" s="28">
        <f>MIN(AO17*Supuestos!$B$13,AO23)</f>
        <v>2916829.028</v>
      </c>
      <c r="AP32" s="28">
        <f>MIN(AP17*Supuestos!$B$13,AP23)</f>
        <v>2920450.236</v>
      </c>
      <c r="AQ32" s="28">
        <f>MIN(AQ17*Supuestos!$B$13,AQ23)</f>
        <v>2924075.939</v>
      </c>
      <c r="AR32" s="28">
        <f>MIN(AR17*Supuestos!$B$13,AR23)</f>
        <v>2927706.143</v>
      </c>
      <c r="AS32" s="28">
        <f>MIN(AS17*Supuestos!$B$13,AS23)</f>
        <v>2931340.855</v>
      </c>
      <c r="AT32" s="28">
        <f>MIN(AT17*Supuestos!$B$13,AT23)</f>
        <v>2934980.078</v>
      </c>
      <c r="AU32" s="28">
        <f>MIN(AU17*Supuestos!$B$13,AU23)</f>
        <v>2938623.82</v>
      </c>
      <c r="AV32" s="28">
        <f>MIN(AV17*Supuestos!$B$13,AV23)</f>
        <v>2942272.085</v>
      </c>
      <c r="AW32" s="28">
        <f>MIN(AW17*Supuestos!$B$13,AW23)</f>
        <v>2945924.88</v>
      </c>
      <c r="AX32" s="28">
        <f>MIN(AX17*Supuestos!$B$13,AX23)</f>
        <v>2949582.21</v>
      </c>
      <c r="AY32" s="28">
        <f>MIN(AY17*Supuestos!$B$13,AY23)</f>
        <v>2953244.08</v>
      </c>
      <c r="AZ32" s="28">
        <f>MIN(AZ17*Supuestos!$B$13,AZ23)</f>
        <v>2956910.496</v>
      </c>
      <c r="BA32" s="28">
        <f>MIN(BA17*Supuestos!$B$13,BA23)</f>
        <v>2960581.464</v>
      </c>
      <c r="BB32" s="28">
        <f>MIN(BB17*Supuestos!$B$13,BB23)</f>
        <v>2964256.989</v>
      </c>
      <c r="BC32" s="28">
        <f>MIN(BC17*Supuestos!$B$13,BC23)</f>
        <v>2967937.078</v>
      </c>
      <c r="BD32" s="28">
        <f>MIN(BD17*Supuestos!$B$13,BD23)</f>
        <v>2971621.736</v>
      </c>
      <c r="BE32" s="28">
        <f>MIN(BE17*Supuestos!$B$13,BE23)</f>
        <v>2975310.967</v>
      </c>
      <c r="BF32" s="28">
        <f>MIN(BF17*Supuestos!$B$13,BF23)</f>
        <v>2979004.779</v>
      </c>
      <c r="BG32" s="28">
        <f>MIN(BG17*Supuestos!$B$13,BG23)</f>
        <v>2982703.177</v>
      </c>
      <c r="BH32" s="28">
        <f>MIN(BH17*Supuestos!$B$13,BH23)</f>
        <v>2986406.167</v>
      </c>
      <c r="BI32" s="28">
        <f>MIN(BI17*Supuestos!$B$13,BI23)</f>
        <v>2990113.753</v>
      </c>
      <c r="BJ32" s="28">
        <f>MIN(BJ17*Supuestos!$B$13,BJ23)</f>
        <v>2993825.943</v>
      </c>
    </row>
    <row r="33" ht="15.75" customHeight="1">
      <c r="A33" s="22" t="s">
        <v>212</v>
      </c>
      <c r="B33" s="22" t="s">
        <v>213</v>
      </c>
      <c r="C33" s="28">
        <f>MIN(C18*Supuestos!$B$13,C24)</f>
        <v>71550</v>
      </c>
      <c r="D33" s="28">
        <f>MIN(D18*Supuestos!$B$13,D24)</f>
        <v>71638.82845</v>
      </c>
      <c r="E33" s="28">
        <f>MIN(E18*Supuestos!$B$13,E24)</f>
        <v>71727.76717</v>
      </c>
      <c r="F33" s="28">
        <f>MIN(F18*Supuestos!$B$13,F24)</f>
        <v>71816.81631</v>
      </c>
      <c r="G33" s="28">
        <f>MIN(G18*Supuestos!$B$13,G24)</f>
        <v>71905.97601</v>
      </c>
      <c r="H33" s="28">
        <f>MIN(H18*Supuestos!$B$13,H24)</f>
        <v>71995.24639</v>
      </c>
      <c r="I33" s="28">
        <f>MIN(I18*Supuestos!$B$13,I24)</f>
        <v>72084.62761</v>
      </c>
      <c r="J33" s="28">
        <f>MIN(J18*Supuestos!$B$13,J24)</f>
        <v>72174.11979</v>
      </c>
      <c r="K33" s="28">
        <f>MIN(K18*Supuestos!$B$13,K24)</f>
        <v>72263.72307</v>
      </c>
      <c r="L33" s="28">
        <f>MIN(L18*Supuestos!$B$13,L24)</f>
        <v>72353.4376</v>
      </c>
      <c r="M33" s="28">
        <f>MIN(M18*Supuestos!$B$13,M24)</f>
        <v>72443.2635</v>
      </c>
      <c r="N33" s="28">
        <f>MIN(N18*Supuestos!$B$13,N24)</f>
        <v>72533.20092</v>
      </c>
      <c r="O33" s="28">
        <f>MIN(O18*Supuestos!$B$13,O24)</f>
        <v>72623.25</v>
      </c>
      <c r="P33" s="28">
        <f>MIN(P18*Supuestos!$B$13,P24)</f>
        <v>72713.41087</v>
      </c>
      <c r="Q33" s="28">
        <f>MIN(Q18*Supuestos!$B$13,Q24)</f>
        <v>72803.68368</v>
      </c>
      <c r="R33" s="28">
        <f>MIN(R18*Supuestos!$B$13,R24)</f>
        <v>72894.06856</v>
      </c>
      <c r="S33" s="28">
        <f>MIN(S18*Supuestos!$B$13,S24)</f>
        <v>72984.56565</v>
      </c>
      <c r="T33" s="28">
        <f>MIN(T18*Supuestos!$B$13,T24)</f>
        <v>73075.17509</v>
      </c>
      <c r="U33" s="28">
        <f>MIN(U18*Supuestos!$B$13,U24)</f>
        <v>73165.89702</v>
      </c>
      <c r="V33" s="28">
        <f>MIN(V18*Supuestos!$B$13,V24)</f>
        <v>73256.73159</v>
      </c>
      <c r="W33" s="28">
        <f>MIN(W18*Supuestos!$B$13,W24)</f>
        <v>73347.67892</v>
      </c>
      <c r="X33" s="28">
        <f>MIN(X18*Supuestos!$B$13,X24)</f>
        <v>73438.73916</v>
      </c>
      <c r="Y33" s="28">
        <f>MIN(Y18*Supuestos!$B$13,Y24)</f>
        <v>73529.91245</v>
      </c>
      <c r="Z33" s="28">
        <f>MIN(Z18*Supuestos!$B$13,Z24)</f>
        <v>73621.19894</v>
      </c>
      <c r="AA33" s="28">
        <f>MIN(AA18*Supuestos!$B$13,AA24)</f>
        <v>73712.59875</v>
      </c>
      <c r="AB33" s="28">
        <f>MIN(AB18*Supuestos!$B$13,AB24)</f>
        <v>73804.11204</v>
      </c>
      <c r="AC33" s="28">
        <f>MIN(AC18*Supuestos!$B$13,AC24)</f>
        <v>73895.73893</v>
      </c>
      <c r="AD33" s="28">
        <f>MIN(AD18*Supuestos!$B$13,AD24)</f>
        <v>73987.47959</v>
      </c>
      <c r="AE33" s="28">
        <f>MIN(AE18*Supuestos!$B$13,AE24)</f>
        <v>74079.33413</v>
      </c>
      <c r="AF33" s="28">
        <f>MIN(AF18*Supuestos!$B$13,AF24)</f>
        <v>74171.30272</v>
      </c>
      <c r="AG33" s="28">
        <f>MIN(AG18*Supuestos!$B$13,AG24)</f>
        <v>74263.38548</v>
      </c>
      <c r="AH33" s="28">
        <f>MIN(AH18*Supuestos!$B$13,AH24)</f>
        <v>74355.58256</v>
      </c>
      <c r="AI33" s="28">
        <f>MIN(AI18*Supuestos!$B$13,AI24)</f>
        <v>74447.8941</v>
      </c>
      <c r="AJ33" s="28">
        <f>MIN(AJ18*Supuestos!$B$13,AJ24)</f>
        <v>74540.32025</v>
      </c>
      <c r="AK33" s="28">
        <f>MIN(AK18*Supuestos!$B$13,AK24)</f>
        <v>74632.86114</v>
      </c>
      <c r="AL33" s="28">
        <f>MIN(AL18*Supuestos!$B$13,AL24)</f>
        <v>74725.51692</v>
      </c>
      <c r="AM33" s="28">
        <f>MIN(AM18*Supuestos!$B$13,AM24)</f>
        <v>74818.28773</v>
      </c>
      <c r="AN33" s="28">
        <f>MIN(AN18*Supuestos!$B$13,AN24)</f>
        <v>74911.17372</v>
      </c>
      <c r="AO33" s="28">
        <f>MIN(AO18*Supuestos!$B$13,AO24)</f>
        <v>75004.17502</v>
      </c>
      <c r="AP33" s="28">
        <f>MIN(AP18*Supuestos!$B$13,AP24)</f>
        <v>75097.29178</v>
      </c>
      <c r="AQ33" s="28">
        <f>MIN(AQ18*Supuestos!$B$13,AQ24)</f>
        <v>75190.52415</v>
      </c>
      <c r="AR33" s="28">
        <f>MIN(AR18*Supuestos!$B$13,AR24)</f>
        <v>75283.87226</v>
      </c>
      <c r="AS33" s="28">
        <f>MIN(AS18*Supuestos!$B$13,AS24)</f>
        <v>75377.33626</v>
      </c>
      <c r="AT33" s="28">
        <f>MIN(AT18*Supuestos!$B$13,AT24)</f>
        <v>75470.9163</v>
      </c>
      <c r="AU33" s="28">
        <f>MIN(AU18*Supuestos!$B$13,AU24)</f>
        <v>75564.61251</v>
      </c>
      <c r="AV33" s="28">
        <f>MIN(AV18*Supuestos!$B$13,AV24)</f>
        <v>75658.42505</v>
      </c>
      <c r="AW33" s="28">
        <f>MIN(AW18*Supuestos!$B$13,AW24)</f>
        <v>75752.35406</v>
      </c>
      <c r="AX33" s="28">
        <f>MIN(AX18*Supuestos!$B$13,AX24)</f>
        <v>75846.39967</v>
      </c>
      <c r="AY33" s="28">
        <f>MIN(AY18*Supuestos!$B$13,AY24)</f>
        <v>75940.56205</v>
      </c>
      <c r="AZ33" s="28">
        <f>MIN(AZ18*Supuestos!$B$13,AZ24)</f>
        <v>76034.84132</v>
      </c>
      <c r="BA33" s="28">
        <f>MIN(BA18*Supuestos!$B$13,BA24)</f>
        <v>76129.23764</v>
      </c>
      <c r="BB33" s="28">
        <f>MIN(BB18*Supuestos!$B$13,BB24)</f>
        <v>76223.75116</v>
      </c>
      <c r="BC33" s="28">
        <f>MIN(BC18*Supuestos!$B$13,BC24)</f>
        <v>76318.38201</v>
      </c>
      <c r="BD33" s="28">
        <f>MIN(BD18*Supuestos!$B$13,BD24)</f>
        <v>76413.13034</v>
      </c>
      <c r="BE33" s="28">
        <f>MIN(BE18*Supuestos!$B$13,BE24)</f>
        <v>76507.9963</v>
      </c>
      <c r="BF33" s="28">
        <f>MIN(BF18*Supuestos!$B$13,BF24)</f>
        <v>76602.98004</v>
      </c>
      <c r="BG33" s="28">
        <f>MIN(BG18*Supuestos!$B$13,BG24)</f>
        <v>76698.0817</v>
      </c>
      <c r="BH33" s="28">
        <f>MIN(BH18*Supuestos!$B$13,BH24)</f>
        <v>76793.30143</v>
      </c>
      <c r="BI33" s="28">
        <f>MIN(BI18*Supuestos!$B$13,BI24)</f>
        <v>76888.63937</v>
      </c>
      <c r="BJ33" s="28">
        <f>MIN(BJ18*Supuestos!$B$13,BJ24)</f>
        <v>76984.09567</v>
      </c>
    </row>
    <row r="34" ht="15.75" customHeight="1">
      <c r="A34" s="22" t="s">
        <v>214</v>
      </c>
      <c r="B34" s="22" t="s">
        <v>215</v>
      </c>
      <c r="C34" s="28">
        <f>MIN(C16*(Supuestos!$B$13 + Supuestos!$B$41*(Supuestos!$B$14-Supuestos!$B$13)*Cronograma!C$7),MAX(C22,C25))</f>
        <v>18068181.82</v>
      </c>
      <c r="D34" s="28">
        <f>MIN(D16*(Supuestos!$B$13 + Supuestos!$B$41*(Supuestos!$B$14-Supuestos!$B$13)*Cronograma!D$7),MAX(D22,D25))</f>
        <v>18090613.24</v>
      </c>
      <c r="E34" s="28">
        <f>MIN(E16*(Supuestos!$B$13 + Supuestos!$B$41*(Supuestos!$B$14-Supuestos!$B$13)*Cronograma!E$7),MAX(E22,E25))</f>
        <v>18393825.14</v>
      </c>
      <c r="F34" s="28">
        <f>MIN(F16*(Supuestos!$B$13 + Supuestos!$B$41*(Supuestos!$B$14-Supuestos!$B$13)*Cronograma!F$7),MAX(F22,F25))</f>
        <v>18585321.56</v>
      </c>
      <c r="G34" s="28">
        <f>MIN(G16*(Supuestos!$B$13 + Supuestos!$B$41*(Supuestos!$B$14-Supuestos!$B$13)*Cronograma!G$7),MAX(G22,G25))</f>
        <v>18720975.07</v>
      </c>
      <c r="H34" s="28">
        <f>MIN(H16*(Supuestos!$B$13 + Supuestos!$B$41*(Supuestos!$B$14-Supuestos!$B$13)*Cronograma!H$7),MAX(H22,H25))</f>
        <v>18744216.93</v>
      </c>
      <c r="I34" s="28">
        <f>MIN(I16*(Supuestos!$B$13 + Supuestos!$B$41*(Supuestos!$B$14-Supuestos!$B$13)*Cronograma!I$7),MAX(I22,I25))</f>
        <v>18767487.64</v>
      </c>
      <c r="J34" s="28">
        <f>MIN(J16*(Supuestos!$B$13 + Supuestos!$B$41*(Supuestos!$B$14-Supuestos!$B$13)*Cronograma!J$7),MAX(J22,J25))</f>
        <v>18790787.25</v>
      </c>
      <c r="K34" s="28">
        <f>MIN(K16*(Supuestos!$B$13 + Supuestos!$B$41*(Supuestos!$B$14-Supuestos!$B$13)*Cronograma!K$7),MAX(K22,K25))</f>
        <v>18814115.78</v>
      </c>
      <c r="L34" s="28">
        <f>MIN(L16*(Supuestos!$B$13 + Supuestos!$B$41*(Supuestos!$B$14-Supuestos!$B$13)*Cronograma!L$7),MAX(L22,L25))</f>
        <v>18837473.27</v>
      </c>
      <c r="M34" s="28">
        <f>MIN(M16*(Supuestos!$B$13 + Supuestos!$B$41*(Supuestos!$B$14-Supuestos!$B$13)*Cronograma!M$7),MAX(M22,M25))</f>
        <v>18860859.76</v>
      </c>
      <c r="N34" s="28">
        <f>MIN(N16*(Supuestos!$B$13 + Supuestos!$B$41*(Supuestos!$B$14-Supuestos!$B$13)*Cronograma!N$7),MAX(N22,N25))</f>
        <v>18884275.29</v>
      </c>
      <c r="O34" s="28">
        <f>MIN(O16*(Supuestos!$B$13 + Supuestos!$B$41*(Supuestos!$B$14-Supuestos!$B$13)*Cronograma!O$7),MAX(O22,O25))</f>
        <v>18907719.89</v>
      </c>
      <c r="P34" s="28">
        <f>MIN(P16*(Supuestos!$B$13 + Supuestos!$B$41*(Supuestos!$B$14-Supuestos!$B$13)*Cronograma!P$7),MAX(P22,P25))</f>
        <v>18931193.59</v>
      </c>
      <c r="Q34" s="28">
        <f>MIN(Q16*(Supuestos!$B$13 + Supuestos!$B$41*(Supuestos!$B$14-Supuestos!$B$13)*Cronograma!Q$7),MAX(Q22,Q25))</f>
        <v>18954696.43</v>
      </c>
      <c r="R34" s="28">
        <f>MIN(R16*(Supuestos!$B$13 + Supuestos!$B$41*(Supuestos!$B$14-Supuestos!$B$13)*Cronograma!R$7),MAX(R22,R25))</f>
        <v>18978228.46</v>
      </c>
      <c r="S34" s="28">
        <f>MIN(S16*(Supuestos!$B$13 + Supuestos!$B$41*(Supuestos!$B$14-Supuestos!$B$13)*Cronograma!S$7),MAX(S22,S25))</f>
        <v>19001789.69</v>
      </c>
      <c r="T34" s="28">
        <f>MIN(T16*(Supuestos!$B$13 + Supuestos!$B$41*(Supuestos!$B$14-Supuestos!$B$13)*Cronograma!T$7),MAX(T22,T25))</f>
        <v>19025380.18</v>
      </c>
      <c r="U34" s="28">
        <f>MIN(U16*(Supuestos!$B$13 + Supuestos!$B$41*(Supuestos!$B$14-Supuestos!$B$13)*Cronograma!U$7),MAX(U22,U25))</f>
        <v>19048999.96</v>
      </c>
      <c r="V34" s="28">
        <f>MIN(V16*(Supuestos!$B$13 + Supuestos!$B$41*(Supuestos!$B$14-Supuestos!$B$13)*Cronograma!V$7),MAX(V22,V25))</f>
        <v>19072649.06</v>
      </c>
      <c r="W34" s="28">
        <f>MIN(W16*(Supuestos!$B$13 + Supuestos!$B$41*(Supuestos!$B$14-Supuestos!$B$13)*Cronograma!W$7),MAX(W22,W25))</f>
        <v>19096327.52</v>
      </c>
      <c r="X34" s="28">
        <f>MIN(X16*(Supuestos!$B$13 + Supuestos!$B$41*(Supuestos!$B$14-Supuestos!$B$13)*Cronograma!X$7),MAX(X22,X25))</f>
        <v>19120035.37</v>
      </c>
      <c r="Y34" s="28">
        <f>MIN(Y16*(Supuestos!$B$13 + Supuestos!$B$41*(Supuestos!$B$14-Supuestos!$B$13)*Cronograma!Y$7),MAX(Y22,Y25))</f>
        <v>19143772.66</v>
      </c>
      <c r="Z34" s="28">
        <f>MIN(Z16*(Supuestos!$B$13 + Supuestos!$B$41*(Supuestos!$B$14-Supuestos!$B$13)*Cronograma!Z$7),MAX(Z22,Z25))</f>
        <v>19167539.42</v>
      </c>
      <c r="AA34" s="28">
        <f>MIN(AA16*(Supuestos!$B$13 + Supuestos!$B$41*(Supuestos!$B$14-Supuestos!$B$13)*Cronograma!AA$7),MAX(AA22,AA25))</f>
        <v>19191335.68</v>
      </c>
      <c r="AB34" s="28">
        <f>MIN(AB16*(Supuestos!$B$13 + Supuestos!$B$41*(Supuestos!$B$14-Supuestos!$B$13)*Cronograma!AB$7),MAX(AB22,AB25))</f>
        <v>19215161.49</v>
      </c>
      <c r="AC34" s="28">
        <f>MIN(AC16*(Supuestos!$B$13 + Supuestos!$B$41*(Supuestos!$B$14-Supuestos!$B$13)*Cronograma!AC$7),MAX(AC22,AC25))</f>
        <v>19239016.88</v>
      </c>
      <c r="AD34" s="28">
        <f>MIN(AD16*(Supuestos!$B$13 + Supuestos!$B$41*(Supuestos!$B$14-Supuestos!$B$13)*Cronograma!AD$7),MAX(AD22,AD25))</f>
        <v>19262901.88</v>
      </c>
      <c r="AE34" s="28">
        <f>MIN(AE16*(Supuestos!$B$13 + Supuestos!$B$41*(Supuestos!$B$14-Supuestos!$B$13)*Cronograma!AE$7),MAX(AE22,AE25))</f>
        <v>19286816.54</v>
      </c>
      <c r="AF34" s="28">
        <f>MIN(AF16*(Supuestos!$B$13 + Supuestos!$B$41*(Supuestos!$B$14-Supuestos!$B$13)*Cronograma!AF$7),MAX(AF22,AF25))</f>
        <v>19310760.88</v>
      </c>
      <c r="AG34" s="28">
        <f>MIN(AG16*(Supuestos!$B$13 + Supuestos!$B$41*(Supuestos!$B$14-Supuestos!$B$13)*Cronograma!AG$7),MAX(AG22,AG25))</f>
        <v>19334734.96</v>
      </c>
      <c r="AH34" s="28">
        <f>MIN(AH16*(Supuestos!$B$13 + Supuestos!$B$41*(Supuestos!$B$14-Supuestos!$B$13)*Cronograma!AH$7),MAX(AH22,AH25))</f>
        <v>19358738.79</v>
      </c>
      <c r="AI34" s="28">
        <f>MIN(AI16*(Supuestos!$B$13 + Supuestos!$B$41*(Supuestos!$B$14-Supuestos!$B$13)*Cronograma!AI$7),MAX(AI22,AI25))</f>
        <v>19382772.43</v>
      </c>
      <c r="AJ34" s="28">
        <f>MIN(AJ16*(Supuestos!$B$13 + Supuestos!$B$41*(Supuestos!$B$14-Supuestos!$B$13)*Cronograma!AJ$7),MAX(AJ22,AJ25))</f>
        <v>19406835.9</v>
      </c>
      <c r="AK34" s="28">
        <f>MIN(AK16*(Supuestos!$B$13 + Supuestos!$B$41*(Supuestos!$B$14-Supuestos!$B$13)*Cronograma!AK$7),MAX(AK22,AK25))</f>
        <v>19430929.25</v>
      </c>
      <c r="AL34" s="28">
        <f>MIN(AL16*(Supuestos!$B$13 + Supuestos!$B$41*(Supuestos!$B$14-Supuestos!$B$13)*Cronograma!AL$7),MAX(AL22,AL25))</f>
        <v>19455052.51</v>
      </c>
      <c r="AM34" s="28">
        <f>MIN(AM16*(Supuestos!$B$13 + Supuestos!$B$41*(Supuestos!$B$14-Supuestos!$B$13)*Cronograma!AM$7),MAX(AM22,AM25))</f>
        <v>19479205.72</v>
      </c>
      <c r="AN34" s="28">
        <f>MIN(AN16*(Supuestos!$B$13 + Supuestos!$B$41*(Supuestos!$B$14-Supuestos!$B$13)*Cronograma!AN$7),MAX(AN22,AN25))</f>
        <v>19503388.91</v>
      </c>
      <c r="AO34" s="28">
        <f>MIN(AO16*(Supuestos!$B$13 + Supuestos!$B$41*(Supuestos!$B$14-Supuestos!$B$13)*Cronograma!AO$7),MAX(AO22,AO25))</f>
        <v>19527602.13</v>
      </c>
      <c r="AP34" s="28">
        <f>MIN(AP16*(Supuestos!$B$13 + Supuestos!$B$41*(Supuestos!$B$14-Supuestos!$B$13)*Cronograma!AP$7),MAX(AP22,AP25))</f>
        <v>19551845.41</v>
      </c>
      <c r="AQ34" s="28">
        <f>MIN(AQ16*(Supuestos!$B$13 + Supuestos!$B$41*(Supuestos!$B$14-Supuestos!$B$13)*Cronograma!AQ$7),MAX(AQ22,AQ25))</f>
        <v>19576118.79</v>
      </c>
      <c r="AR34" s="28">
        <f>MIN(AR16*(Supuestos!$B$13 + Supuestos!$B$41*(Supuestos!$B$14-Supuestos!$B$13)*Cronograma!AR$7),MAX(AR22,AR25))</f>
        <v>19600422.3</v>
      </c>
      <c r="AS34" s="28">
        <f>MIN(AS16*(Supuestos!$B$13 + Supuestos!$B$41*(Supuestos!$B$14-Supuestos!$B$13)*Cronograma!AS$7),MAX(AS22,AS25))</f>
        <v>19624755.98</v>
      </c>
      <c r="AT34" s="28">
        <f>MIN(AT16*(Supuestos!$B$13 + Supuestos!$B$41*(Supuestos!$B$14-Supuestos!$B$13)*Cronograma!AT$7),MAX(AT22,AT25))</f>
        <v>19649119.87</v>
      </c>
      <c r="AU34" s="28">
        <f>MIN(AU16*(Supuestos!$B$13 + Supuestos!$B$41*(Supuestos!$B$14-Supuestos!$B$13)*Cronograma!AU$7),MAX(AU22,AU25))</f>
        <v>19673514.02</v>
      </c>
      <c r="AV34" s="28">
        <f>MIN(AV16*(Supuestos!$B$13 + Supuestos!$B$41*(Supuestos!$B$14-Supuestos!$B$13)*Cronograma!AV$7),MAX(AV22,AV25))</f>
        <v>19697938.44</v>
      </c>
      <c r="AW34" s="28">
        <f>MIN(AW16*(Supuestos!$B$13 + Supuestos!$B$41*(Supuestos!$B$14-Supuestos!$B$13)*Cronograma!AW$7),MAX(AW22,AW25))</f>
        <v>19722393.19</v>
      </c>
      <c r="AX34" s="28">
        <f>MIN(AX16*(Supuestos!$B$13 + Supuestos!$B$41*(Supuestos!$B$14-Supuestos!$B$13)*Cronograma!AX$7),MAX(AX22,AX25))</f>
        <v>19746878.3</v>
      </c>
      <c r="AY34" s="28">
        <f>MIN(AY16*(Supuestos!$B$13 + Supuestos!$B$41*(Supuestos!$B$14-Supuestos!$B$13)*Cronograma!AY$7),MAX(AY22,AY25))</f>
        <v>19771393.81</v>
      </c>
      <c r="AZ34" s="28">
        <f>MIN(AZ16*(Supuestos!$B$13 + Supuestos!$B$41*(Supuestos!$B$14-Supuestos!$B$13)*Cronograma!AZ$7),MAX(AZ22,AZ25))</f>
        <v>19795939.75</v>
      </c>
      <c r="BA34" s="28">
        <f>MIN(BA16*(Supuestos!$B$13 + Supuestos!$B$41*(Supuestos!$B$14-Supuestos!$B$13)*Cronograma!BA$7),MAX(BA22,BA25))</f>
        <v>19820516.16</v>
      </c>
      <c r="BB34" s="28">
        <f>MIN(BB16*(Supuestos!$B$13 + Supuestos!$B$41*(Supuestos!$B$14-Supuestos!$B$13)*Cronograma!BB$7),MAX(BB22,BB25))</f>
        <v>19845123.09</v>
      </c>
      <c r="BC34" s="28">
        <f>MIN(BC16*(Supuestos!$B$13 + Supuestos!$B$41*(Supuestos!$B$14-Supuestos!$B$13)*Cronograma!BC$7),MAX(BC22,BC25))</f>
        <v>19869760.57</v>
      </c>
      <c r="BD34" s="28">
        <f>MIN(BD16*(Supuestos!$B$13 + Supuestos!$B$41*(Supuestos!$B$14-Supuestos!$B$13)*Cronograma!BD$7),MAX(BD22,BD25))</f>
        <v>19894428.63</v>
      </c>
      <c r="BE34" s="28">
        <f>MIN(BE16*(Supuestos!$B$13 + Supuestos!$B$41*(Supuestos!$B$14-Supuestos!$B$13)*Cronograma!BE$7),MAX(BE22,BE25))</f>
        <v>19919127.32</v>
      </c>
      <c r="BF34" s="28">
        <f>MIN(BF16*(Supuestos!$B$13 + Supuestos!$B$41*(Supuestos!$B$14-Supuestos!$B$13)*Cronograma!BF$7),MAX(BF22,BF25))</f>
        <v>19943856.67</v>
      </c>
      <c r="BG34" s="28">
        <f>MIN(BG16*(Supuestos!$B$13 + Supuestos!$B$41*(Supuestos!$B$14-Supuestos!$B$13)*Cronograma!BG$7),MAX(BG22,BG25))</f>
        <v>19968616.73</v>
      </c>
      <c r="BH34" s="28">
        <f>MIN(BH16*(Supuestos!$B$13 + Supuestos!$B$41*(Supuestos!$B$14-Supuestos!$B$13)*Cronograma!BH$7),MAX(BH22,BH25))</f>
        <v>19993407.52</v>
      </c>
      <c r="BI34" s="28">
        <f>MIN(BI16*(Supuestos!$B$13 + Supuestos!$B$41*(Supuestos!$B$14-Supuestos!$B$13)*Cronograma!BI$7),MAX(BI22,BI25))</f>
        <v>20018229.09</v>
      </c>
      <c r="BJ34" s="28">
        <f>MIN(BJ16*(Supuestos!$B$13 + Supuestos!$B$41*(Supuestos!$B$14-Supuestos!$B$13)*Cronograma!BJ$7),MAX(BJ22,BJ25))</f>
        <v>20043081.47</v>
      </c>
    </row>
    <row r="35" ht="15.75" customHeight="1">
      <c r="A35" s="22" t="s">
        <v>216</v>
      </c>
      <c r="B35" s="22" t="s">
        <v>217</v>
      </c>
      <c r="C35" s="28">
        <f>MIN(C17*(Supuestos!$B$13 + Supuestos!$B$41*(Supuestos!$B$14-Supuestos!$B$13)*Cronograma!C$7),MAX(C23,C26))</f>
        <v>2782500</v>
      </c>
      <c r="D35" s="28">
        <f>MIN(D17*(Supuestos!$B$13 + Supuestos!$B$41*(Supuestos!$B$14-Supuestos!$B$13)*Cronograma!D$7),MAX(D23,D26))</f>
        <v>2785954.44</v>
      </c>
      <c r="E35" s="28">
        <f>MIN(E17*(Supuestos!$B$13 + Supuestos!$B$41*(Supuestos!$B$14-Supuestos!$B$13)*Cronograma!E$7),MAX(E23,E26))</f>
        <v>2832649.072</v>
      </c>
      <c r="F35" s="28">
        <f>MIN(F17*(Supuestos!$B$13 + Supuestos!$B$41*(Supuestos!$B$14-Supuestos!$B$13)*Cronograma!F$7),MAX(F23,F26))</f>
        <v>2862139.519</v>
      </c>
      <c r="G35" s="28">
        <f>MIN(G17*(Supuestos!$B$13 + Supuestos!$B$41*(Supuestos!$B$14-Supuestos!$B$13)*Cronograma!G$7),MAX(G23,G26))</f>
        <v>2883030.16</v>
      </c>
      <c r="H35" s="28">
        <f>MIN(H17*(Supuestos!$B$13 + Supuestos!$B$41*(Supuestos!$B$14-Supuestos!$B$13)*Cronograma!H$7),MAX(H23,H26))</f>
        <v>2886609.407</v>
      </c>
      <c r="I35" s="28">
        <f>MIN(I17*(Supuestos!$B$13 + Supuestos!$B$41*(Supuestos!$B$14-Supuestos!$B$13)*Cronograma!I$7),MAX(I23,I26))</f>
        <v>2890193.097</v>
      </c>
      <c r="J35" s="28">
        <f>MIN(J17*(Supuestos!$B$13 + Supuestos!$B$41*(Supuestos!$B$14-Supuestos!$B$13)*Cronograma!J$7),MAX(J23,J26))</f>
        <v>2893781.236</v>
      </c>
      <c r="K35" s="28">
        <f>MIN(K17*(Supuestos!$B$13 + Supuestos!$B$41*(Supuestos!$B$14-Supuestos!$B$13)*Cronograma!K$7),MAX(K23,K26))</f>
        <v>2897373.83</v>
      </c>
      <c r="L35" s="28">
        <f>MIN(L17*(Supuestos!$B$13 + Supuestos!$B$41*(Supuestos!$B$14-Supuestos!$B$13)*Cronograma!L$7),MAX(L23,L26))</f>
        <v>2900970.884</v>
      </c>
      <c r="M35" s="28">
        <f>MIN(M17*(Supuestos!$B$13 + Supuestos!$B$41*(Supuestos!$B$14-Supuestos!$B$13)*Cronograma!M$7),MAX(M23,M26))</f>
        <v>2904572.404</v>
      </c>
      <c r="N35" s="28">
        <f>MIN(N17*(Supuestos!$B$13 + Supuestos!$B$41*(Supuestos!$B$14-Supuestos!$B$13)*Cronograma!N$7),MAX(N23,N26))</f>
        <v>2908178.395</v>
      </c>
      <c r="O35" s="28">
        <f>MIN(O17*(Supuestos!$B$13 + Supuestos!$B$41*(Supuestos!$B$14-Supuestos!$B$13)*Cronograma!O$7),MAX(O23,O26))</f>
        <v>2911788.863</v>
      </c>
      <c r="P35" s="28">
        <f>MIN(P17*(Supuestos!$B$13 + Supuestos!$B$41*(Supuestos!$B$14-Supuestos!$B$13)*Cronograma!P$7),MAX(P23,P26))</f>
        <v>2915403.813</v>
      </c>
      <c r="Q35" s="28">
        <f>MIN(Q17*(Supuestos!$B$13 + Supuestos!$B$41*(Supuestos!$B$14-Supuestos!$B$13)*Cronograma!Q$7),MAX(Q23,Q26))</f>
        <v>2919023.251</v>
      </c>
      <c r="R35" s="28">
        <f>MIN(R17*(Supuestos!$B$13 + Supuestos!$B$41*(Supuestos!$B$14-Supuestos!$B$13)*Cronograma!R$7),MAX(R23,R26))</f>
        <v>2922647.182</v>
      </c>
      <c r="S35" s="28">
        <f>MIN(S17*(Supuestos!$B$13 + Supuestos!$B$41*(Supuestos!$B$14-Supuestos!$B$13)*Cronograma!S$7),MAX(S23,S26))</f>
        <v>2926275.613</v>
      </c>
      <c r="T35" s="28">
        <f>MIN(T17*(Supuestos!$B$13 + Supuestos!$B$41*(Supuestos!$B$14-Supuestos!$B$13)*Cronograma!T$7),MAX(T23,T26))</f>
        <v>2929908.548</v>
      </c>
      <c r="U35" s="28">
        <f>MIN(U17*(Supuestos!$B$13 + Supuestos!$B$41*(Supuestos!$B$14-Supuestos!$B$13)*Cronograma!U$7),MAX(U23,U26))</f>
        <v>2933545.993</v>
      </c>
      <c r="V35" s="28">
        <f>MIN(V17*(Supuestos!$B$13 + Supuestos!$B$41*(Supuestos!$B$14-Supuestos!$B$13)*Cronograma!V$7),MAX(V23,V26))</f>
        <v>2937187.955</v>
      </c>
      <c r="W35" s="28">
        <f>MIN(W17*(Supuestos!$B$13 + Supuestos!$B$41*(Supuestos!$B$14-Supuestos!$B$13)*Cronograma!W$7),MAX(W23,W26))</f>
        <v>2940834.437</v>
      </c>
      <c r="X35" s="28">
        <f>MIN(X17*(Supuestos!$B$13 + Supuestos!$B$41*(Supuestos!$B$14-Supuestos!$B$13)*Cronograma!X$7),MAX(X23,X26))</f>
        <v>2944485.447</v>
      </c>
      <c r="Y35" s="28">
        <f>MIN(Y17*(Supuestos!$B$13 + Supuestos!$B$41*(Supuestos!$B$14-Supuestos!$B$13)*Cronograma!Y$7),MAX(Y23,Y26))</f>
        <v>2948140.99</v>
      </c>
      <c r="Z35" s="28">
        <f>MIN(Z17*(Supuestos!$B$13 + Supuestos!$B$41*(Supuestos!$B$14-Supuestos!$B$13)*Cronograma!Z$7),MAX(Z23,Z26))</f>
        <v>2951801.071</v>
      </c>
      <c r="AA35" s="28">
        <f>MIN(AA17*(Supuestos!$B$13 + Supuestos!$B$41*(Supuestos!$B$14-Supuestos!$B$13)*Cronograma!AA$7),MAX(AA23,AA26))</f>
        <v>2955465.695</v>
      </c>
      <c r="AB35" s="28">
        <f>MIN(AB17*(Supuestos!$B$13 + Supuestos!$B$41*(Supuestos!$B$14-Supuestos!$B$13)*Cronograma!AB$7),MAX(AB23,AB26))</f>
        <v>2959134.87</v>
      </c>
      <c r="AC35" s="28">
        <f>MIN(AC17*(Supuestos!$B$13 + Supuestos!$B$41*(Supuestos!$B$14-Supuestos!$B$13)*Cronograma!AC$7),MAX(AC23,AC26))</f>
        <v>2962808.599</v>
      </c>
      <c r="AD35" s="28">
        <f>MIN(AD17*(Supuestos!$B$13 + Supuestos!$B$41*(Supuestos!$B$14-Supuestos!$B$13)*Cronograma!AD$7),MAX(AD23,AD26))</f>
        <v>2966486.89</v>
      </c>
      <c r="AE35" s="28">
        <f>MIN(AE17*(Supuestos!$B$13 + Supuestos!$B$41*(Supuestos!$B$14-Supuestos!$B$13)*Cronograma!AE$7),MAX(AE23,AE26))</f>
        <v>2970169.747</v>
      </c>
      <c r="AF35" s="28">
        <f>MIN(AF17*(Supuestos!$B$13 + Supuestos!$B$41*(Supuestos!$B$14-Supuestos!$B$13)*Cronograma!AF$7),MAX(AF23,AF26))</f>
        <v>2973857.176</v>
      </c>
      <c r="AG35" s="28">
        <f>MIN(AG17*(Supuestos!$B$13 + Supuestos!$B$41*(Supuestos!$B$14-Supuestos!$B$13)*Cronograma!AG$7),MAX(AG23,AG26))</f>
        <v>2977549.183</v>
      </c>
      <c r="AH35" s="28">
        <f>MIN(AH17*(Supuestos!$B$13 + Supuestos!$B$41*(Supuestos!$B$14-Supuestos!$B$13)*Cronograma!AH$7),MAX(AH23,AH26))</f>
        <v>2981245.774</v>
      </c>
      <c r="AI35" s="28">
        <f>MIN(AI17*(Supuestos!$B$13 + Supuestos!$B$41*(Supuestos!$B$14-Supuestos!$B$13)*Cronograma!AI$7),MAX(AI23,AI26))</f>
        <v>2984946.954</v>
      </c>
      <c r="AJ35" s="28">
        <f>MIN(AJ17*(Supuestos!$B$13 + Supuestos!$B$41*(Supuestos!$B$14-Supuestos!$B$13)*Cronograma!AJ$7),MAX(AJ23,AJ26))</f>
        <v>2988652.729</v>
      </c>
      <c r="AK35" s="28">
        <f>MIN(AK17*(Supuestos!$B$13 + Supuestos!$B$41*(Supuestos!$B$14-Supuestos!$B$13)*Cronograma!AK$7),MAX(AK23,AK26))</f>
        <v>2992363.105</v>
      </c>
      <c r="AL35" s="28">
        <f>MIN(AL17*(Supuestos!$B$13 + Supuestos!$B$41*(Supuestos!$B$14-Supuestos!$B$13)*Cronograma!AL$7),MAX(AL23,AL26))</f>
        <v>2996078.087</v>
      </c>
      <c r="AM35" s="28">
        <f>MIN(AM17*(Supuestos!$B$13 + Supuestos!$B$41*(Supuestos!$B$14-Supuestos!$B$13)*Cronograma!AM$7),MAX(AM23,AM26))</f>
        <v>2999797.681</v>
      </c>
      <c r="AN35" s="28">
        <f>MIN(AN17*(Supuestos!$B$13 + Supuestos!$B$41*(Supuestos!$B$14-Supuestos!$B$13)*Cronograma!AN$7),MAX(AN23,AN26))</f>
        <v>3003521.893</v>
      </c>
      <c r="AO35" s="28">
        <f>MIN(AO17*(Supuestos!$B$13 + Supuestos!$B$41*(Supuestos!$B$14-Supuestos!$B$13)*Cronograma!AO$7),MAX(AO23,AO26))</f>
        <v>3007250.728</v>
      </c>
      <c r="AP35" s="28">
        <f>MIN(AP17*(Supuestos!$B$13 + Supuestos!$B$41*(Supuestos!$B$14-Supuestos!$B$13)*Cronograma!AP$7),MAX(AP23,AP26))</f>
        <v>3010984.193</v>
      </c>
      <c r="AQ35" s="28">
        <f>MIN(AQ17*(Supuestos!$B$13 + Supuestos!$B$41*(Supuestos!$B$14-Supuestos!$B$13)*Cronograma!AQ$7),MAX(AQ23,AQ26))</f>
        <v>3014722.293</v>
      </c>
      <c r="AR35" s="28">
        <f>MIN(AR17*(Supuestos!$B$13 + Supuestos!$B$41*(Supuestos!$B$14-Supuestos!$B$13)*Cronograma!AR$7),MAX(AR23,AR26))</f>
        <v>3018465.034</v>
      </c>
      <c r="AS35" s="28">
        <f>MIN(AS17*(Supuestos!$B$13 + Supuestos!$B$41*(Supuestos!$B$14-Supuestos!$B$13)*Cronograma!AS$7),MAX(AS23,AS26))</f>
        <v>3022212.421</v>
      </c>
      <c r="AT35" s="28">
        <f>MIN(AT17*(Supuestos!$B$13 + Supuestos!$B$41*(Supuestos!$B$14-Supuestos!$B$13)*Cronograma!AT$7),MAX(AT23,AT26))</f>
        <v>3025964.461</v>
      </c>
      <c r="AU35" s="28">
        <f>MIN(AU17*(Supuestos!$B$13 + Supuestos!$B$41*(Supuestos!$B$14-Supuestos!$B$13)*Cronograma!AU$7),MAX(AU23,AU26))</f>
        <v>3029721.158</v>
      </c>
      <c r="AV35" s="28">
        <f>MIN(AV17*(Supuestos!$B$13 + Supuestos!$B$41*(Supuestos!$B$14-Supuestos!$B$13)*Cronograma!AV$7),MAX(AV23,AV26))</f>
        <v>3033482.52</v>
      </c>
      <c r="AW35" s="28">
        <f>MIN(AW17*(Supuestos!$B$13 + Supuestos!$B$41*(Supuestos!$B$14-Supuestos!$B$13)*Cronograma!AW$7),MAX(AW23,AW26))</f>
        <v>3037248.551</v>
      </c>
      <c r="AX35" s="28">
        <f>MIN(AX17*(Supuestos!$B$13 + Supuestos!$B$41*(Supuestos!$B$14-Supuestos!$B$13)*Cronograma!AX$7),MAX(AX23,AX26))</f>
        <v>3041019.258</v>
      </c>
      <c r="AY35" s="28">
        <f>MIN(AY17*(Supuestos!$B$13 + Supuestos!$B$41*(Supuestos!$B$14-Supuestos!$B$13)*Cronograma!AY$7),MAX(AY23,AY26))</f>
        <v>3044794.646</v>
      </c>
      <c r="AZ35" s="28">
        <f>MIN(AZ17*(Supuestos!$B$13 + Supuestos!$B$41*(Supuestos!$B$14-Supuestos!$B$13)*Cronograma!AZ$7),MAX(AZ23,AZ26))</f>
        <v>3048574.721</v>
      </c>
      <c r="BA35" s="28">
        <f>MIN(BA17*(Supuestos!$B$13 + Supuestos!$B$41*(Supuestos!$B$14-Supuestos!$B$13)*Cronograma!BA$7),MAX(BA23,BA26))</f>
        <v>3052359.489</v>
      </c>
      <c r="BB35" s="28">
        <f>MIN(BB17*(Supuestos!$B$13 + Supuestos!$B$41*(Supuestos!$B$14-Supuestos!$B$13)*Cronograma!BB$7),MAX(BB23,BB26))</f>
        <v>3056148.956</v>
      </c>
      <c r="BC35" s="28">
        <f>MIN(BC17*(Supuestos!$B$13 + Supuestos!$B$41*(Supuestos!$B$14-Supuestos!$B$13)*Cronograma!BC$7),MAX(BC23,BC26))</f>
        <v>3059943.128</v>
      </c>
      <c r="BD35" s="28">
        <f>MIN(BD17*(Supuestos!$B$13 + Supuestos!$B$41*(Supuestos!$B$14-Supuestos!$B$13)*Cronograma!BD$7),MAX(BD23,BD26))</f>
        <v>3063742.009</v>
      </c>
      <c r="BE35" s="28">
        <f>MIN(BE17*(Supuestos!$B$13 + Supuestos!$B$41*(Supuestos!$B$14-Supuestos!$B$13)*Cronograma!BE$7),MAX(BE23,BE26))</f>
        <v>3067545.607</v>
      </c>
      <c r="BF35" s="28">
        <f>MIN(BF17*(Supuestos!$B$13 + Supuestos!$B$41*(Supuestos!$B$14-Supuestos!$B$13)*Cronograma!BF$7),MAX(BF23,BF26))</f>
        <v>3071353.928</v>
      </c>
      <c r="BG35" s="28">
        <f>MIN(BG17*(Supuestos!$B$13 + Supuestos!$B$41*(Supuestos!$B$14-Supuestos!$B$13)*Cronograma!BG$7),MAX(BG23,BG26))</f>
        <v>3075166.976</v>
      </c>
      <c r="BH35" s="28">
        <f>MIN(BH17*(Supuestos!$B$13 + Supuestos!$B$41*(Supuestos!$B$14-Supuestos!$B$13)*Cronograma!BH$7),MAX(BH23,BH26))</f>
        <v>3078984.758</v>
      </c>
      <c r="BI35" s="28">
        <f>MIN(BI17*(Supuestos!$B$13 + Supuestos!$B$41*(Supuestos!$B$14-Supuestos!$B$13)*Cronograma!BI$7),MAX(BI23,BI26))</f>
        <v>3082807.28</v>
      </c>
      <c r="BJ35" s="28">
        <f>MIN(BJ17*(Supuestos!$B$13 + Supuestos!$B$41*(Supuestos!$B$14-Supuestos!$B$13)*Cronograma!BJ$7),MAX(BJ23,BJ26))</f>
        <v>3086634.547</v>
      </c>
    </row>
    <row r="36" ht="15.75" customHeight="1">
      <c r="A36" s="22" t="s">
        <v>218</v>
      </c>
      <c r="B36" s="22" t="s">
        <v>219</v>
      </c>
      <c r="C36" s="28">
        <f>MIN(C18*(Supuestos!$B$13 + Supuestos!$B$41*(Supuestos!$B$14-Supuestos!$B$13)*Cronograma!C$7),MAX(C24,C27))</f>
        <v>71550</v>
      </c>
      <c r="D36" s="28">
        <f>MIN(D18*(Supuestos!$B$13 + Supuestos!$B$41*(Supuestos!$B$14-Supuestos!$B$13)*Cronograma!D$7),MAX(D24,D27))</f>
        <v>71638.82845</v>
      </c>
      <c r="E36" s="28">
        <f>MIN(E18*(Supuestos!$B$13 + Supuestos!$B$41*(Supuestos!$B$14-Supuestos!$B$13)*Cronograma!E$7),MAX(E24,E27))</f>
        <v>72839.54756</v>
      </c>
      <c r="F36" s="28">
        <f>MIN(F18*(Supuestos!$B$13 + Supuestos!$B$41*(Supuestos!$B$14-Supuestos!$B$13)*Cronograma!F$7),MAX(F24,F27))</f>
        <v>73597.87336</v>
      </c>
      <c r="G36" s="28">
        <f>MIN(G18*(Supuestos!$B$13 + Supuestos!$B$41*(Supuestos!$B$14-Supuestos!$B$13)*Cronograma!G$7),MAX(G24,G27))</f>
        <v>74135.06127</v>
      </c>
      <c r="H36" s="28">
        <f>MIN(H18*(Supuestos!$B$13 + Supuestos!$B$41*(Supuestos!$B$14-Supuestos!$B$13)*Cronograma!H$7),MAX(H24,H27))</f>
        <v>74227.09903</v>
      </c>
      <c r="I36" s="28">
        <f>MIN(I18*(Supuestos!$B$13 + Supuestos!$B$41*(Supuestos!$B$14-Supuestos!$B$13)*Cronograma!I$7),MAX(I24,I27))</f>
        <v>74319.25106</v>
      </c>
      <c r="J36" s="28">
        <f>MIN(J18*(Supuestos!$B$13 + Supuestos!$B$41*(Supuestos!$B$14-Supuestos!$B$13)*Cronograma!J$7),MAX(J24,J27))</f>
        <v>74411.5175</v>
      </c>
      <c r="K36" s="28">
        <f>MIN(K18*(Supuestos!$B$13 + Supuestos!$B$41*(Supuestos!$B$14-Supuestos!$B$13)*Cronograma!K$7),MAX(K24,K27))</f>
        <v>74503.89849</v>
      </c>
      <c r="L36" s="28">
        <f>MIN(L18*(Supuestos!$B$13 + Supuestos!$B$41*(Supuestos!$B$14-Supuestos!$B$13)*Cronograma!L$7),MAX(L24,L27))</f>
        <v>74596.39416</v>
      </c>
      <c r="M36" s="28">
        <f>MIN(M18*(Supuestos!$B$13 + Supuestos!$B$41*(Supuestos!$B$14-Supuestos!$B$13)*Cronograma!M$7),MAX(M24,M27))</f>
        <v>74689.00467</v>
      </c>
      <c r="N36" s="28">
        <f>MIN(N18*(Supuestos!$B$13 + Supuestos!$B$41*(Supuestos!$B$14-Supuestos!$B$13)*Cronograma!N$7),MAX(N24,N27))</f>
        <v>74781.73015</v>
      </c>
      <c r="O36" s="28">
        <f>MIN(O18*(Supuestos!$B$13 + Supuestos!$B$41*(Supuestos!$B$14-Supuestos!$B$13)*Cronograma!O$7),MAX(O24,O27))</f>
        <v>74874.57075</v>
      </c>
      <c r="P36" s="28">
        <f>MIN(P18*(Supuestos!$B$13 + Supuestos!$B$41*(Supuestos!$B$14-Supuestos!$B$13)*Cronograma!P$7),MAX(P24,P27))</f>
        <v>74967.52661</v>
      </c>
      <c r="Q36" s="28">
        <f>MIN(Q18*(Supuestos!$B$13 + Supuestos!$B$41*(Supuestos!$B$14-Supuestos!$B$13)*Cronograma!Q$7),MAX(Q24,Q27))</f>
        <v>75060.59787</v>
      </c>
      <c r="R36" s="28">
        <f>MIN(R18*(Supuestos!$B$13 + Supuestos!$B$41*(Supuestos!$B$14-Supuestos!$B$13)*Cronograma!R$7),MAX(R24,R27))</f>
        <v>75153.78468</v>
      </c>
      <c r="S36" s="28">
        <f>MIN(S18*(Supuestos!$B$13 + Supuestos!$B$41*(Supuestos!$B$14-Supuestos!$B$13)*Cronograma!S$7),MAX(S24,S27))</f>
        <v>75247.08718</v>
      </c>
      <c r="T36" s="28">
        <f>MIN(T18*(Supuestos!$B$13 + Supuestos!$B$41*(Supuestos!$B$14-Supuestos!$B$13)*Cronograma!T$7),MAX(T24,T27))</f>
        <v>75340.50552</v>
      </c>
      <c r="U36" s="28">
        <f>MIN(U18*(Supuestos!$B$13 + Supuestos!$B$41*(Supuestos!$B$14-Supuestos!$B$13)*Cronograma!U$7),MAX(U24,U27))</f>
        <v>75434.03983</v>
      </c>
      <c r="V36" s="28">
        <f>MIN(V18*(Supuestos!$B$13 + Supuestos!$B$41*(Supuestos!$B$14-Supuestos!$B$13)*Cronograma!V$7),MAX(V24,V27))</f>
        <v>75527.69026</v>
      </c>
      <c r="W36" s="28">
        <f>MIN(W18*(Supuestos!$B$13 + Supuestos!$B$41*(Supuestos!$B$14-Supuestos!$B$13)*Cronograma!W$7),MAX(W24,W27))</f>
        <v>75621.45696</v>
      </c>
      <c r="X36" s="28">
        <f>MIN(X18*(Supuestos!$B$13 + Supuestos!$B$41*(Supuestos!$B$14-Supuestos!$B$13)*Cronograma!X$7),MAX(X24,X27))</f>
        <v>75715.34007</v>
      </c>
      <c r="Y36" s="28">
        <f>MIN(Y18*(Supuestos!$B$13 + Supuestos!$B$41*(Supuestos!$B$14-Supuestos!$B$13)*Cronograma!Y$7),MAX(Y24,Y27))</f>
        <v>75809.33974</v>
      </c>
      <c r="Z36" s="28">
        <f>MIN(Z18*(Supuestos!$B$13 + Supuestos!$B$41*(Supuestos!$B$14-Supuestos!$B$13)*Cronograma!Z$7),MAX(Z24,Z27))</f>
        <v>75903.4561</v>
      </c>
      <c r="AA36" s="28">
        <f>MIN(AA18*(Supuestos!$B$13 + Supuestos!$B$41*(Supuestos!$B$14-Supuestos!$B$13)*Cronograma!AA$7),MAX(AA24,AA27))</f>
        <v>75997.68931</v>
      </c>
      <c r="AB36" s="28">
        <f>MIN(AB18*(Supuestos!$B$13 + Supuestos!$B$41*(Supuestos!$B$14-Supuestos!$B$13)*Cronograma!AB$7),MAX(AB24,AB27))</f>
        <v>76092.03951</v>
      </c>
      <c r="AC36" s="28">
        <f>MIN(AC18*(Supuestos!$B$13 + Supuestos!$B$41*(Supuestos!$B$14-Supuestos!$B$13)*Cronograma!AC$7),MAX(AC24,AC27))</f>
        <v>76186.50684</v>
      </c>
      <c r="AD36" s="28">
        <f>MIN(AD18*(Supuestos!$B$13 + Supuestos!$B$41*(Supuestos!$B$14-Supuestos!$B$13)*Cronograma!AD$7),MAX(AD24,AD27))</f>
        <v>76281.09145</v>
      </c>
      <c r="AE36" s="28">
        <f>MIN(AE18*(Supuestos!$B$13 + Supuestos!$B$41*(Supuestos!$B$14-Supuestos!$B$13)*Cronograma!AE$7),MAX(AE24,AE27))</f>
        <v>76375.79349</v>
      </c>
      <c r="AF36" s="28">
        <f>MIN(AF18*(Supuestos!$B$13 + Supuestos!$B$41*(Supuestos!$B$14-Supuestos!$B$13)*Cronograma!AF$7),MAX(AF24,AF27))</f>
        <v>76470.6131</v>
      </c>
      <c r="AG36" s="28">
        <f>MIN(AG18*(Supuestos!$B$13 + Supuestos!$B$41*(Supuestos!$B$14-Supuestos!$B$13)*Cronograma!AG$7),MAX(AG24,AG27))</f>
        <v>76565.55043</v>
      </c>
      <c r="AH36" s="28">
        <f>MIN(AH18*(Supuestos!$B$13 + Supuestos!$B$41*(Supuestos!$B$14-Supuestos!$B$13)*Cronograma!AH$7),MAX(AH24,AH27))</f>
        <v>76660.60562</v>
      </c>
      <c r="AI36" s="28">
        <f>MIN(AI18*(Supuestos!$B$13 + Supuestos!$B$41*(Supuestos!$B$14-Supuestos!$B$13)*Cronograma!AI$7),MAX(AI24,AI27))</f>
        <v>76755.77882</v>
      </c>
      <c r="AJ36" s="28">
        <f>MIN(AJ18*(Supuestos!$B$13 + Supuestos!$B$41*(Supuestos!$B$14-Supuestos!$B$13)*Cronograma!AJ$7),MAX(AJ24,AJ27))</f>
        <v>76851.07018</v>
      </c>
      <c r="AK36" s="28">
        <f>MIN(AK18*(Supuestos!$B$13 + Supuestos!$B$41*(Supuestos!$B$14-Supuestos!$B$13)*Cronograma!AK$7),MAX(AK24,AK27))</f>
        <v>76946.47983</v>
      </c>
      <c r="AL36" s="28">
        <f>MIN(AL18*(Supuestos!$B$13 + Supuestos!$B$41*(Supuestos!$B$14-Supuestos!$B$13)*Cronograma!AL$7),MAX(AL24,AL27))</f>
        <v>77042.00794</v>
      </c>
      <c r="AM36" s="28">
        <f>MIN(AM18*(Supuestos!$B$13 + Supuestos!$B$41*(Supuestos!$B$14-Supuestos!$B$13)*Cronograma!AM$7),MAX(AM24,AM27))</f>
        <v>77137.65465</v>
      </c>
      <c r="AN36" s="28">
        <f>MIN(AN18*(Supuestos!$B$13 + Supuestos!$B$41*(Supuestos!$B$14-Supuestos!$B$13)*Cronograma!AN$7),MAX(AN24,AN27))</f>
        <v>77233.4201</v>
      </c>
      <c r="AO36" s="28">
        <f>MIN(AO18*(Supuestos!$B$13 + Supuestos!$B$41*(Supuestos!$B$14-Supuestos!$B$13)*Cronograma!AO$7),MAX(AO24,AO27))</f>
        <v>77329.30444</v>
      </c>
      <c r="AP36" s="28">
        <f>MIN(AP18*(Supuestos!$B$13 + Supuestos!$B$41*(Supuestos!$B$14-Supuestos!$B$13)*Cronograma!AP$7),MAX(AP24,AP27))</f>
        <v>77425.30783</v>
      </c>
      <c r="AQ36" s="28">
        <f>MIN(AQ18*(Supuestos!$B$13 + Supuestos!$B$41*(Supuestos!$B$14-Supuestos!$B$13)*Cronograma!AQ$7),MAX(AQ24,AQ27))</f>
        <v>77521.43039</v>
      </c>
      <c r="AR36" s="28">
        <f>MIN(AR18*(Supuestos!$B$13 + Supuestos!$B$41*(Supuestos!$B$14-Supuestos!$B$13)*Cronograma!AR$7),MAX(AR24,AR27))</f>
        <v>77617.6723</v>
      </c>
      <c r="AS36" s="28">
        <f>MIN(AS18*(Supuestos!$B$13 + Supuestos!$B$41*(Supuestos!$B$14-Supuestos!$B$13)*Cronograma!AS$7),MAX(AS24,AS27))</f>
        <v>77714.03368</v>
      </c>
      <c r="AT36" s="28">
        <f>MIN(AT18*(Supuestos!$B$13 + Supuestos!$B$41*(Supuestos!$B$14-Supuestos!$B$13)*Cronograma!AT$7),MAX(AT24,AT27))</f>
        <v>77810.5147</v>
      </c>
      <c r="AU36" s="28">
        <f>MIN(AU18*(Supuestos!$B$13 + Supuestos!$B$41*(Supuestos!$B$14-Supuestos!$B$13)*Cronograma!AU$7),MAX(AU24,AU27))</f>
        <v>77907.1155</v>
      </c>
      <c r="AV36" s="28">
        <f>MIN(AV18*(Supuestos!$B$13 + Supuestos!$B$41*(Supuestos!$B$14-Supuestos!$B$13)*Cronograma!AV$7),MAX(AV24,AV27))</f>
        <v>78003.83623</v>
      </c>
      <c r="AW36" s="28">
        <f>MIN(AW18*(Supuestos!$B$13 + Supuestos!$B$41*(Supuestos!$B$14-Supuestos!$B$13)*Cronograma!AW$7),MAX(AW24,AW27))</f>
        <v>78100.67703</v>
      </c>
      <c r="AX36" s="28">
        <f>MIN(AX18*(Supuestos!$B$13 + Supuestos!$B$41*(Supuestos!$B$14-Supuestos!$B$13)*Cronograma!AX$7),MAX(AX24,AX27))</f>
        <v>78197.63806</v>
      </c>
      <c r="AY36" s="28">
        <f>MIN(AY18*(Supuestos!$B$13 + Supuestos!$B$41*(Supuestos!$B$14-Supuestos!$B$13)*Cronograma!AY$7),MAX(AY24,AY27))</f>
        <v>78294.71947</v>
      </c>
      <c r="AZ36" s="28">
        <f>MIN(AZ18*(Supuestos!$B$13 + Supuestos!$B$41*(Supuestos!$B$14-Supuestos!$B$13)*Cronograma!AZ$7),MAX(AZ24,AZ27))</f>
        <v>78391.9214</v>
      </c>
      <c r="BA36" s="28">
        <f>MIN(BA18*(Supuestos!$B$13 + Supuestos!$B$41*(Supuestos!$B$14-Supuestos!$B$13)*Cronograma!BA$7),MAX(BA24,BA27))</f>
        <v>78489.24401</v>
      </c>
      <c r="BB36" s="28">
        <f>MIN(BB18*(Supuestos!$B$13 + Supuestos!$B$41*(Supuestos!$B$14-Supuestos!$B$13)*Cronograma!BB$7),MAX(BB24,BB27))</f>
        <v>78586.68744</v>
      </c>
      <c r="BC36" s="28">
        <f>MIN(BC18*(Supuestos!$B$13 + Supuestos!$B$41*(Supuestos!$B$14-Supuestos!$B$13)*Cronograma!BC$7),MAX(BC24,BC27))</f>
        <v>78684.25185</v>
      </c>
      <c r="BD36" s="28">
        <f>MIN(BD18*(Supuestos!$B$13 + Supuestos!$B$41*(Supuestos!$B$14-Supuestos!$B$13)*Cronograma!BD$7),MAX(BD24,BD27))</f>
        <v>78781.93738</v>
      </c>
      <c r="BE36" s="28">
        <f>MIN(BE18*(Supuestos!$B$13 + Supuestos!$B$41*(Supuestos!$B$14-Supuestos!$B$13)*Cronograma!BE$7),MAX(BE24,BE27))</f>
        <v>78879.74419</v>
      </c>
      <c r="BF36" s="28">
        <f>MIN(BF18*(Supuestos!$B$13 + Supuestos!$B$41*(Supuestos!$B$14-Supuestos!$B$13)*Cronograma!BF$7),MAX(BF24,BF27))</f>
        <v>78977.67242</v>
      </c>
      <c r="BG36" s="28">
        <f>MIN(BG18*(Supuestos!$B$13 + Supuestos!$B$41*(Supuestos!$B$14-Supuestos!$B$13)*Cronograma!BG$7),MAX(BG24,BG27))</f>
        <v>79075.72223</v>
      </c>
      <c r="BH36" s="28">
        <f>MIN(BH18*(Supuestos!$B$13 + Supuestos!$B$41*(Supuestos!$B$14-Supuestos!$B$13)*Cronograma!BH$7),MAX(BH24,BH27))</f>
        <v>79173.89377</v>
      </c>
      <c r="BI36" s="28">
        <f>MIN(BI18*(Supuestos!$B$13 + Supuestos!$B$41*(Supuestos!$B$14-Supuestos!$B$13)*Cronograma!BI$7),MAX(BI24,BI27))</f>
        <v>79272.18719</v>
      </c>
      <c r="BJ36" s="28">
        <f>MIN(BJ18*(Supuestos!$B$13 + Supuestos!$B$41*(Supuestos!$B$14-Supuestos!$B$13)*Cronograma!BJ$7),MAX(BJ24,BJ27))</f>
        <v>79370.60263</v>
      </c>
    </row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">
    <mergeCell ref="A1:H1"/>
  </mergeCells>
  <printOptions/>
  <pageMargins bottom="0.75" footer="0.0" header="0.0" left="0.7" right="0.7" top="0.75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14.0"/>
    <col customWidth="1" min="2" max="2" width="12.0"/>
    <col customWidth="1" min="3" max="3" width="28.0"/>
    <col customWidth="1" min="4" max="4" width="22.0"/>
    <col customWidth="1" min="5" max="6" width="18.0"/>
    <col customWidth="1" min="7" max="7" width="8.0"/>
    <col customWidth="1" min="8" max="8" width="9.0"/>
    <col customWidth="1" min="9" max="9" width="14.0"/>
    <col customWidth="1" min="10" max="10" width="16.0"/>
    <col customWidth="1" min="11" max="11" width="10.0"/>
    <col customWidth="1" min="12" max="12" width="16.0"/>
    <col customWidth="1" min="13" max="13" width="36.0"/>
    <col customWidth="1" min="14" max="14" width="28.0"/>
    <col customWidth="1" min="15" max="26" width="8.63"/>
  </cols>
  <sheetData>
    <row r="1">
      <c r="A1" s="25" t="s">
        <v>220</v>
      </c>
    </row>
    <row r="3">
      <c r="A3" s="2" t="s">
        <v>221</v>
      </c>
      <c r="B3" s="2" t="s">
        <v>222</v>
      </c>
      <c r="C3" s="2" t="s">
        <v>223</v>
      </c>
      <c r="D3" s="2" t="s">
        <v>224</v>
      </c>
      <c r="E3" s="2" t="s">
        <v>225</v>
      </c>
      <c r="F3" s="2" t="s">
        <v>226</v>
      </c>
      <c r="G3" s="2" t="s">
        <v>227</v>
      </c>
      <c r="H3" s="2" t="s">
        <v>228</v>
      </c>
      <c r="I3" s="2" t="s">
        <v>229</v>
      </c>
      <c r="J3" s="2" t="s">
        <v>230</v>
      </c>
      <c r="K3" s="2" t="s">
        <v>231</v>
      </c>
      <c r="L3" s="2" t="s">
        <v>232</v>
      </c>
      <c r="M3" s="2" t="s">
        <v>233</v>
      </c>
      <c r="N3" s="2" t="s">
        <v>234</v>
      </c>
    </row>
    <row r="4">
      <c r="A4" s="3" t="s">
        <v>235</v>
      </c>
      <c r="B4" s="3" t="s">
        <v>236</v>
      </c>
      <c r="C4" s="3" t="s">
        <v>237</v>
      </c>
      <c r="D4" s="3" t="s">
        <v>238</v>
      </c>
      <c r="E4" s="3" t="s">
        <v>239</v>
      </c>
      <c r="F4" s="3" t="s">
        <v>240</v>
      </c>
      <c r="G4" s="10">
        <v>1.0</v>
      </c>
      <c r="H4" s="10" t="s">
        <v>241</v>
      </c>
      <c r="I4" s="9">
        <v>450000.0</v>
      </c>
      <c r="J4" s="31">
        <f>IF(H4="USD",G4*I4*Supuestos!$B$21,G4*I4)*Supuestos!$B$42</f>
        <v>1680525000</v>
      </c>
      <c r="K4" s="32">
        <v>10.0</v>
      </c>
      <c r="L4" s="3" t="s">
        <v>242</v>
      </c>
      <c r="M4" s="33" t="s">
        <v>243</v>
      </c>
      <c r="N4" s="3" t="s">
        <v>244</v>
      </c>
    </row>
    <row r="5">
      <c r="A5" s="3" t="s">
        <v>235</v>
      </c>
      <c r="B5" s="3" t="s">
        <v>236</v>
      </c>
      <c r="C5" s="3" t="s">
        <v>245</v>
      </c>
      <c r="D5" s="3" t="s">
        <v>246</v>
      </c>
      <c r="E5" s="3" t="s">
        <v>247</v>
      </c>
      <c r="F5" s="3" t="s">
        <v>248</v>
      </c>
      <c r="G5" s="10">
        <v>1.0</v>
      </c>
      <c r="H5" s="10" t="s">
        <v>241</v>
      </c>
      <c r="I5" s="9">
        <v>180000.0</v>
      </c>
      <c r="J5" s="31">
        <f>IF(H5="USD",G5*I5*Supuestos!$B$21,G5*I5)*Supuestos!$B$42</f>
        <v>672210000</v>
      </c>
      <c r="K5" s="32">
        <v>7.0</v>
      </c>
      <c r="L5" s="3" t="s">
        <v>249</v>
      </c>
      <c r="M5" s="33" t="s">
        <v>250</v>
      </c>
      <c r="N5" s="3" t="s">
        <v>244</v>
      </c>
    </row>
    <row r="6">
      <c r="A6" s="3" t="s">
        <v>235</v>
      </c>
      <c r="B6" s="3" t="s">
        <v>236</v>
      </c>
      <c r="C6" s="3" t="s">
        <v>251</v>
      </c>
      <c r="D6" s="3" t="s">
        <v>252</v>
      </c>
      <c r="E6" s="3" t="s">
        <v>253</v>
      </c>
      <c r="F6" s="3" t="s">
        <v>254</v>
      </c>
      <c r="G6" s="10">
        <v>1.0</v>
      </c>
      <c r="H6" s="10" t="s">
        <v>241</v>
      </c>
      <c r="I6" s="9">
        <v>650000.0</v>
      </c>
      <c r="J6" s="31">
        <f>IF(H6="USD",G6*I6*Supuestos!$B$21,G6*I6)*Supuestos!$B$42</f>
        <v>2427425000</v>
      </c>
      <c r="K6" s="32">
        <v>10.0</v>
      </c>
      <c r="L6" s="3" t="s">
        <v>242</v>
      </c>
      <c r="M6" s="33" t="s">
        <v>255</v>
      </c>
      <c r="N6" s="3" t="s">
        <v>244</v>
      </c>
    </row>
    <row r="7">
      <c r="A7" s="3" t="s">
        <v>235</v>
      </c>
      <c r="B7" s="3" t="s">
        <v>236</v>
      </c>
      <c r="C7" s="3" t="s">
        <v>256</v>
      </c>
      <c r="D7" s="3" t="s">
        <v>257</v>
      </c>
      <c r="E7" s="3" t="s">
        <v>258</v>
      </c>
      <c r="F7" s="3" t="s">
        <v>259</v>
      </c>
      <c r="G7" s="10">
        <v>1.0</v>
      </c>
      <c r="H7" s="10" t="s">
        <v>241</v>
      </c>
      <c r="I7" s="9">
        <v>120000.0</v>
      </c>
      <c r="J7" s="31">
        <f>IF(H7="USD",G7*I7*Supuestos!$B$21,G7*I7)*Supuestos!$B$42</f>
        <v>448140000</v>
      </c>
      <c r="K7" s="32">
        <v>7.0</v>
      </c>
      <c r="L7" s="3" t="s">
        <v>249</v>
      </c>
      <c r="M7" s="33" t="s">
        <v>260</v>
      </c>
      <c r="N7" s="3" t="s">
        <v>244</v>
      </c>
    </row>
    <row r="8">
      <c r="A8" s="3" t="s">
        <v>261</v>
      </c>
      <c r="B8" s="3" t="s">
        <v>236</v>
      </c>
      <c r="C8" s="3" t="s">
        <v>262</v>
      </c>
      <c r="D8" s="3" t="s">
        <v>263</v>
      </c>
      <c r="E8" s="3" t="s">
        <v>264</v>
      </c>
      <c r="F8" s="3" t="s">
        <v>265</v>
      </c>
      <c r="G8" s="10">
        <v>1.0</v>
      </c>
      <c r="H8" s="10" t="s">
        <v>241</v>
      </c>
      <c r="I8" s="9">
        <v>160000.0</v>
      </c>
      <c r="J8" s="31">
        <f>IF(H8="USD",G8*I8*Supuestos!$B$21,G8*I8)*Supuestos!$B$42</f>
        <v>597520000</v>
      </c>
      <c r="K8" s="32">
        <v>7.0</v>
      </c>
      <c r="L8" s="3" t="s">
        <v>249</v>
      </c>
      <c r="M8" s="33" t="s">
        <v>266</v>
      </c>
      <c r="N8" s="3" t="s">
        <v>244</v>
      </c>
    </row>
    <row r="9">
      <c r="A9" s="3" t="s">
        <v>261</v>
      </c>
      <c r="B9" s="3" t="s">
        <v>236</v>
      </c>
      <c r="C9" s="3" t="s">
        <v>267</v>
      </c>
      <c r="D9" s="3" t="s">
        <v>268</v>
      </c>
      <c r="E9" s="3" t="s">
        <v>269</v>
      </c>
      <c r="F9" s="3" t="s">
        <v>270</v>
      </c>
      <c r="G9" s="10">
        <v>1.0</v>
      </c>
      <c r="H9" s="10" t="s">
        <v>241</v>
      </c>
      <c r="I9" s="9">
        <v>220000.0</v>
      </c>
      <c r="J9" s="31">
        <f>IF(H9="USD",G9*I9*Supuestos!$B$21,G9*I9)*Supuestos!$B$42</f>
        <v>821590000</v>
      </c>
      <c r="K9" s="32">
        <v>10.0</v>
      </c>
      <c r="L9" s="3" t="s">
        <v>242</v>
      </c>
      <c r="M9" s="33" t="s">
        <v>271</v>
      </c>
      <c r="N9" s="3" t="s">
        <v>244</v>
      </c>
    </row>
    <row r="10">
      <c r="A10" s="3" t="s">
        <v>235</v>
      </c>
      <c r="B10" s="3" t="s">
        <v>272</v>
      </c>
      <c r="C10" s="3" t="s">
        <v>273</v>
      </c>
      <c r="D10" s="3" t="s">
        <v>274</v>
      </c>
      <c r="E10" s="3" t="s">
        <v>275</v>
      </c>
      <c r="F10" s="3" t="s">
        <v>276</v>
      </c>
      <c r="G10" s="10">
        <v>1.0</v>
      </c>
      <c r="H10" s="10" t="s">
        <v>241</v>
      </c>
      <c r="I10" s="9">
        <v>850000.0</v>
      </c>
      <c r="J10" s="31">
        <f>IF(H10="USD",G10*I10*Supuestos!$B$21,G10*I10)*Supuestos!$B$42</f>
        <v>3174325000</v>
      </c>
      <c r="K10" s="32">
        <v>10.0</v>
      </c>
      <c r="L10" s="3" t="s">
        <v>242</v>
      </c>
      <c r="M10" s="33" t="s">
        <v>277</v>
      </c>
      <c r="N10" s="3" t="s">
        <v>244</v>
      </c>
    </row>
    <row r="11">
      <c r="A11" s="3" t="s">
        <v>235</v>
      </c>
      <c r="B11" s="3" t="s">
        <v>272</v>
      </c>
      <c r="C11" s="3" t="s">
        <v>278</v>
      </c>
      <c r="D11" s="3" t="s">
        <v>279</v>
      </c>
      <c r="E11" s="3" t="s">
        <v>280</v>
      </c>
      <c r="F11" s="3" t="s">
        <v>248</v>
      </c>
      <c r="G11" s="10">
        <v>1.0</v>
      </c>
      <c r="H11" s="10" t="s">
        <v>241</v>
      </c>
      <c r="I11" s="9">
        <v>160000.0</v>
      </c>
      <c r="J11" s="31">
        <f>IF(H11="USD",G11*I11*Supuestos!$B$21,G11*I11)*Supuestos!$B$42</f>
        <v>597520000</v>
      </c>
      <c r="K11" s="32">
        <v>7.0</v>
      </c>
      <c r="L11" s="3" t="s">
        <v>249</v>
      </c>
      <c r="M11" s="33" t="s">
        <v>281</v>
      </c>
      <c r="N11" s="3" t="s">
        <v>244</v>
      </c>
    </row>
    <row r="12">
      <c r="A12" s="3" t="s">
        <v>235</v>
      </c>
      <c r="B12" s="3" t="s">
        <v>272</v>
      </c>
      <c r="C12" s="3" t="s">
        <v>282</v>
      </c>
      <c r="D12" s="3" t="s">
        <v>283</v>
      </c>
      <c r="E12" s="3" t="s">
        <v>269</v>
      </c>
      <c r="F12" s="3" t="s">
        <v>259</v>
      </c>
      <c r="G12" s="10">
        <v>1.0</v>
      </c>
      <c r="H12" s="10" t="s">
        <v>241</v>
      </c>
      <c r="I12" s="9">
        <v>140000.0</v>
      </c>
      <c r="J12" s="31">
        <f>IF(H12="USD",G12*I12*Supuestos!$B$21,G12*I12)*Supuestos!$B$42</f>
        <v>522830000</v>
      </c>
      <c r="K12" s="32">
        <v>7.0</v>
      </c>
      <c r="L12" s="3" t="s">
        <v>249</v>
      </c>
      <c r="M12" s="33" t="s">
        <v>284</v>
      </c>
      <c r="N12" s="3" t="s">
        <v>244</v>
      </c>
    </row>
    <row r="13">
      <c r="A13" s="3" t="s">
        <v>261</v>
      </c>
      <c r="B13" s="3" t="s">
        <v>272</v>
      </c>
      <c r="C13" s="3" t="s">
        <v>285</v>
      </c>
      <c r="D13" s="3" t="s">
        <v>286</v>
      </c>
      <c r="E13" s="3" t="s">
        <v>269</v>
      </c>
      <c r="F13" s="3" t="s">
        <v>259</v>
      </c>
      <c r="G13" s="10">
        <v>1.0</v>
      </c>
      <c r="H13" s="10" t="s">
        <v>241</v>
      </c>
      <c r="I13" s="9">
        <v>210000.0</v>
      </c>
      <c r="J13" s="31">
        <f>IF(H13="USD",G13*I13*Supuestos!$B$21,G13*I13)*Supuestos!$B$42</f>
        <v>784245000</v>
      </c>
      <c r="K13" s="32">
        <v>10.0</v>
      </c>
      <c r="L13" s="3" t="s">
        <v>242</v>
      </c>
      <c r="M13" s="33" t="s">
        <v>266</v>
      </c>
      <c r="N13" s="3" t="s">
        <v>244</v>
      </c>
    </row>
    <row r="14">
      <c r="A14" s="3" t="s">
        <v>235</v>
      </c>
      <c r="B14" s="3" t="s">
        <v>287</v>
      </c>
      <c r="C14" s="3" t="s">
        <v>288</v>
      </c>
      <c r="D14" s="3" t="s">
        <v>289</v>
      </c>
      <c r="E14" s="3" t="s">
        <v>290</v>
      </c>
      <c r="F14" s="3" t="s">
        <v>291</v>
      </c>
      <c r="G14" s="10">
        <v>1.0</v>
      </c>
      <c r="H14" s="10" t="s">
        <v>241</v>
      </c>
      <c r="I14" s="9">
        <v>230000.0</v>
      </c>
      <c r="J14" s="31">
        <f>IF(H14="USD",G14*I14*Supuestos!$B$21,G14*I14)*Supuestos!$B$42</f>
        <v>858935000</v>
      </c>
      <c r="K14" s="32">
        <v>10.0</v>
      </c>
      <c r="L14" s="3" t="s">
        <v>242</v>
      </c>
      <c r="M14" s="33" t="s">
        <v>292</v>
      </c>
      <c r="N14" s="3" t="s">
        <v>244</v>
      </c>
    </row>
    <row r="15">
      <c r="A15" s="3" t="s">
        <v>235</v>
      </c>
      <c r="B15" s="3" t="s">
        <v>287</v>
      </c>
      <c r="C15" s="3" t="s">
        <v>293</v>
      </c>
      <c r="D15" s="3" t="s">
        <v>294</v>
      </c>
      <c r="E15" s="3" t="s">
        <v>295</v>
      </c>
      <c r="F15" s="3" t="s">
        <v>265</v>
      </c>
      <c r="G15" s="10">
        <v>1.0</v>
      </c>
      <c r="H15" s="10" t="s">
        <v>241</v>
      </c>
      <c r="I15" s="9">
        <v>320000.0</v>
      </c>
      <c r="J15" s="31">
        <f>IF(H15="USD",G15*I15*Supuestos!$B$21,G15*I15)*Supuestos!$B$42</f>
        <v>1195040000</v>
      </c>
      <c r="K15" s="32">
        <v>10.0</v>
      </c>
      <c r="L15" s="3" t="s">
        <v>242</v>
      </c>
      <c r="M15" s="33" t="s">
        <v>296</v>
      </c>
      <c r="N15" s="3" t="s">
        <v>244</v>
      </c>
    </row>
    <row r="16">
      <c r="A16" s="3" t="s">
        <v>235</v>
      </c>
      <c r="B16" s="3" t="s">
        <v>287</v>
      </c>
      <c r="C16" s="3" t="s">
        <v>297</v>
      </c>
      <c r="D16" s="3" t="s">
        <v>298</v>
      </c>
      <c r="E16" s="3" t="s">
        <v>291</v>
      </c>
      <c r="F16" s="3" t="s">
        <v>265</v>
      </c>
      <c r="G16" s="10">
        <v>1.0</v>
      </c>
      <c r="H16" s="10" t="s">
        <v>241</v>
      </c>
      <c r="I16" s="9">
        <v>240000.0</v>
      </c>
      <c r="J16" s="31">
        <f>IF(H16="USD",G16*I16*Supuestos!$B$21,G16*I16)*Supuestos!$B$42</f>
        <v>896280000</v>
      </c>
      <c r="K16" s="32">
        <v>10.0</v>
      </c>
      <c r="L16" s="3" t="s">
        <v>242</v>
      </c>
      <c r="M16" s="33" t="s">
        <v>299</v>
      </c>
      <c r="N16" s="3" t="s">
        <v>244</v>
      </c>
    </row>
    <row r="17">
      <c r="A17" s="3" t="s">
        <v>261</v>
      </c>
      <c r="B17" s="3" t="s">
        <v>287</v>
      </c>
      <c r="C17" s="3" t="s">
        <v>300</v>
      </c>
      <c r="D17" s="3" t="s">
        <v>301</v>
      </c>
      <c r="E17" s="3" t="s">
        <v>302</v>
      </c>
      <c r="F17" s="3" t="s">
        <v>265</v>
      </c>
      <c r="G17" s="10">
        <v>1.0</v>
      </c>
      <c r="H17" s="10" t="s">
        <v>241</v>
      </c>
      <c r="I17" s="9">
        <v>110000.0</v>
      </c>
      <c r="J17" s="31">
        <f>IF(H17="USD",G17*I17*Supuestos!$B$21,G17*I17)*Supuestos!$B$42</f>
        <v>410795000</v>
      </c>
      <c r="K17" s="32">
        <v>7.0</v>
      </c>
      <c r="L17" s="3" t="s">
        <v>249</v>
      </c>
      <c r="M17" s="33" t="s">
        <v>303</v>
      </c>
      <c r="N17" s="3" t="s">
        <v>244</v>
      </c>
    </row>
    <row r="18">
      <c r="A18" s="3" t="s">
        <v>249</v>
      </c>
      <c r="B18" s="3" t="s">
        <v>304</v>
      </c>
      <c r="C18" s="3" t="s">
        <v>305</v>
      </c>
      <c r="D18" s="3" t="s">
        <v>306</v>
      </c>
      <c r="E18" s="3" t="s">
        <v>307</v>
      </c>
      <c r="F18" s="3" t="s">
        <v>308</v>
      </c>
      <c r="G18" s="10">
        <v>3.0</v>
      </c>
      <c r="H18" s="10" t="s">
        <v>241</v>
      </c>
      <c r="I18" s="9">
        <v>106667.0</v>
      </c>
      <c r="J18" s="31">
        <f>IF(H18="USD",G18*I18*Supuestos!$B$21,G18*I18)*Supuestos!$B$42</f>
        <v>1195043735</v>
      </c>
      <c r="K18" s="32">
        <v>7.0</v>
      </c>
      <c r="L18" s="3" t="s">
        <v>249</v>
      </c>
      <c r="M18" s="33" t="s">
        <v>309</v>
      </c>
      <c r="N18" s="3" t="s">
        <v>244</v>
      </c>
    </row>
    <row r="19">
      <c r="A19" s="3" t="s">
        <v>249</v>
      </c>
      <c r="B19" s="3" t="s">
        <v>304</v>
      </c>
      <c r="C19" s="3" t="s">
        <v>310</v>
      </c>
      <c r="D19" s="3" t="s">
        <v>311</v>
      </c>
      <c r="E19" s="3" t="s">
        <v>312</v>
      </c>
      <c r="F19" s="3" t="s">
        <v>313</v>
      </c>
      <c r="G19" s="10">
        <v>6.0</v>
      </c>
      <c r="H19" s="10" t="s">
        <v>241</v>
      </c>
      <c r="I19" s="9">
        <v>10000.0</v>
      </c>
      <c r="J19" s="31">
        <f>IF(H19="USD",G19*I19*Supuestos!$B$21,G19*I19)*Supuestos!$B$42</f>
        <v>224070000</v>
      </c>
      <c r="K19" s="32">
        <v>5.0</v>
      </c>
      <c r="L19" s="3" t="s">
        <v>249</v>
      </c>
      <c r="M19" s="33" t="s">
        <v>314</v>
      </c>
      <c r="N19" s="3" t="s">
        <v>244</v>
      </c>
    </row>
    <row r="20">
      <c r="A20" s="3" t="s">
        <v>249</v>
      </c>
      <c r="B20" s="3" t="s">
        <v>304</v>
      </c>
      <c r="C20" s="3" t="s">
        <v>315</v>
      </c>
      <c r="D20" s="3" t="s">
        <v>316</v>
      </c>
      <c r="E20" s="3" t="s">
        <v>317</v>
      </c>
      <c r="F20" s="3" t="s">
        <v>318</v>
      </c>
      <c r="G20" s="10">
        <v>1.0</v>
      </c>
      <c r="H20" s="10" t="s">
        <v>241</v>
      </c>
      <c r="I20" s="9">
        <v>95000.0</v>
      </c>
      <c r="J20" s="31">
        <f>IF(H20="USD",G20*I20*Supuestos!$B$21,G20*I20)*Supuestos!$B$42</f>
        <v>354777500</v>
      </c>
      <c r="K20" s="32">
        <v>5.0</v>
      </c>
      <c r="L20" s="3" t="s">
        <v>249</v>
      </c>
      <c r="M20" s="33" t="s">
        <v>319</v>
      </c>
      <c r="N20" s="3" t="s">
        <v>244</v>
      </c>
    </row>
    <row r="21" ht="15.75" customHeight="1">
      <c r="A21" s="3" t="s">
        <v>249</v>
      </c>
      <c r="B21" s="3" t="s">
        <v>304</v>
      </c>
      <c r="C21" s="3" t="s">
        <v>320</v>
      </c>
      <c r="D21" s="3" t="s">
        <v>321</v>
      </c>
      <c r="E21" s="3" t="s">
        <v>322</v>
      </c>
      <c r="F21" s="3" t="s">
        <v>323</v>
      </c>
      <c r="G21" s="10">
        <v>1.0</v>
      </c>
      <c r="H21" s="10" t="s">
        <v>241</v>
      </c>
      <c r="I21" s="9">
        <v>55000.0</v>
      </c>
      <c r="J21" s="31">
        <f>IF(H21="USD",G21*I21*Supuestos!$B$21,G21*I21)*Supuestos!$B$42</f>
        <v>205397500</v>
      </c>
      <c r="K21" s="32">
        <v>5.0</v>
      </c>
      <c r="L21" s="3" t="s">
        <v>249</v>
      </c>
      <c r="M21" s="33" t="s">
        <v>324</v>
      </c>
      <c r="N21" s="3" t="s">
        <v>244</v>
      </c>
    </row>
    <row r="22" ht="15.75" customHeight="1">
      <c r="A22" s="3" t="s">
        <v>249</v>
      </c>
      <c r="B22" s="3" t="s">
        <v>304</v>
      </c>
      <c r="C22" s="3" t="s">
        <v>325</v>
      </c>
      <c r="D22" s="3" t="s">
        <v>326</v>
      </c>
      <c r="E22" s="3" t="s">
        <v>327</v>
      </c>
      <c r="F22" s="3" t="s">
        <v>328</v>
      </c>
      <c r="G22" s="10">
        <v>1.0</v>
      </c>
      <c r="H22" s="10" t="s">
        <v>241</v>
      </c>
      <c r="I22" s="9">
        <v>75000.0</v>
      </c>
      <c r="J22" s="31">
        <f>IF(H22="USD",G22*I22*Supuestos!$B$21,G22*I22)*Supuestos!$B$42</f>
        <v>280087500</v>
      </c>
      <c r="K22" s="32">
        <v>5.0</v>
      </c>
      <c r="L22" s="3" t="s">
        <v>249</v>
      </c>
      <c r="M22" s="33" t="s">
        <v>329</v>
      </c>
      <c r="N22" s="3" t="s">
        <v>244</v>
      </c>
    </row>
    <row r="23" ht="15.75" customHeight="1">
      <c r="A23" s="3" t="s">
        <v>249</v>
      </c>
      <c r="B23" s="3" t="s">
        <v>304</v>
      </c>
      <c r="C23" s="3" t="s">
        <v>330</v>
      </c>
      <c r="D23" s="3" t="s">
        <v>331</v>
      </c>
      <c r="E23" s="3" t="s">
        <v>332</v>
      </c>
      <c r="F23" s="3" t="s">
        <v>333</v>
      </c>
      <c r="G23" s="10">
        <v>1.0</v>
      </c>
      <c r="H23" s="10" t="s">
        <v>241</v>
      </c>
      <c r="I23" s="9">
        <v>90000.0</v>
      </c>
      <c r="J23" s="31">
        <f>IF(H23="USD",G23*I23*Supuestos!$B$21,G23*I23)*Supuestos!$B$42</f>
        <v>336105000</v>
      </c>
      <c r="K23" s="32">
        <v>5.0</v>
      </c>
      <c r="L23" s="3" t="s">
        <v>249</v>
      </c>
      <c r="M23" s="33" t="s">
        <v>334</v>
      </c>
      <c r="N23" s="3" t="s">
        <v>244</v>
      </c>
    </row>
    <row r="24" ht="15.75" customHeight="1">
      <c r="A24" s="3" t="s">
        <v>335</v>
      </c>
      <c r="B24" s="3" t="s">
        <v>304</v>
      </c>
      <c r="C24" s="3" t="s">
        <v>336</v>
      </c>
      <c r="D24" s="3" t="s">
        <v>337</v>
      </c>
      <c r="E24" s="3" t="s">
        <v>338</v>
      </c>
      <c r="F24" s="3" t="s">
        <v>265</v>
      </c>
      <c r="G24" s="10">
        <v>1.0</v>
      </c>
      <c r="H24" s="10" t="s">
        <v>339</v>
      </c>
      <c r="I24" s="9">
        <v>1.2E9</v>
      </c>
      <c r="J24" s="31">
        <f>IF(H24="USD",G24*I24*Supuestos!$B$21,G24*I24)*Supuestos!$B$42</f>
        <v>1164000000</v>
      </c>
      <c r="K24" s="32">
        <v>5.0</v>
      </c>
      <c r="L24" s="3" t="s">
        <v>340</v>
      </c>
      <c r="M24" s="33" t="s">
        <v>341</v>
      </c>
      <c r="N24" s="3" t="s">
        <v>342</v>
      </c>
    </row>
    <row r="25" ht="15.75" customHeight="1">
      <c r="A25" s="3" t="s">
        <v>335</v>
      </c>
      <c r="B25" s="3" t="s">
        <v>304</v>
      </c>
      <c r="C25" s="3" t="s">
        <v>343</v>
      </c>
      <c r="D25" s="3" t="s">
        <v>344</v>
      </c>
      <c r="E25" s="3" t="s">
        <v>338</v>
      </c>
      <c r="F25" s="3" t="s">
        <v>265</v>
      </c>
      <c r="G25" s="10">
        <v>1.0</v>
      </c>
      <c r="H25" s="10" t="s">
        <v>339</v>
      </c>
      <c r="I25" s="9">
        <v>1.0E9</v>
      </c>
      <c r="J25" s="31">
        <f>IF(H25="USD",G25*I25*Supuestos!$B$21,G25*I25)*Supuestos!$B$42</f>
        <v>970000000</v>
      </c>
      <c r="K25" s="32">
        <v>5.0</v>
      </c>
      <c r="L25" s="3" t="s">
        <v>340</v>
      </c>
      <c r="M25" s="33" t="s">
        <v>345</v>
      </c>
      <c r="N25" s="3" t="s">
        <v>342</v>
      </c>
    </row>
    <row r="26" ht="15.75" customHeight="1">
      <c r="A26" s="3" t="s">
        <v>335</v>
      </c>
      <c r="B26" s="3" t="s">
        <v>304</v>
      </c>
      <c r="C26" s="3" t="s">
        <v>346</v>
      </c>
      <c r="D26" s="3" t="s">
        <v>347</v>
      </c>
      <c r="E26" s="3" t="s">
        <v>348</v>
      </c>
      <c r="F26" s="3" t="s">
        <v>265</v>
      </c>
      <c r="G26" s="10">
        <v>1.0</v>
      </c>
      <c r="H26" s="10" t="s">
        <v>339</v>
      </c>
      <c r="I26" s="9">
        <v>2.5E8</v>
      </c>
      <c r="J26" s="31">
        <f>IF(H26="USD",G26*I26*Supuestos!$B$21,G26*I26)*Supuestos!$B$42</f>
        <v>242500000</v>
      </c>
      <c r="K26" s="32">
        <v>3.0</v>
      </c>
      <c r="L26" s="3" t="s">
        <v>349</v>
      </c>
      <c r="M26" s="33" t="s">
        <v>350</v>
      </c>
      <c r="N26" s="3" t="s">
        <v>342</v>
      </c>
    </row>
    <row r="27" ht="15.75" customHeight="1">
      <c r="A27" s="3"/>
      <c r="B27" s="3"/>
      <c r="C27" s="3"/>
      <c r="D27" s="3"/>
      <c r="E27" s="3"/>
      <c r="F27" s="3"/>
      <c r="G27" s="3"/>
      <c r="H27" s="3"/>
      <c r="I27" s="3"/>
      <c r="J27" s="31"/>
      <c r="K27" s="3"/>
      <c r="L27" s="3"/>
      <c r="M27" s="3"/>
      <c r="N27" s="3"/>
    </row>
    <row r="28" ht="15.75" customHeight="1">
      <c r="A28" s="2" t="s">
        <v>351</v>
      </c>
      <c r="B28" s="2"/>
      <c r="C28" s="2"/>
      <c r="D28" s="2"/>
      <c r="E28" s="2"/>
      <c r="F28" s="2"/>
      <c r="G28" s="2"/>
      <c r="H28" s="2"/>
      <c r="I28" s="2"/>
      <c r="J28" s="31"/>
      <c r="K28" s="3"/>
      <c r="L28" s="3"/>
      <c r="M28" s="3"/>
      <c r="N28" s="3"/>
    </row>
    <row r="29" ht="15.75" customHeight="1">
      <c r="A29" s="3" t="s">
        <v>352</v>
      </c>
      <c r="B29" s="3"/>
      <c r="C29" s="3"/>
      <c r="D29" s="3"/>
      <c r="E29" s="3"/>
      <c r="F29" s="3"/>
      <c r="G29" s="3"/>
      <c r="H29" s="3"/>
      <c r="I29" s="3"/>
      <c r="J29" s="31">
        <f>SUM(J4:J26)</f>
        <v>20059361235</v>
      </c>
      <c r="K29" s="3"/>
      <c r="L29" s="3"/>
      <c r="M29" s="3"/>
      <c r="N29" s="3"/>
    </row>
    <row r="30" ht="15.75" customHeight="1">
      <c r="A30" s="3" t="s">
        <v>353</v>
      </c>
      <c r="B30" s="3"/>
      <c r="C30" s="3"/>
      <c r="D30" s="3"/>
      <c r="E30" s="3"/>
      <c r="F30" s="3"/>
      <c r="G30" s="3"/>
      <c r="H30" s="3"/>
      <c r="I30" s="9">
        <v>0.1</v>
      </c>
      <c r="J30" s="31">
        <f>J29*I30</f>
        <v>2005936123</v>
      </c>
      <c r="K30" s="3"/>
      <c r="L30" s="3"/>
      <c r="M30" s="3"/>
      <c r="N30" s="3"/>
    </row>
    <row r="31" ht="15.75" customHeight="1">
      <c r="A31" s="3" t="s">
        <v>354</v>
      </c>
      <c r="B31" s="3"/>
      <c r="C31" s="3"/>
      <c r="D31" s="3"/>
      <c r="E31" s="3"/>
      <c r="F31" s="3"/>
      <c r="G31" s="3"/>
      <c r="H31" s="3"/>
      <c r="I31" s="3"/>
      <c r="J31" s="31">
        <f>J29+J30</f>
        <v>22065297358</v>
      </c>
      <c r="K31" s="3"/>
      <c r="L31" s="3"/>
      <c r="M31" s="3"/>
      <c r="N31" s="3"/>
    </row>
    <row r="32" ht="15.75" customHeight="1">
      <c r="A32" s="3" t="s">
        <v>355</v>
      </c>
      <c r="B32" s="3"/>
      <c r="C32" s="3"/>
      <c r="D32" s="3"/>
      <c r="E32" s="3"/>
      <c r="F32" s="3"/>
      <c r="G32" s="3"/>
      <c r="H32" s="3"/>
      <c r="I32" s="3"/>
      <c r="J32" s="31">
        <f>J31-J26</f>
        <v>21822797358</v>
      </c>
      <c r="K32" s="3"/>
      <c r="L32" s="3"/>
      <c r="M32" s="3"/>
      <c r="N32" s="3"/>
    </row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">
    <mergeCell ref="A1:N1"/>
  </mergeCells>
  <printOptions/>
  <pageMargins bottom="0.75" footer="0.0" header="0.0" left="0.7" right="0.7" top="0.75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22.0"/>
    <col customWidth="1" min="2" max="2" width="18.0"/>
    <col customWidth="1" min="3" max="3" width="22.0"/>
    <col customWidth="1" min="4" max="4" width="12.0"/>
    <col customWidth="1" min="5" max="6" width="9.0"/>
    <col customWidth="1" min="7" max="7" width="14.0"/>
    <col customWidth="1" min="8" max="9" width="16.0"/>
    <col customWidth="1" min="10" max="10" width="12.0"/>
    <col customWidth="1" min="11" max="11" width="38.0"/>
    <col customWidth="1" min="12" max="12" width="32.0"/>
    <col customWidth="1" min="13" max="13" width="12.0"/>
    <col customWidth="1" min="14" max="26" width="8.63"/>
  </cols>
  <sheetData>
    <row r="1">
      <c r="A1" s="25" t="s">
        <v>356</v>
      </c>
    </row>
    <row r="3">
      <c r="A3" s="4" t="s">
        <v>357</v>
      </c>
      <c r="B3" s="4" t="s">
        <v>358</v>
      </c>
      <c r="C3" s="4" t="s">
        <v>359</v>
      </c>
      <c r="D3" s="4" t="s">
        <v>360</v>
      </c>
      <c r="E3" s="4" t="s">
        <v>361</v>
      </c>
      <c r="F3" s="4" t="s">
        <v>228</v>
      </c>
      <c r="G3" s="4" t="s">
        <v>362</v>
      </c>
      <c r="H3" s="4" t="s">
        <v>363</v>
      </c>
      <c r="I3" s="4" t="s">
        <v>364</v>
      </c>
      <c r="J3" s="4" t="s">
        <v>365</v>
      </c>
      <c r="K3" s="2" t="s">
        <v>233</v>
      </c>
      <c r="L3" s="2" t="s">
        <v>366</v>
      </c>
      <c r="M3" s="4" t="s">
        <v>367</v>
      </c>
    </row>
    <row r="4">
      <c r="A4" s="22" t="s">
        <v>368</v>
      </c>
      <c r="B4" s="22" t="s">
        <v>369</v>
      </c>
      <c r="C4" s="22" t="s">
        <v>370</v>
      </c>
      <c r="D4" s="22" t="s">
        <v>371</v>
      </c>
      <c r="E4" s="34">
        <v>2.0</v>
      </c>
      <c r="F4" s="3" t="s">
        <v>241</v>
      </c>
      <c r="G4" s="35">
        <v>1200.0</v>
      </c>
      <c r="H4" s="36">
        <f>IF(M4=0,0,IF(D4="Perpetua",E4*G4*IF(F4="USD",Supuestos!$B$21,1),0))</f>
        <v>0</v>
      </c>
      <c r="I4" s="36">
        <f>IF(M4=0,0,IF(D4="Mensual",E4*G4*IF(F4="USD",Supuestos!$B$21,1),IF(D4="Anual",E4*G4*IF(F4="USD",Supuestos!$B$21,1)/12,0)))</f>
        <v>770000</v>
      </c>
      <c r="J4" s="3">
        <v>1.0</v>
      </c>
      <c r="K4" s="33" t="s">
        <v>372</v>
      </c>
      <c r="L4" s="3" t="s">
        <v>373</v>
      </c>
      <c r="M4" s="10">
        <v>1.0</v>
      </c>
    </row>
    <row r="5">
      <c r="A5" s="22" t="s">
        <v>374</v>
      </c>
      <c r="B5" s="22" t="s">
        <v>375</v>
      </c>
      <c r="C5" s="22" t="s">
        <v>376</v>
      </c>
      <c r="D5" s="22" t="s">
        <v>377</v>
      </c>
      <c r="E5" s="34">
        <v>2.0</v>
      </c>
      <c r="F5" s="3" t="s">
        <v>241</v>
      </c>
      <c r="G5" s="35">
        <v>4500.0</v>
      </c>
      <c r="H5" s="36">
        <f>IF(M5=0,0,IF(D5="Perpetua",E5*G5*IF(F5="USD",Supuestos!$B$21,1),0))</f>
        <v>34650000</v>
      </c>
      <c r="I5" s="36">
        <f>IF(M5=0,0,IF(D5="Mensual",E5*G5*IF(F5="USD",Supuestos!$B$21,1),IF(D5="Anual",E5*G5*IF(F5="USD",Supuestos!$B$21,1)/12,0)))</f>
        <v>0</v>
      </c>
      <c r="J5" s="3">
        <v>3.0</v>
      </c>
      <c r="K5" s="33" t="s">
        <v>378</v>
      </c>
      <c r="L5" s="3" t="s">
        <v>379</v>
      </c>
      <c r="M5" s="10">
        <v>1.0</v>
      </c>
    </row>
    <row r="6">
      <c r="A6" s="22" t="s">
        <v>380</v>
      </c>
      <c r="B6" s="22" t="s">
        <v>381</v>
      </c>
      <c r="C6" s="22" t="s">
        <v>382</v>
      </c>
      <c r="D6" s="22" t="s">
        <v>383</v>
      </c>
      <c r="E6" s="34">
        <v>1.0</v>
      </c>
      <c r="F6" s="3" t="s">
        <v>339</v>
      </c>
      <c r="G6" s="35">
        <v>6000000.0</v>
      </c>
      <c r="H6" s="36">
        <f>IF(M6=0,0,IF(D6="Perpetua",E6*G6*IF(F6="USD",Supuestos!$B$21,1),0))</f>
        <v>0</v>
      </c>
      <c r="I6" s="36">
        <f>IF(M6=0,0,IF(D6="Mensual",E6*G6*IF(F6="USD",Supuestos!$B$21,1),IF(D6="Anual",E6*G6*IF(F6="USD",Supuestos!$B$21,1)/12,0)))</f>
        <v>6000000</v>
      </c>
      <c r="J6" s="3">
        <v>1.0</v>
      </c>
      <c r="K6" s="33" t="s">
        <v>384</v>
      </c>
      <c r="L6" s="3" t="s">
        <v>385</v>
      </c>
      <c r="M6" s="10">
        <v>1.0</v>
      </c>
    </row>
    <row r="7">
      <c r="A7" s="22" t="s">
        <v>386</v>
      </c>
      <c r="B7" s="22" t="s">
        <v>387</v>
      </c>
      <c r="C7" s="22" t="s">
        <v>388</v>
      </c>
      <c r="D7" s="22" t="s">
        <v>371</v>
      </c>
      <c r="E7" s="34">
        <v>1.0</v>
      </c>
      <c r="F7" s="3" t="s">
        <v>241</v>
      </c>
      <c r="G7" s="35">
        <v>1731.0</v>
      </c>
      <c r="H7" s="36">
        <f>IF(M7=0,0,IF(D7="Perpetua",E7*G7*IF(F7="USD",Supuestos!$B$21,1),0))</f>
        <v>0</v>
      </c>
      <c r="I7" s="36">
        <f>IF(M7=0,0,IF(D7="Mensual",E7*G7*IF(F7="USD",Supuestos!$B$21,1),IF(D7="Anual",E7*G7*IF(F7="USD",Supuestos!$B$21,1)/12,0)))</f>
        <v>555362.5</v>
      </c>
      <c r="J7" s="3">
        <v>1.0</v>
      </c>
      <c r="K7" s="33" t="s">
        <v>389</v>
      </c>
      <c r="L7" s="3" t="s">
        <v>390</v>
      </c>
      <c r="M7" s="10">
        <v>1.0</v>
      </c>
    </row>
    <row r="8">
      <c r="A8" s="22" t="s">
        <v>391</v>
      </c>
      <c r="B8" s="22" t="s">
        <v>392</v>
      </c>
      <c r="C8" s="22" t="s">
        <v>393</v>
      </c>
      <c r="D8" s="22" t="s">
        <v>383</v>
      </c>
      <c r="E8" s="34">
        <v>2.0</v>
      </c>
      <c r="F8" s="3" t="s">
        <v>241</v>
      </c>
      <c r="G8" s="35">
        <v>220.0</v>
      </c>
      <c r="H8" s="36">
        <f>IF(M8=0,0,IF(D8="Perpetua",E8*G8*IF(F8="USD",Supuestos!$B$21,1),0))</f>
        <v>0</v>
      </c>
      <c r="I8" s="36">
        <f>IF(M8=0,0,IF(D8="Mensual",E8*G8*IF(F8="USD",Supuestos!$B$21,1),IF(D8="Anual",E8*G8*IF(F8="USD",Supuestos!$B$21,1)/12,0)))</f>
        <v>1694000</v>
      </c>
      <c r="J8" s="3">
        <v>1.0</v>
      </c>
      <c r="K8" s="33" t="s">
        <v>394</v>
      </c>
      <c r="L8" s="3" t="s">
        <v>395</v>
      </c>
      <c r="M8" s="10">
        <v>1.0</v>
      </c>
    </row>
    <row r="9">
      <c r="A9" s="22" t="s">
        <v>396</v>
      </c>
      <c r="B9" s="22" t="s">
        <v>397</v>
      </c>
      <c r="C9" s="22" t="s">
        <v>393</v>
      </c>
      <c r="D9" s="22" t="s">
        <v>371</v>
      </c>
      <c r="E9" s="34">
        <v>1.0</v>
      </c>
      <c r="F9" s="3" t="s">
        <v>241</v>
      </c>
      <c r="G9" s="35">
        <v>12587.4</v>
      </c>
      <c r="H9" s="36">
        <f>IF(M9=0,0,IF(D9="Perpetua",E9*G9*IF(F9="USD",Supuestos!$B$21,1),0))</f>
        <v>0</v>
      </c>
      <c r="I9" s="36">
        <f>IF(M9=0,0,IF(D9="Mensual",E9*G9*IF(F9="USD",Supuestos!$B$21,1),IF(D9="Anual",E9*G9*IF(F9="USD",Supuestos!$B$21,1)/12,0)))</f>
        <v>4038457.5</v>
      </c>
      <c r="J9" s="3">
        <v>1.0</v>
      </c>
      <c r="K9" s="33" t="s">
        <v>398</v>
      </c>
      <c r="L9" s="3" t="s">
        <v>399</v>
      </c>
      <c r="M9" s="10">
        <v>1.0</v>
      </c>
    </row>
    <row r="10">
      <c r="A10" s="22" t="s">
        <v>400</v>
      </c>
      <c r="B10" s="22" t="s">
        <v>401</v>
      </c>
      <c r="C10" s="22" t="s">
        <v>402</v>
      </c>
      <c r="D10" s="22" t="s">
        <v>371</v>
      </c>
      <c r="E10" s="34">
        <v>1.0</v>
      </c>
      <c r="F10" s="3" t="s">
        <v>241</v>
      </c>
      <c r="G10" s="35">
        <v>3500.0</v>
      </c>
      <c r="H10" s="36">
        <f>IF(M10=0,0,IF(D10="Perpetua",E10*G10*IF(F10="USD",Supuestos!$B$21,1),0))</f>
        <v>0</v>
      </c>
      <c r="I10" s="36">
        <f>IF(M10=0,0,IF(D10="Mensual",E10*G10*IF(F10="USD",Supuestos!$B$21,1),IF(D10="Anual",E10*G10*IF(F10="USD",Supuestos!$B$21,1)/12,0)))</f>
        <v>1122916.667</v>
      </c>
      <c r="J10" s="3">
        <v>1.0</v>
      </c>
      <c r="K10" s="33" t="s">
        <v>403</v>
      </c>
      <c r="L10" s="3" t="s">
        <v>404</v>
      </c>
      <c r="M10" s="10">
        <v>1.0</v>
      </c>
    </row>
    <row r="12">
      <c r="A12" s="4" t="s">
        <v>405</v>
      </c>
      <c r="B12" s="4"/>
      <c r="C12" s="4"/>
    </row>
    <row r="13">
      <c r="A13" s="22" t="s">
        <v>406</v>
      </c>
      <c r="H13" s="28">
        <f>SUM(H4:H10)</f>
        <v>34650000</v>
      </c>
      <c r="I13" s="28"/>
    </row>
    <row r="14">
      <c r="A14" s="22" t="s">
        <v>407</v>
      </c>
      <c r="H14" s="28"/>
      <c r="I14" s="28">
        <f>SUM(I4:I10)</f>
        <v>14180736.67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">
    <mergeCell ref="A1:M1"/>
  </mergeCells>
  <printOptions/>
  <pageMargins bottom="0.75" footer="0.0" header="0.0" left="0.7" right="0.7" top="0.75"/>
  <pageSetup orientation="landscape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28.0"/>
    <col customWidth="1" min="2" max="2" width="10.0"/>
    <col customWidth="1" min="3" max="4" width="15.0"/>
    <col customWidth="1" min="5" max="5" width="10.0"/>
    <col customWidth="1" min="6" max="6" width="18.0"/>
    <col customWidth="1" min="7" max="8" width="16.0"/>
    <col customWidth="1" min="9" max="9" width="28.0"/>
    <col customWidth="1" min="10" max="10" width="26.0"/>
    <col customWidth="1" min="11" max="11" width="10.0"/>
    <col customWidth="1" min="12" max="12" width="16.0"/>
    <col customWidth="1" min="13" max="26" width="8.63"/>
  </cols>
  <sheetData>
    <row r="1">
      <c r="A1" s="25" t="s">
        <v>408</v>
      </c>
    </row>
    <row r="3">
      <c r="A3" s="2" t="s">
        <v>409</v>
      </c>
      <c r="B3" s="2" t="s">
        <v>410</v>
      </c>
      <c r="C3" s="2" t="s">
        <v>411</v>
      </c>
      <c r="D3" s="2" t="s">
        <v>412</v>
      </c>
      <c r="E3" s="2" t="s">
        <v>413</v>
      </c>
      <c r="F3" s="2" t="s">
        <v>414</v>
      </c>
      <c r="G3" s="2" t="s">
        <v>415</v>
      </c>
      <c r="H3" s="2" t="s">
        <v>416</v>
      </c>
      <c r="I3" s="2" t="s">
        <v>234</v>
      </c>
      <c r="J3" s="2" t="s">
        <v>417</v>
      </c>
      <c r="K3" s="2" t="s">
        <v>367</v>
      </c>
      <c r="L3" s="2" t="s">
        <v>418</v>
      </c>
    </row>
    <row r="4">
      <c r="A4" s="3" t="s">
        <v>419</v>
      </c>
      <c r="B4" s="37">
        <v>18.0</v>
      </c>
      <c r="C4" s="38">
        <v>2550000.0</v>
      </c>
      <c r="D4" s="3">
        <f>IF(C4&lt;=2*Supuestos!$G$4,1,0)</f>
        <v>1</v>
      </c>
      <c r="E4" s="3" t="s">
        <v>420</v>
      </c>
      <c r="F4" s="31">
        <f>IF(K4=0,0,C4*(1+Supuestos!$G$7+Supuestos!$G$8+Supuestos!$G$14+Supuestos!$G$15+Supuestos!$G$16+Supuestos!$G$17+Supuestos!$G$13+IF(Supuestos!$G$11=1,0,Supuestos!$G$6+Supuestos!$G$9+Supuestos!$G$10))+D4*Supuestos!$G$5)</f>
        <v>3825878</v>
      </c>
      <c r="G4" s="31">
        <f t="shared" ref="G4:G7" si="1">IF(K4=0,0,B4*F4)</f>
        <v>68865804</v>
      </c>
      <c r="H4" s="39" t="s">
        <v>421</v>
      </c>
      <c r="I4" s="39" t="s">
        <v>422</v>
      </c>
      <c r="J4" s="39" t="s">
        <v>423</v>
      </c>
      <c r="K4" s="40">
        <v>1.0</v>
      </c>
      <c r="L4" s="31">
        <f t="shared" ref="L4:L7" si="2">IF(K4=0,0,G4)</f>
        <v>68865804</v>
      </c>
    </row>
    <row r="5">
      <c r="A5" s="3" t="s">
        <v>424</v>
      </c>
      <c r="B5" s="37">
        <v>2.0</v>
      </c>
      <c r="C5" s="38">
        <v>3500000.0</v>
      </c>
      <c r="D5" s="3">
        <f>IF(C5&lt;=2*Supuestos!$G$4,1,0)</f>
        <v>1</v>
      </c>
      <c r="E5" s="3" t="s">
        <v>420</v>
      </c>
      <c r="F5" s="31">
        <f>IF(K5=0,0,C5*(1+Supuestos!$G$7+Supuestos!$G$8+Supuestos!$G$14+Supuestos!$G$15+Supuestos!$G$16+Supuestos!$G$17+Supuestos!$G$13+IF(Supuestos!$G$11=1,0,Supuestos!$G$6+Supuestos!$G$9+Supuestos!$G$10))+D5*Supuestos!$G$5)</f>
        <v>5158405</v>
      </c>
      <c r="G5" s="31">
        <f t="shared" si="1"/>
        <v>10316810</v>
      </c>
      <c r="H5" s="39" t="s">
        <v>421</v>
      </c>
      <c r="I5" s="39" t="s">
        <v>425</v>
      </c>
      <c r="J5" s="39" t="s">
        <v>426</v>
      </c>
      <c r="K5" s="40">
        <v>1.0</v>
      </c>
      <c r="L5" s="31">
        <f t="shared" si="2"/>
        <v>10316810</v>
      </c>
    </row>
    <row r="6">
      <c r="A6" s="3" t="s">
        <v>427</v>
      </c>
      <c r="B6" s="37">
        <v>1.0</v>
      </c>
      <c r="C6" s="9">
        <v>4800000.0</v>
      </c>
      <c r="D6" s="3">
        <f>IF(C6&lt;=2*Supuestos!$G$4,1,0)</f>
        <v>0</v>
      </c>
      <c r="E6" s="3" t="s">
        <v>420</v>
      </c>
      <c r="F6" s="31">
        <f>IF(K6=0,0,C6*(1+Supuestos!$G$7+Supuestos!$G$8+Supuestos!$G$14+Supuestos!$G$15+Supuestos!$G$16+Supuestos!$G$17+Supuestos!$G$13+IF(Supuestos!$G$11=1,0,Supuestos!$G$6+Supuestos!$G$9+Supuestos!$G$10))+D6*Supuestos!$G$5)</f>
        <v>6732768</v>
      </c>
      <c r="G6" s="31">
        <f t="shared" si="1"/>
        <v>6732768</v>
      </c>
      <c r="H6" s="39" t="s">
        <v>421</v>
      </c>
      <c r="I6" s="39" t="s">
        <v>428</v>
      </c>
      <c r="J6" s="39" t="s">
        <v>429</v>
      </c>
      <c r="K6" s="40">
        <v>1.0</v>
      </c>
      <c r="L6" s="31">
        <f t="shared" si="2"/>
        <v>6732768</v>
      </c>
    </row>
    <row r="7">
      <c r="A7" s="3" t="s">
        <v>430</v>
      </c>
      <c r="B7" s="37">
        <v>7.0</v>
      </c>
      <c r="C7" s="9">
        <v>9000000.0</v>
      </c>
      <c r="D7" s="3">
        <f>IF(C7&lt;=2*Supuestos!$G$4,1,0)</f>
        <v>0</v>
      </c>
      <c r="E7" s="3" t="s">
        <v>431</v>
      </c>
      <c r="F7" s="31">
        <f>IF(K7=0,0,C7*(1+Supuestos!$G$7+Supuestos!$G$8+Supuestos!$G$14+Supuestos!$G$15+Supuestos!$G$16+Supuestos!$G$17+Supuestos!$G$12+IF(Supuestos!$G$11=1,0,Supuestos!$G$6+Supuestos!$G$9+Supuestos!$G$10))+D7*Supuestos!$G$5)</f>
        <v>12451680</v>
      </c>
      <c r="G7" s="31">
        <f t="shared" si="1"/>
        <v>87161760</v>
      </c>
      <c r="H7" s="39" t="s">
        <v>432</v>
      </c>
      <c r="I7" s="39" t="s">
        <v>433</v>
      </c>
      <c r="J7" s="39" t="s">
        <v>123</v>
      </c>
      <c r="K7" s="40">
        <v>1.0</v>
      </c>
      <c r="L7" s="31">
        <f t="shared" si="2"/>
        <v>87161760</v>
      </c>
    </row>
    <row r="8">
      <c r="A8" s="3"/>
      <c r="B8" s="3"/>
      <c r="C8" s="3"/>
      <c r="D8" s="3"/>
      <c r="E8" s="3"/>
      <c r="F8" s="3"/>
      <c r="G8" s="3"/>
      <c r="H8" s="3"/>
      <c r="I8" s="3"/>
      <c r="J8" s="3"/>
      <c r="K8" s="3"/>
      <c r="L8" s="3"/>
    </row>
    <row r="9">
      <c r="A9" s="2" t="s">
        <v>434</v>
      </c>
      <c r="B9" s="2"/>
      <c r="C9" s="2"/>
      <c r="D9" s="2"/>
      <c r="E9" s="3"/>
      <c r="F9" s="3"/>
      <c r="G9" s="3"/>
      <c r="H9" s="3"/>
      <c r="I9" s="3"/>
      <c r="J9" s="3"/>
      <c r="K9" s="3"/>
      <c r="L9" s="3"/>
    </row>
    <row r="10">
      <c r="A10" s="3" t="s">
        <v>435</v>
      </c>
      <c r="B10" s="3"/>
      <c r="C10" s="3"/>
      <c r="D10" s="3"/>
      <c r="E10" s="3"/>
      <c r="F10" s="3"/>
      <c r="G10" s="36">
        <f>SUMIF(H4:H7,"Operación",L4:L7)</f>
        <v>85915382</v>
      </c>
      <c r="H10" s="3"/>
      <c r="I10" s="3"/>
      <c r="J10" s="3"/>
      <c r="K10" s="3"/>
      <c r="L10" s="3"/>
    </row>
    <row r="11">
      <c r="A11" s="3" t="s">
        <v>436</v>
      </c>
      <c r="B11" s="3"/>
      <c r="C11" s="3"/>
      <c r="D11" s="3"/>
      <c r="E11" s="3"/>
      <c r="F11" s="3"/>
      <c r="G11" s="36">
        <f>SUMIF(H4:H7,"Implementación",L4:L7)</f>
        <v>87161760</v>
      </c>
      <c r="H11" s="3"/>
      <c r="I11" s="3"/>
      <c r="J11" s="3"/>
      <c r="K11" s="3"/>
      <c r="L11" s="3"/>
    </row>
    <row r="12">
      <c r="A12" s="3" t="s">
        <v>437</v>
      </c>
      <c r="B12" s="3"/>
      <c r="C12" s="3"/>
      <c r="D12" s="3"/>
      <c r="E12" s="3"/>
      <c r="F12" s="3"/>
      <c r="G12" s="36">
        <f>G10*12</f>
        <v>1030984584</v>
      </c>
      <c r="H12" s="3"/>
      <c r="I12" s="3"/>
      <c r="J12" s="3"/>
      <c r="K12" s="3"/>
      <c r="L12" s="3"/>
    </row>
    <row r="13">
      <c r="A13" s="3" t="s">
        <v>438</v>
      </c>
      <c r="B13" s="3"/>
      <c r="C13" s="3"/>
      <c r="D13" s="3"/>
      <c r="E13" s="3"/>
      <c r="F13" s="3"/>
      <c r="G13" s="36">
        <f>G11*Supuestos!$B$6</f>
        <v>348647040</v>
      </c>
      <c r="H13" s="3"/>
      <c r="I13" s="3"/>
      <c r="J13" s="3"/>
      <c r="K13" s="3"/>
      <c r="L13" s="3"/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">
    <mergeCell ref="A1:L1"/>
  </mergeCells>
  <printOptions/>
  <pageMargins bottom="0.75" footer="0.0" header="0.0" left="0.7" right="0.7" top="0.75"/>
  <pageSetup orientation="landscape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30.0"/>
    <col customWidth="1" min="2" max="2" width="16.0"/>
    <col customWidth="1" min="3" max="3" width="10.0"/>
    <col customWidth="1" min="4" max="4" width="28.0"/>
    <col customWidth="1" min="5" max="5" width="10.0"/>
    <col customWidth="1" min="6" max="6" width="14.0"/>
    <col customWidth="1" min="7" max="7" width="12.0"/>
    <col customWidth="1" min="8" max="8" width="16.0"/>
    <col customWidth="1" min="9" max="9" width="8.63"/>
    <col customWidth="1" min="10" max="10" width="14.0"/>
    <col customWidth="1" min="11" max="13" width="16.0"/>
    <col customWidth="1" min="14" max="14" width="14.0"/>
    <col customWidth="1" min="15" max="26" width="8.63"/>
  </cols>
  <sheetData>
    <row r="1">
      <c r="A1" s="25" t="s">
        <v>439</v>
      </c>
    </row>
    <row r="3">
      <c r="A3" s="2" t="s">
        <v>440</v>
      </c>
      <c r="I3" s="3"/>
      <c r="J3" s="2" t="s">
        <v>441</v>
      </c>
    </row>
    <row r="4">
      <c r="A4" s="41" t="s">
        <v>442</v>
      </c>
      <c r="B4" s="41" t="s">
        <v>443</v>
      </c>
      <c r="C4" s="41" t="s">
        <v>444</v>
      </c>
      <c r="D4" s="41" t="s">
        <v>445</v>
      </c>
      <c r="E4" s="41" t="s">
        <v>446</v>
      </c>
      <c r="F4" s="41" t="s">
        <v>447</v>
      </c>
      <c r="G4" s="41" t="s">
        <v>448</v>
      </c>
      <c r="H4" s="41" t="s">
        <v>449</v>
      </c>
      <c r="I4" s="3"/>
      <c r="J4" s="41" t="s">
        <v>127</v>
      </c>
      <c r="K4" s="41" t="s">
        <v>449</v>
      </c>
      <c r="L4" s="41" t="s">
        <v>450</v>
      </c>
      <c r="M4" s="41" t="s">
        <v>451</v>
      </c>
      <c r="N4" s="41" t="s">
        <v>452</v>
      </c>
    </row>
    <row r="5">
      <c r="A5" s="3" t="s">
        <v>453</v>
      </c>
      <c r="B5" s="9">
        <v>1.05E8</v>
      </c>
      <c r="C5" s="42">
        <f t="shared" ref="C5:C14" si="1">IF(SUM($B$5:$B$14)=0,0,B5/SUM($B$5:$B$14))</f>
        <v>0.3767491927</v>
      </c>
      <c r="D5" s="3" t="s">
        <v>454</v>
      </c>
      <c r="E5" s="10">
        <v>1.0</v>
      </c>
      <c r="F5" s="43">
        <f t="shared" ref="F5:F14" si="2">IF(E5=0,0,B5)</f>
        <v>105000000</v>
      </c>
      <c r="G5" s="43">
        <v>300000.0</v>
      </c>
      <c r="H5" s="43">
        <f t="shared" ref="H5:H14" si="3">IF(G5=0,0,F5/G5)</f>
        <v>350</v>
      </c>
      <c r="I5" s="3"/>
      <c r="J5" s="3" t="s">
        <v>455</v>
      </c>
      <c r="K5" s="36">
        <f>H15</f>
        <v>929</v>
      </c>
      <c r="L5" s="36">
        <f>Supuestos!$D$28</f>
        <v>2200</v>
      </c>
      <c r="M5" s="36">
        <f t="shared" ref="M5:M7" si="4">L5-K5</f>
        <v>1271</v>
      </c>
      <c r="N5" s="42">
        <f t="shared" ref="N5:N7" si="5">IF(L5=0,0,M5/L5)</f>
        <v>0.5777272727</v>
      </c>
    </row>
    <row r="6">
      <c r="A6" s="3" t="s">
        <v>456</v>
      </c>
      <c r="B6" s="38">
        <v>7000000.0</v>
      </c>
      <c r="C6" s="42">
        <f t="shared" si="1"/>
        <v>0.02511661285</v>
      </c>
      <c r="D6" s="3" t="s">
        <v>457</v>
      </c>
      <c r="E6" s="10">
        <v>1.0</v>
      </c>
      <c r="F6" s="43">
        <f t="shared" si="2"/>
        <v>7000000</v>
      </c>
      <c r="G6" s="43">
        <v>300000.0</v>
      </c>
      <c r="H6" s="43">
        <f t="shared" si="3"/>
        <v>23.33333333</v>
      </c>
      <c r="I6" s="3"/>
      <c r="J6" s="3" t="s">
        <v>164</v>
      </c>
      <c r="K6" s="36">
        <f>H30</f>
        <v>2670</v>
      </c>
      <c r="L6" s="36">
        <f>Supuestos!$D$29</f>
        <v>5200</v>
      </c>
      <c r="M6" s="36">
        <f t="shared" si="4"/>
        <v>2530</v>
      </c>
      <c r="N6" s="42">
        <f t="shared" si="5"/>
        <v>0.4865384615</v>
      </c>
    </row>
    <row r="7">
      <c r="A7" s="3" t="s">
        <v>458</v>
      </c>
      <c r="B7" s="9">
        <v>6900000.0</v>
      </c>
      <c r="C7" s="42">
        <f t="shared" si="1"/>
        <v>0.02475780409</v>
      </c>
      <c r="D7" s="3" t="s">
        <v>459</v>
      </c>
      <c r="E7" s="10">
        <v>1.0</v>
      </c>
      <c r="F7" s="43">
        <f t="shared" si="2"/>
        <v>6900000</v>
      </c>
      <c r="G7" s="43">
        <v>300000.0</v>
      </c>
      <c r="H7" s="43">
        <f t="shared" si="3"/>
        <v>23</v>
      </c>
      <c r="I7" s="3"/>
      <c r="J7" s="3" t="s">
        <v>165</v>
      </c>
      <c r="K7" s="36">
        <f>H43</f>
        <v>6942.857143</v>
      </c>
      <c r="L7" s="36">
        <f>Supuestos!$D$30</f>
        <v>10500</v>
      </c>
      <c r="M7" s="36">
        <f t="shared" si="4"/>
        <v>3557.142857</v>
      </c>
      <c r="N7" s="42">
        <f t="shared" si="5"/>
        <v>0.3387755102</v>
      </c>
    </row>
    <row r="8">
      <c r="A8" s="3" t="s">
        <v>460</v>
      </c>
      <c r="B8" s="9">
        <v>1.2E7</v>
      </c>
      <c r="C8" s="42">
        <f t="shared" si="1"/>
        <v>0.04305705059</v>
      </c>
      <c r="D8" s="3" t="s">
        <v>461</v>
      </c>
      <c r="E8" s="10">
        <v>1.0</v>
      </c>
      <c r="F8" s="43">
        <f t="shared" si="2"/>
        <v>12000000</v>
      </c>
      <c r="G8" s="43">
        <v>300000.0</v>
      </c>
      <c r="H8" s="43">
        <f t="shared" si="3"/>
        <v>40</v>
      </c>
      <c r="I8" s="3"/>
      <c r="J8" s="3"/>
      <c r="K8" s="3"/>
      <c r="L8" s="3"/>
      <c r="M8" s="3"/>
      <c r="N8" s="3"/>
    </row>
    <row r="9">
      <c r="A9" s="3" t="s">
        <v>462</v>
      </c>
      <c r="B9" s="9">
        <v>2.7E7</v>
      </c>
      <c r="C9" s="42">
        <f t="shared" si="1"/>
        <v>0.09687836383</v>
      </c>
      <c r="D9" s="3" t="s">
        <v>463</v>
      </c>
      <c r="E9" s="10">
        <v>1.0</v>
      </c>
      <c r="F9" s="43">
        <f t="shared" si="2"/>
        <v>27000000</v>
      </c>
      <c r="G9" s="43">
        <v>300000.0</v>
      </c>
      <c r="H9" s="43">
        <f t="shared" si="3"/>
        <v>90</v>
      </c>
      <c r="I9" s="3"/>
      <c r="J9" s="3"/>
      <c r="K9" s="3"/>
      <c r="L9" s="3"/>
      <c r="M9" s="3"/>
      <c r="N9" s="3"/>
    </row>
    <row r="10">
      <c r="A10" s="3" t="s">
        <v>464</v>
      </c>
      <c r="B10" s="9">
        <v>1.8E7</v>
      </c>
      <c r="C10" s="42">
        <f t="shared" si="1"/>
        <v>0.06458557589</v>
      </c>
      <c r="D10" s="3" t="s">
        <v>463</v>
      </c>
      <c r="E10" s="10">
        <v>1.0</v>
      </c>
      <c r="F10" s="43">
        <f t="shared" si="2"/>
        <v>18000000</v>
      </c>
      <c r="G10" s="43">
        <v>300000.0</v>
      </c>
      <c r="H10" s="43">
        <f t="shared" si="3"/>
        <v>60</v>
      </c>
      <c r="I10" s="3"/>
      <c r="J10" s="3"/>
      <c r="K10" s="3"/>
      <c r="L10" s="3"/>
      <c r="M10" s="3"/>
      <c r="N10" s="3"/>
    </row>
    <row r="11">
      <c r="A11" s="3" t="s">
        <v>465</v>
      </c>
      <c r="B11" s="9">
        <v>1.5E7</v>
      </c>
      <c r="C11" s="42">
        <f t="shared" si="1"/>
        <v>0.05382131324</v>
      </c>
      <c r="D11" s="3" t="s">
        <v>466</v>
      </c>
      <c r="E11" s="10">
        <v>1.0</v>
      </c>
      <c r="F11" s="43">
        <f t="shared" si="2"/>
        <v>15000000</v>
      </c>
      <c r="G11" s="43">
        <v>300000.0</v>
      </c>
      <c r="H11" s="43">
        <f t="shared" si="3"/>
        <v>50</v>
      </c>
      <c r="I11" s="3"/>
      <c r="J11" s="3"/>
      <c r="K11" s="3"/>
      <c r="L11" s="3"/>
      <c r="M11" s="3"/>
      <c r="N11" s="3"/>
    </row>
    <row r="12">
      <c r="A12" s="3" t="s">
        <v>467</v>
      </c>
      <c r="B12" s="9">
        <v>1800000.0</v>
      </c>
      <c r="C12" s="42">
        <f t="shared" si="1"/>
        <v>0.006458557589</v>
      </c>
      <c r="D12" s="3" t="s">
        <v>468</v>
      </c>
      <c r="E12" s="10">
        <v>1.0</v>
      </c>
      <c r="F12" s="43">
        <f t="shared" si="2"/>
        <v>1800000</v>
      </c>
      <c r="G12" s="43">
        <v>300000.0</v>
      </c>
      <c r="H12" s="43">
        <f t="shared" si="3"/>
        <v>6</v>
      </c>
      <c r="I12" s="3"/>
      <c r="J12" s="3"/>
      <c r="K12" s="3"/>
      <c r="L12" s="3"/>
      <c r="M12" s="3"/>
      <c r="N12" s="3"/>
    </row>
    <row r="13">
      <c r="A13" s="3" t="s">
        <v>469</v>
      </c>
      <c r="B13" s="38">
        <v>8.0E7</v>
      </c>
      <c r="C13" s="42">
        <f t="shared" si="1"/>
        <v>0.2870470039</v>
      </c>
      <c r="D13" s="3" t="s">
        <v>470</v>
      </c>
      <c r="E13" s="10">
        <v>1.0</v>
      </c>
      <c r="F13" s="43">
        <f t="shared" si="2"/>
        <v>80000000</v>
      </c>
      <c r="G13" s="43">
        <v>300000.0</v>
      </c>
      <c r="H13" s="43">
        <f t="shared" si="3"/>
        <v>266.6666667</v>
      </c>
      <c r="I13" s="3"/>
      <c r="J13" s="3"/>
      <c r="K13" s="3"/>
      <c r="L13" s="3"/>
      <c r="M13" s="3"/>
      <c r="N13" s="3"/>
    </row>
    <row r="14">
      <c r="A14" s="3" t="s">
        <v>471</v>
      </c>
      <c r="B14" s="9">
        <v>6000000.0</v>
      </c>
      <c r="C14" s="42">
        <f t="shared" si="1"/>
        <v>0.0215285253</v>
      </c>
      <c r="D14" s="3" t="s">
        <v>472</v>
      </c>
      <c r="E14" s="10">
        <v>1.0</v>
      </c>
      <c r="F14" s="43">
        <f t="shared" si="2"/>
        <v>6000000</v>
      </c>
      <c r="G14" s="43">
        <v>300000.0</v>
      </c>
      <c r="H14" s="43">
        <f t="shared" si="3"/>
        <v>20</v>
      </c>
      <c r="I14" s="3"/>
      <c r="J14" s="3"/>
      <c r="K14" s="3"/>
      <c r="L14" s="3"/>
      <c r="M14" s="3"/>
      <c r="N14" s="3"/>
    </row>
    <row r="15">
      <c r="A15" s="44" t="s">
        <v>447</v>
      </c>
      <c r="B15" s="45"/>
      <c r="C15" s="46"/>
      <c r="D15" s="44"/>
      <c r="E15" s="47"/>
      <c r="F15" s="43">
        <f>SUM(F5:F14)</f>
        <v>278700000</v>
      </c>
      <c r="G15" s="43">
        <v>300000.0</v>
      </c>
      <c r="H15" s="43">
        <f>F15/G15</f>
        <v>929</v>
      </c>
      <c r="I15" s="3"/>
      <c r="J15" s="3"/>
      <c r="K15" s="3"/>
      <c r="L15" s="3"/>
      <c r="M15" s="3"/>
      <c r="N15" s="3"/>
    </row>
    <row r="16">
      <c r="A16" s="3"/>
      <c r="B16" s="9"/>
      <c r="C16" s="42"/>
      <c r="D16" s="3"/>
      <c r="E16" s="10"/>
      <c r="F16" s="43"/>
      <c r="G16" s="43"/>
      <c r="H16" s="43"/>
      <c r="I16" s="3"/>
      <c r="J16" s="3"/>
      <c r="K16" s="3"/>
      <c r="L16" s="3"/>
      <c r="M16" s="3"/>
      <c r="N16" s="3"/>
    </row>
    <row r="17">
      <c r="A17" s="3"/>
      <c r="B17" s="9"/>
      <c r="C17" s="42"/>
      <c r="D17" s="3"/>
      <c r="E17" s="10"/>
      <c r="F17" s="43"/>
      <c r="G17" s="43"/>
      <c r="H17" s="43"/>
      <c r="I17" s="3"/>
      <c r="J17" s="3"/>
      <c r="K17" s="3"/>
      <c r="L17" s="3"/>
      <c r="M17" s="3"/>
      <c r="N17" s="3"/>
    </row>
    <row r="18">
      <c r="A18" s="2" t="s">
        <v>473</v>
      </c>
      <c r="I18" s="3"/>
      <c r="J18" s="3"/>
      <c r="K18" s="3"/>
      <c r="L18" s="3"/>
      <c r="M18" s="3"/>
      <c r="N18" s="3"/>
    </row>
    <row r="19">
      <c r="A19" s="41" t="s">
        <v>442</v>
      </c>
      <c r="B19" s="45" t="s">
        <v>443</v>
      </c>
      <c r="C19" s="48" t="s">
        <v>444</v>
      </c>
      <c r="D19" s="41" t="s">
        <v>445</v>
      </c>
      <c r="E19" s="47" t="s">
        <v>446</v>
      </c>
      <c r="F19" s="49" t="s">
        <v>447</v>
      </c>
      <c r="G19" s="49" t="s">
        <v>448</v>
      </c>
      <c r="H19" s="49" t="s">
        <v>449</v>
      </c>
      <c r="I19" s="3"/>
      <c r="J19" s="3"/>
      <c r="K19" s="3"/>
      <c r="L19" s="3"/>
      <c r="M19" s="3"/>
      <c r="N19" s="3"/>
    </row>
    <row r="20">
      <c r="A20" s="3" t="s">
        <v>474</v>
      </c>
      <c r="B20" s="9">
        <v>1.15E8</v>
      </c>
      <c r="C20" s="42">
        <f t="shared" ref="C20:C29" si="6">IF(SUM($B$20:$B$29)=0,0,B20/SUM($B$20:$B$29))</f>
        <v>0.4307116105</v>
      </c>
      <c r="D20" s="3" t="s">
        <v>475</v>
      </c>
      <c r="E20" s="10">
        <v>1.0</v>
      </c>
      <c r="F20" s="43">
        <f t="shared" ref="F20:F29" si="7">IF(E20=0,0,B20)</f>
        <v>115000000</v>
      </c>
      <c r="G20" s="43">
        <v>100000.0</v>
      </c>
      <c r="H20" s="43">
        <f t="shared" ref="H20:H29" si="8">IF(G20=0,0,F20/G20)</f>
        <v>1150</v>
      </c>
      <c r="I20" s="3"/>
      <c r="J20" s="3"/>
      <c r="K20" s="3"/>
      <c r="L20" s="3"/>
      <c r="M20" s="3"/>
      <c r="N20" s="3"/>
    </row>
    <row r="21" ht="15.75" customHeight="1">
      <c r="A21" s="3" t="s">
        <v>453</v>
      </c>
      <c r="B21" s="9">
        <v>8.2E7</v>
      </c>
      <c r="C21" s="42">
        <f t="shared" si="6"/>
        <v>0.3071161049</v>
      </c>
      <c r="D21" s="3" t="s">
        <v>459</v>
      </c>
      <c r="E21" s="10">
        <v>1.0</v>
      </c>
      <c r="F21" s="43">
        <f t="shared" si="7"/>
        <v>82000000</v>
      </c>
      <c r="G21" s="43">
        <v>100000.0</v>
      </c>
      <c r="H21" s="43">
        <f t="shared" si="8"/>
        <v>820</v>
      </c>
      <c r="I21" s="3"/>
      <c r="J21" s="3"/>
      <c r="K21" s="3"/>
      <c r="L21" s="3"/>
      <c r="M21" s="3"/>
      <c r="N21" s="3"/>
    </row>
    <row r="22" ht="15.75" customHeight="1">
      <c r="A22" s="3" t="s">
        <v>456</v>
      </c>
      <c r="B22" s="38">
        <v>1.05E7</v>
      </c>
      <c r="C22" s="42">
        <f t="shared" si="6"/>
        <v>0.0393258427</v>
      </c>
      <c r="D22" s="3" t="s">
        <v>476</v>
      </c>
      <c r="E22" s="10">
        <v>1.0</v>
      </c>
      <c r="F22" s="43">
        <f t="shared" si="7"/>
        <v>10500000</v>
      </c>
      <c r="G22" s="43">
        <v>100000.0</v>
      </c>
      <c r="H22" s="43">
        <f t="shared" si="8"/>
        <v>105</v>
      </c>
      <c r="I22" s="3"/>
      <c r="J22" s="3"/>
      <c r="K22" s="3"/>
      <c r="L22" s="3"/>
      <c r="M22" s="3"/>
      <c r="N22" s="3"/>
    </row>
    <row r="23" ht="15.75" customHeight="1">
      <c r="A23" s="3" t="s">
        <v>458</v>
      </c>
      <c r="B23" s="9">
        <v>3800000.0</v>
      </c>
      <c r="C23" s="42">
        <f t="shared" si="6"/>
        <v>0.01423220974</v>
      </c>
      <c r="D23" s="3" t="s">
        <v>477</v>
      </c>
      <c r="E23" s="10">
        <v>1.0</v>
      </c>
      <c r="F23" s="43">
        <f t="shared" si="7"/>
        <v>3800000</v>
      </c>
      <c r="G23" s="43">
        <v>100000.0</v>
      </c>
      <c r="H23" s="43">
        <f t="shared" si="8"/>
        <v>38</v>
      </c>
      <c r="I23" s="3"/>
      <c r="J23" s="3"/>
      <c r="K23" s="3"/>
      <c r="L23" s="3"/>
      <c r="M23" s="3"/>
      <c r="N23" s="3"/>
    </row>
    <row r="24" ht="15.75" customHeight="1">
      <c r="A24" s="3" t="s">
        <v>462</v>
      </c>
      <c r="B24" s="9">
        <v>1.2E7</v>
      </c>
      <c r="C24" s="42">
        <f t="shared" si="6"/>
        <v>0.04494382022</v>
      </c>
      <c r="D24" s="3" t="s">
        <v>463</v>
      </c>
      <c r="E24" s="10">
        <v>1.0</v>
      </c>
      <c r="F24" s="43">
        <f t="shared" si="7"/>
        <v>12000000</v>
      </c>
      <c r="G24" s="43">
        <v>100000.0</v>
      </c>
      <c r="H24" s="43">
        <f t="shared" si="8"/>
        <v>120</v>
      </c>
      <c r="I24" s="3"/>
      <c r="J24" s="3"/>
      <c r="K24" s="3"/>
      <c r="L24" s="3"/>
      <c r="M24" s="3"/>
      <c r="N24" s="3"/>
    </row>
    <row r="25" ht="15.75" customHeight="1">
      <c r="A25" s="3" t="s">
        <v>478</v>
      </c>
      <c r="B25" s="9">
        <v>9000000.0</v>
      </c>
      <c r="C25" s="42">
        <f t="shared" si="6"/>
        <v>0.03370786517</v>
      </c>
      <c r="D25" s="3" t="s">
        <v>463</v>
      </c>
      <c r="E25" s="10">
        <v>1.0</v>
      </c>
      <c r="F25" s="43">
        <f t="shared" si="7"/>
        <v>9000000</v>
      </c>
      <c r="G25" s="43">
        <v>100000.0</v>
      </c>
      <c r="H25" s="43">
        <f t="shared" si="8"/>
        <v>90</v>
      </c>
      <c r="I25" s="3"/>
      <c r="J25" s="3"/>
      <c r="K25" s="3"/>
      <c r="L25" s="3"/>
      <c r="M25" s="3"/>
      <c r="N25" s="3"/>
    </row>
    <row r="26" ht="15.75" customHeight="1">
      <c r="A26" s="3" t="s">
        <v>465</v>
      </c>
      <c r="B26" s="9">
        <v>1.4E7</v>
      </c>
      <c r="C26" s="42">
        <f t="shared" si="6"/>
        <v>0.05243445693</v>
      </c>
      <c r="D26" s="3" t="s">
        <v>466</v>
      </c>
      <c r="E26" s="10">
        <v>1.0</v>
      </c>
      <c r="F26" s="43">
        <f t="shared" si="7"/>
        <v>14000000</v>
      </c>
      <c r="G26" s="43">
        <v>100000.0</v>
      </c>
      <c r="H26" s="43">
        <f t="shared" si="8"/>
        <v>140</v>
      </c>
      <c r="I26" s="3"/>
      <c r="J26" s="3"/>
      <c r="K26" s="3"/>
      <c r="L26" s="3"/>
      <c r="M26" s="3"/>
      <c r="N26" s="3"/>
    </row>
    <row r="27" ht="15.75" customHeight="1">
      <c r="A27" s="3" t="s">
        <v>467</v>
      </c>
      <c r="B27" s="9">
        <v>1200000.0</v>
      </c>
      <c r="C27" s="42">
        <f t="shared" si="6"/>
        <v>0.004494382022</v>
      </c>
      <c r="D27" s="3" t="s">
        <v>479</v>
      </c>
      <c r="E27" s="10">
        <v>1.0</v>
      </c>
      <c r="F27" s="43">
        <f t="shared" si="7"/>
        <v>1200000</v>
      </c>
      <c r="G27" s="43">
        <v>100000.0</v>
      </c>
      <c r="H27" s="43">
        <f t="shared" si="8"/>
        <v>12</v>
      </c>
      <c r="I27" s="3"/>
      <c r="J27" s="3"/>
      <c r="K27" s="3"/>
      <c r="L27" s="3"/>
      <c r="M27" s="3"/>
      <c r="N27" s="3"/>
    </row>
    <row r="28" ht="15.75" customHeight="1">
      <c r="A28" s="3" t="s">
        <v>480</v>
      </c>
      <c r="B28" s="9">
        <v>7500000.0</v>
      </c>
      <c r="C28" s="42">
        <f t="shared" si="6"/>
        <v>0.02808988764</v>
      </c>
      <c r="D28" s="3" t="s">
        <v>481</v>
      </c>
      <c r="E28" s="10">
        <v>1.0</v>
      </c>
      <c r="F28" s="43">
        <f t="shared" si="7"/>
        <v>7500000</v>
      </c>
      <c r="G28" s="43">
        <v>100000.0</v>
      </c>
      <c r="H28" s="43">
        <f t="shared" si="8"/>
        <v>75</v>
      </c>
      <c r="I28" s="3"/>
      <c r="J28" s="3"/>
      <c r="K28" s="3"/>
      <c r="L28" s="3"/>
      <c r="M28" s="3"/>
      <c r="N28" s="3"/>
    </row>
    <row r="29" ht="15.75" customHeight="1">
      <c r="A29" s="3" t="s">
        <v>482</v>
      </c>
      <c r="B29" s="9">
        <v>1.2E7</v>
      </c>
      <c r="C29" s="42">
        <f t="shared" si="6"/>
        <v>0.04494382022</v>
      </c>
      <c r="D29" s="3" t="s">
        <v>483</v>
      </c>
      <c r="E29" s="10">
        <v>1.0</v>
      </c>
      <c r="F29" s="43">
        <f t="shared" si="7"/>
        <v>12000000</v>
      </c>
      <c r="G29" s="43">
        <v>100000.0</v>
      </c>
      <c r="H29" s="43">
        <f t="shared" si="8"/>
        <v>120</v>
      </c>
      <c r="I29" s="3"/>
      <c r="J29" s="3"/>
      <c r="K29" s="3"/>
      <c r="L29" s="3"/>
      <c r="M29" s="3"/>
      <c r="N29" s="3"/>
    </row>
    <row r="30" ht="15.75" customHeight="1">
      <c r="A30" s="44" t="s">
        <v>447</v>
      </c>
      <c r="B30" s="45"/>
      <c r="C30" s="46"/>
      <c r="D30" s="44"/>
      <c r="E30" s="47"/>
      <c r="F30" s="43">
        <f>SUM(F20:F29)</f>
        <v>267000000</v>
      </c>
      <c r="G30" s="43">
        <v>100000.0</v>
      </c>
      <c r="H30" s="43">
        <f>F30/G30</f>
        <v>2670</v>
      </c>
      <c r="I30" s="3"/>
      <c r="J30" s="3"/>
      <c r="K30" s="3"/>
      <c r="L30" s="3"/>
      <c r="M30" s="3"/>
      <c r="N30" s="3"/>
    </row>
    <row r="31" ht="15.75" customHeight="1">
      <c r="A31" s="3"/>
      <c r="B31" s="9"/>
      <c r="C31" s="42"/>
      <c r="D31" s="3"/>
      <c r="E31" s="10"/>
      <c r="F31" s="43"/>
      <c r="G31" s="43"/>
      <c r="H31" s="43"/>
      <c r="I31" s="3"/>
      <c r="J31" s="3"/>
      <c r="K31" s="3"/>
      <c r="L31" s="3"/>
      <c r="M31" s="3"/>
      <c r="N31" s="3"/>
    </row>
    <row r="32" ht="15.75" customHeight="1">
      <c r="A32" s="3"/>
      <c r="B32" s="9"/>
      <c r="C32" s="42"/>
      <c r="D32" s="3"/>
      <c r="E32" s="10"/>
      <c r="F32" s="43"/>
      <c r="G32" s="43"/>
      <c r="H32" s="43"/>
      <c r="I32" s="3"/>
      <c r="J32" s="3"/>
      <c r="K32" s="3"/>
      <c r="L32" s="3"/>
      <c r="M32" s="3"/>
      <c r="N32" s="3"/>
    </row>
    <row r="33" ht="15.75" customHeight="1">
      <c r="A33" s="2" t="s">
        <v>484</v>
      </c>
      <c r="I33" s="3"/>
      <c r="J33" s="3"/>
      <c r="K33" s="3"/>
      <c r="L33" s="3"/>
      <c r="M33" s="3"/>
      <c r="N33" s="3"/>
    </row>
    <row r="34" ht="15.75" customHeight="1">
      <c r="A34" s="41" t="s">
        <v>442</v>
      </c>
      <c r="B34" s="45" t="s">
        <v>443</v>
      </c>
      <c r="C34" s="48" t="s">
        <v>444</v>
      </c>
      <c r="D34" s="41" t="s">
        <v>445</v>
      </c>
      <c r="E34" s="47" t="s">
        <v>446</v>
      </c>
      <c r="F34" s="49" t="s">
        <v>447</v>
      </c>
      <c r="G34" s="49" t="s">
        <v>448</v>
      </c>
      <c r="H34" s="49" t="s">
        <v>449</v>
      </c>
      <c r="I34" s="3"/>
      <c r="J34" s="3"/>
      <c r="K34" s="3"/>
      <c r="L34" s="3"/>
      <c r="M34" s="3"/>
      <c r="N34" s="3"/>
    </row>
    <row r="35" ht="15.75" customHeight="1">
      <c r="A35" s="3" t="s">
        <v>485</v>
      </c>
      <c r="B35" s="38">
        <v>1.5E7</v>
      </c>
      <c r="C35" s="42">
        <f t="shared" ref="C35:C42" si="9">IF(SUM($B$35:$B$42)=0,0,B35/SUM($B$35:$B$42))</f>
        <v>0.6172839506</v>
      </c>
      <c r="D35" s="3" t="s">
        <v>486</v>
      </c>
      <c r="E35" s="10">
        <v>1.0</v>
      </c>
      <c r="F35" s="43">
        <f t="shared" ref="F35:F42" si="10">IF(E35=0,0,B35)</f>
        <v>15000000</v>
      </c>
      <c r="G35" s="43">
        <v>3500.0</v>
      </c>
      <c r="H35" s="43">
        <f t="shared" ref="H35:H42" si="11">IF(G35=0,0,F35/G35)</f>
        <v>4285.714286</v>
      </c>
      <c r="I35" s="3"/>
      <c r="J35" s="3"/>
      <c r="K35" s="3"/>
      <c r="L35" s="3"/>
      <c r="M35" s="3"/>
      <c r="N35" s="3"/>
    </row>
    <row r="36" ht="15.75" customHeight="1">
      <c r="A36" s="3" t="s">
        <v>288</v>
      </c>
      <c r="B36" s="9">
        <v>1800000.0</v>
      </c>
      <c r="C36" s="42">
        <f t="shared" si="9"/>
        <v>0.07407407407</v>
      </c>
      <c r="D36" s="3" t="s">
        <v>487</v>
      </c>
      <c r="E36" s="10">
        <v>1.0</v>
      </c>
      <c r="F36" s="43">
        <f t="shared" si="10"/>
        <v>1800000</v>
      </c>
      <c r="G36" s="43">
        <v>3500.0</v>
      </c>
      <c r="H36" s="43">
        <f t="shared" si="11"/>
        <v>514.2857143</v>
      </c>
      <c r="I36" s="3"/>
      <c r="J36" s="3"/>
      <c r="K36" s="3"/>
      <c r="L36" s="3"/>
      <c r="M36" s="3"/>
      <c r="N36" s="3"/>
    </row>
    <row r="37" ht="15.75" customHeight="1">
      <c r="A37" s="3" t="s">
        <v>488</v>
      </c>
      <c r="B37" s="38">
        <v>2000000.0</v>
      </c>
      <c r="C37" s="42">
        <f t="shared" si="9"/>
        <v>0.08230452675</v>
      </c>
      <c r="D37" s="3" t="s">
        <v>463</v>
      </c>
      <c r="E37" s="10">
        <v>1.0</v>
      </c>
      <c r="F37" s="43">
        <f t="shared" si="10"/>
        <v>2000000</v>
      </c>
      <c r="G37" s="43">
        <v>3500.0</v>
      </c>
      <c r="H37" s="43">
        <f t="shared" si="11"/>
        <v>571.4285714</v>
      </c>
      <c r="I37" s="3"/>
      <c r="J37" s="3"/>
      <c r="K37" s="3"/>
      <c r="L37" s="3"/>
      <c r="M37" s="3"/>
      <c r="N37" s="3"/>
    </row>
    <row r="38" ht="15.75" customHeight="1">
      <c r="A38" s="3" t="s">
        <v>489</v>
      </c>
      <c r="B38" s="9">
        <v>350000.0</v>
      </c>
      <c r="C38" s="42">
        <f t="shared" si="9"/>
        <v>0.01440329218</v>
      </c>
      <c r="D38" s="3" t="s">
        <v>463</v>
      </c>
      <c r="E38" s="10">
        <v>1.0</v>
      </c>
      <c r="F38" s="43">
        <f t="shared" si="10"/>
        <v>350000</v>
      </c>
      <c r="G38" s="43">
        <v>3500.0</v>
      </c>
      <c r="H38" s="43">
        <f t="shared" si="11"/>
        <v>100</v>
      </c>
      <c r="I38" s="3"/>
      <c r="J38" s="3"/>
      <c r="K38" s="3"/>
      <c r="L38" s="3"/>
      <c r="M38" s="3"/>
      <c r="N38" s="3"/>
    </row>
    <row r="39" ht="15.75" customHeight="1">
      <c r="A39" s="3" t="s">
        <v>465</v>
      </c>
      <c r="B39" s="9">
        <v>1650000.0</v>
      </c>
      <c r="C39" s="42">
        <f t="shared" si="9"/>
        <v>0.06790123457</v>
      </c>
      <c r="D39" s="3" t="s">
        <v>466</v>
      </c>
      <c r="E39" s="10">
        <v>1.0</v>
      </c>
      <c r="F39" s="43">
        <f t="shared" si="10"/>
        <v>1650000</v>
      </c>
      <c r="G39" s="43">
        <v>3500.0</v>
      </c>
      <c r="H39" s="43">
        <f t="shared" si="11"/>
        <v>471.4285714</v>
      </c>
      <c r="I39" s="3"/>
      <c r="J39" s="3"/>
      <c r="K39" s="3"/>
      <c r="L39" s="3"/>
      <c r="M39" s="3"/>
      <c r="N39" s="3"/>
    </row>
    <row r="40" ht="15.75" customHeight="1">
      <c r="A40" s="3" t="s">
        <v>467</v>
      </c>
      <c r="B40" s="9">
        <v>350000.0</v>
      </c>
      <c r="C40" s="42">
        <f t="shared" si="9"/>
        <v>0.01440329218</v>
      </c>
      <c r="D40" s="3" t="s">
        <v>479</v>
      </c>
      <c r="E40" s="10">
        <v>1.0</v>
      </c>
      <c r="F40" s="43">
        <f t="shared" si="10"/>
        <v>350000</v>
      </c>
      <c r="G40" s="43">
        <v>3500.0</v>
      </c>
      <c r="H40" s="43">
        <f t="shared" si="11"/>
        <v>100</v>
      </c>
      <c r="I40" s="3"/>
      <c r="J40" s="3"/>
      <c r="K40" s="3"/>
      <c r="L40" s="3"/>
      <c r="M40" s="3"/>
      <c r="N40" s="3"/>
    </row>
    <row r="41" ht="15.75" customHeight="1">
      <c r="A41" s="3" t="s">
        <v>490</v>
      </c>
      <c r="B41" s="38">
        <v>2500000.0</v>
      </c>
      <c r="C41" s="42">
        <f t="shared" si="9"/>
        <v>0.1028806584</v>
      </c>
      <c r="D41" s="3" t="s">
        <v>491</v>
      </c>
      <c r="E41" s="10">
        <v>1.0</v>
      </c>
      <c r="F41" s="43">
        <f t="shared" si="10"/>
        <v>2500000</v>
      </c>
      <c r="G41" s="43">
        <v>3500.0</v>
      </c>
      <c r="H41" s="43">
        <f t="shared" si="11"/>
        <v>714.2857143</v>
      </c>
      <c r="I41" s="3"/>
      <c r="J41" s="3"/>
      <c r="K41" s="3"/>
      <c r="L41" s="3"/>
      <c r="M41" s="3"/>
      <c r="N41" s="3"/>
    </row>
    <row r="42" ht="15.75" customHeight="1">
      <c r="A42" s="3" t="s">
        <v>471</v>
      </c>
      <c r="B42" s="9">
        <v>650000.0</v>
      </c>
      <c r="C42" s="42">
        <f t="shared" si="9"/>
        <v>0.02674897119</v>
      </c>
      <c r="D42" s="3" t="s">
        <v>492</v>
      </c>
      <c r="E42" s="10">
        <v>1.0</v>
      </c>
      <c r="F42" s="43">
        <f t="shared" si="10"/>
        <v>650000</v>
      </c>
      <c r="G42" s="43">
        <v>3500.0</v>
      </c>
      <c r="H42" s="43">
        <f t="shared" si="11"/>
        <v>185.7142857</v>
      </c>
      <c r="I42" s="3"/>
      <c r="J42" s="3"/>
      <c r="K42" s="3"/>
      <c r="L42" s="3"/>
      <c r="M42" s="3"/>
      <c r="N42" s="3"/>
    </row>
    <row r="43" ht="15.75" customHeight="1">
      <c r="A43" s="44" t="s">
        <v>447</v>
      </c>
      <c r="B43" s="50"/>
      <c r="C43" s="46"/>
      <c r="D43" s="44"/>
      <c r="E43" s="44"/>
      <c r="F43" s="43">
        <f>SUM(F35:F42)</f>
        <v>24300000</v>
      </c>
      <c r="G43" s="43">
        <v>3500.0</v>
      </c>
      <c r="H43" s="43">
        <f>F43/G43</f>
        <v>6942.857143</v>
      </c>
      <c r="I43" s="3"/>
      <c r="J43" s="3"/>
      <c r="K43" s="3"/>
      <c r="L43" s="3"/>
      <c r="M43" s="3"/>
      <c r="N43" s="3"/>
    </row>
    <row r="44" ht="15.75" customHeight="1">
      <c r="C44" s="27"/>
    </row>
    <row r="45" ht="15.75" customHeight="1">
      <c r="C45" s="27"/>
    </row>
    <row r="46" ht="15.75" customHeight="1">
      <c r="C46" s="27"/>
    </row>
    <row r="47" ht="15.75" customHeight="1">
      <c r="C47" s="27"/>
    </row>
    <row r="48" ht="15.75" customHeight="1">
      <c r="C48" s="27"/>
    </row>
    <row r="49" ht="15.75" customHeight="1">
      <c r="C49" s="27"/>
    </row>
    <row r="50" ht="15.75" customHeight="1">
      <c r="C50" s="27"/>
    </row>
    <row r="51" ht="15.75" customHeight="1">
      <c r="C51" s="27"/>
    </row>
    <row r="52" ht="15.75" customHeight="1">
      <c r="C52" s="27"/>
    </row>
    <row r="53" ht="15.75" customHeight="1">
      <c r="C53" s="27"/>
    </row>
    <row r="54" ht="15.75" customHeight="1">
      <c r="C54" s="27"/>
    </row>
    <row r="55" ht="15.75" customHeight="1">
      <c r="C55" s="27"/>
    </row>
    <row r="56" ht="15.75" customHeight="1">
      <c r="C56" s="27"/>
    </row>
    <row r="57" ht="15.75" customHeight="1">
      <c r="C57" s="27"/>
    </row>
    <row r="58" ht="15.75" customHeight="1">
      <c r="C58" s="27"/>
    </row>
    <row r="59" ht="15.75" customHeight="1">
      <c r="C59" s="27"/>
    </row>
    <row r="60" ht="15.75" customHeight="1">
      <c r="C60" s="27"/>
    </row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5">
    <mergeCell ref="A1:H1"/>
    <mergeCell ref="A3:H3"/>
    <mergeCell ref="J3:N3"/>
    <mergeCell ref="A18:H18"/>
    <mergeCell ref="A33:H33"/>
  </mergeCells>
  <printOptions/>
  <pageMargins bottom="0.75" footer="0.0" header="0.0" left="0.7" right="0.7" top="0.75"/>
  <pageSetup orientation="landscape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28.0"/>
    <col customWidth="1" min="2" max="3" width="18.0"/>
    <col customWidth="1" min="4" max="4" width="12.0"/>
    <col customWidth="1" min="5" max="5" width="14.0"/>
    <col customWidth="1" min="6" max="6" width="22.0"/>
    <col customWidth="1" min="7" max="7" width="28.0"/>
    <col customWidth="1" min="8" max="62" width="8.63"/>
  </cols>
  <sheetData>
    <row r="1">
      <c r="A1" s="25" t="s">
        <v>493</v>
      </c>
    </row>
    <row r="3">
      <c r="A3" s="4" t="s">
        <v>166</v>
      </c>
      <c r="B3" s="4" t="s">
        <v>167</v>
      </c>
      <c r="C3" s="30">
        <v>46113.0</v>
      </c>
      <c r="D3" s="30">
        <v>46143.0</v>
      </c>
      <c r="E3" s="30">
        <v>46174.0</v>
      </c>
      <c r="F3" s="30">
        <v>46204.0</v>
      </c>
      <c r="G3" s="30">
        <v>46235.0</v>
      </c>
      <c r="H3" s="30">
        <v>46266.0</v>
      </c>
      <c r="I3" s="30">
        <v>46296.0</v>
      </c>
      <c r="J3" s="30">
        <v>46327.0</v>
      </c>
      <c r="K3" s="30">
        <v>46357.0</v>
      </c>
      <c r="L3" s="30">
        <v>46388.0</v>
      </c>
      <c r="M3" s="30">
        <v>46419.0</v>
      </c>
      <c r="N3" s="30">
        <v>46447.0</v>
      </c>
      <c r="O3" s="30">
        <v>46478.0</v>
      </c>
      <c r="P3" s="30">
        <v>46508.0</v>
      </c>
      <c r="Q3" s="30">
        <v>46539.0</v>
      </c>
      <c r="R3" s="30">
        <v>46569.0</v>
      </c>
      <c r="S3" s="30">
        <v>46600.0</v>
      </c>
      <c r="T3" s="30">
        <v>46631.0</v>
      </c>
      <c r="U3" s="30">
        <v>46661.0</v>
      </c>
      <c r="V3" s="30">
        <v>46692.0</v>
      </c>
      <c r="W3" s="30">
        <v>46722.0</v>
      </c>
      <c r="X3" s="30">
        <v>46753.0</v>
      </c>
      <c r="Y3" s="30">
        <v>46784.0</v>
      </c>
      <c r="Z3" s="30">
        <v>46813.0</v>
      </c>
      <c r="AA3" s="30">
        <v>46844.0</v>
      </c>
      <c r="AB3" s="30">
        <v>46874.0</v>
      </c>
      <c r="AC3" s="30">
        <v>46905.0</v>
      </c>
      <c r="AD3" s="30">
        <v>46935.0</v>
      </c>
      <c r="AE3" s="30">
        <v>46966.0</v>
      </c>
      <c r="AF3" s="30">
        <v>46997.0</v>
      </c>
      <c r="AG3" s="30">
        <v>47027.0</v>
      </c>
      <c r="AH3" s="30">
        <v>47058.0</v>
      </c>
      <c r="AI3" s="30">
        <v>47088.0</v>
      </c>
      <c r="AJ3" s="30">
        <v>47119.0</v>
      </c>
      <c r="AK3" s="30">
        <v>47150.0</v>
      </c>
      <c r="AL3" s="30">
        <v>47178.0</v>
      </c>
      <c r="AM3" s="30">
        <v>47209.0</v>
      </c>
      <c r="AN3" s="30">
        <v>47239.0</v>
      </c>
      <c r="AO3" s="30">
        <v>47270.0</v>
      </c>
      <c r="AP3" s="30">
        <v>47300.0</v>
      </c>
      <c r="AQ3" s="30">
        <v>47331.0</v>
      </c>
      <c r="AR3" s="30">
        <v>47362.0</v>
      </c>
      <c r="AS3" s="30">
        <v>47392.0</v>
      </c>
      <c r="AT3" s="30">
        <v>47423.0</v>
      </c>
      <c r="AU3" s="30">
        <v>47453.0</v>
      </c>
      <c r="AV3" s="30">
        <v>47484.0</v>
      </c>
      <c r="AW3" s="30">
        <v>47515.0</v>
      </c>
      <c r="AX3" s="30">
        <v>47543.0</v>
      </c>
      <c r="AY3" s="30">
        <v>47574.0</v>
      </c>
      <c r="AZ3" s="30">
        <v>47604.0</v>
      </c>
      <c r="BA3" s="30">
        <v>47635.0</v>
      </c>
      <c r="BB3" s="30">
        <v>47665.0</v>
      </c>
      <c r="BC3" s="30">
        <v>47696.0</v>
      </c>
      <c r="BD3" s="30">
        <v>47727.0</v>
      </c>
      <c r="BE3" s="30">
        <v>47757.0</v>
      </c>
      <c r="BF3" s="30">
        <v>47788.0</v>
      </c>
      <c r="BG3" s="30">
        <v>47818.0</v>
      </c>
      <c r="BH3" s="30">
        <v>47849.0</v>
      </c>
      <c r="BI3" s="30">
        <v>47880.0</v>
      </c>
      <c r="BJ3" s="30">
        <v>47908.0</v>
      </c>
    </row>
    <row r="4">
      <c r="A4" s="51" t="s">
        <v>494</v>
      </c>
      <c r="B4" s="51" t="s">
        <v>495</v>
      </c>
      <c r="C4" s="22">
        <v>1.0</v>
      </c>
      <c r="D4" s="22">
        <v>2.0</v>
      </c>
      <c r="E4" s="22">
        <v>3.0</v>
      </c>
      <c r="F4" s="22">
        <v>4.0</v>
      </c>
      <c r="G4" s="22">
        <v>5.0</v>
      </c>
      <c r="H4" s="22">
        <v>6.0</v>
      </c>
      <c r="I4" s="22">
        <v>7.0</v>
      </c>
      <c r="J4" s="22">
        <v>8.0</v>
      </c>
      <c r="K4" s="22">
        <v>9.0</v>
      </c>
      <c r="L4" s="22">
        <v>10.0</v>
      </c>
      <c r="M4" s="22">
        <v>11.0</v>
      </c>
      <c r="N4" s="22">
        <v>12.0</v>
      </c>
      <c r="O4" s="22">
        <v>13.0</v>
      </c>
      <c r="P4" s="22">
        <v>14.0</v>
      </c>
      <c r="Q4" s="22">
        <v>15.0</v>
      </c>
      <c r="R4" s="22">
        <v>16.0</v>
      </c>
      <c r="S4" s="22">
        <v>17.0</v>
      </c>
      <c r="T4" s="22">
        <v>18.0</v>
      </c>
      <c r="U4" s="22">
        <v>19.0</v>
      </c>
      <c r="V4" s="22">
        <v>20.0</v>
      </c>
      <c r="W4" s="22">
        <v>21.0</v>
      </c>
      <c r="X4" s="22">
        <v>22.0</v>
      </c>
      <c r="Y4" s="22">
        <v>23.0</v>
      </c>
      <c r="Z4" s="22">
        <v>24.0</v>
      </c>
      <c r="AA4" s="22">
        <v>25.0</v>
      </c>
      <c r="AB4" s="22">
        <v>26.0</v>
      </c>
      <c r="AC4" s="22">
        <v>27.0</v>
      </c>
      <c r="AD4" s="22">
        <v>28.0</v>
      </c>
      <c r="AE4" s="22">
        <v>29.0</v>
      </c>
      <c r="AF4" s="22">
        <v>30.0</v>
      </c>
      <c r="AG4" s="22">
        <v>31.0</v>
      </c>
      <c r="AH4" s="22">
        <v>32.0</v>
      </c>
      <c r="AI4" s="22">
        <v>33.0</v>
      </c>
      <c r="AJ4" s="22">
        <v>34.0</v>
      </c>
      <c r="AK4" s="22">
        <v>35.0</v>
      </c>
      <c r="AL4" s="22">
        <v>36.0</v>
      </c>
      <c r="AM4" s="22">
        <v>37.0</v>
      </c>
      <c r="AN4" s="22">
        <v>38.0</v>
      </c>
      <c r="AO4" s="22">
        <v>39.0</v>
      </c>
      <c r="AP4" s="22">
        <v>40.0</v>
      </c>
      <c r="AQ4" s="22">
        <v>41.0</v>
      </c>
      <c r="AR4" s="22">
        <v>42.0</v>
      </c>
      <c r="AS4" s="22">
        <v>43.0</v>
      </c>
      <c r="AT4" s="22">
        <v>44.0</v>
      </c>
      <c r="AU4" s="22">
        <v>45.0</v>
      </c>
      <c r="AV4" s="22">
        <v>46.0</v>
      </c>
      <c r="AW4" s="22">
        <v>47.0</v>
      </c>
      <c r="AX4" s="22">
        <v>48.0</v>
      </c>
      <c r="AY4" s="22">
        <v>49.0</v>
      </c>
      <c r="AZ4" s="22">
        <v>50.0</v>
      </c>
      <c r="BA4" s="22">
        <v>51.0</v>
      </c>
      <c r="BB4" s="22">
        <v>52.0</v>
      </c>
      <c r="BC4" s="22">
        <v>53.0</v>
      </c>
      <c r="BD4" s="22">
        <v>54.0</v>
      </c>
      <c r="BE4" s="22">
        <v>55.0</v>
      </c>
      <c r="BF4" s="22">
        <v>56.0</v>
      </c>
      <c r="BG4" s="22">
        <v>57.0</v>
      </c>
      <c r="BH4" s="22">
        <v>58.0</v>
      </c>
      <c r="BI4" s="22">
        <v>59.0</v>
      </c>
      <c r="BJ4" s="22">
        <v>60.0</v>
      </c>
    </row>
    <row r="5">
      <c r="A5" s="51" t="s">
        <v>496</v>
      </c>
      <c r="B5" s="51" t="s">
        <v>169</v>
      </c>
      <c r="C5" s="27">
        <v>0.2</v>
      </c>
      <c r="D5" s="27">
        <v>0.35</v>
      </c>
      <c r="E5" s="27">
        <v>0.25</v>
      </c>
      <c r="F5" s="27">
        <v>0.2</v>
      </c>
      <c r="G5" s="27">
        <v>0.0</v>
      </c>
      <c r="H5" s="27">
        <v>0.0</v>
      </c>
      <c r="I5" s="27">
        <v>0.0</v>
      </c>
      <c r="J5" s="27">
        <v>0.0</v>
      </c>
      <c r="K5" s="27">
        <v>0.0</v>
      </c>
      <c r="L5" s="27">
        <v>0.0</v>
      </c>
      <c r="M5" s="27">
        <v>0.0</v>
      </c>
      <c r="N5" s="27">
        <v>0.0</v>
      </c>
      <c r="O5" s="27">
        <v>0.0</v>
      </c>
      <c r="P5" s="27">
        <v>0.0</v>
      </c>
      <c r="Q5" s="27">
        <v>0.0</v>
      </c>
      <c r="R5" s="27">
        <v>0.0</v>
      </c>
      <c r="S5" s="27">
        <v>0.0</v>
      </c>
      <c r="T5" s="27">
        <v>0.0</v>
      </c>
      <c r="U5" s="27">
        <v>0.0</v>
      </c>
      <c r="V5" s="27">
        <v>0.0</v>
      </c>
      <c r="W5" s="27">
        <v>0.0</v>
      </c>
      <c r="X5" s="27">
        <v>0.0</v>
      </c>
      <c r="Y5" s="27">
        <v>0.0</v>
      </c>
      <c r="Z5" s="27">
        <v>0.0</v>
      </c>
      <c r="AA5" s="27">
        <v>0.0</v>
      </c>
      <c r="AB5" s="27">
        <v>0.0</v>
      </c>
      <c r="AC5" s="27">
        <v>0.0</v>
      </c>
      <c r="AD5" s="27">
        <v>0.0</v>
      </c>
      <c r="AE5" s="27">
        <v>0.0</v>
      </c>
      <c r="AF5" s="27">
        <v>0.0</v>
      </c>
      <c r="AG5" s="27">
        <v>0.0</v>
      </c>
      <c r="AH5" s="27">
        <v>0.0</v>
      </c>
      <c r="AI5" s="27">
        <v>0.0</v>
      </c>
      <c r="AJ5" s="27">
        <v>0.0</v>
      </c>
      <c r="AK5" s="27">
        <v>0.0</v>
      </c>
      <c r="AL5" s="27">
        <v>0.0</v>
      </c>
      <c r="AM5" s="27">
        <v>0.0</v>
      </c>
      <c r="AN5" s="27">
        <v>0.0</v>
      </c>
      <c r="AO5" s="27">
        <v>0.0</v>
      </c>
      <c r="AP5" s="27">
        <v>0.0</v>
      </c>
      <c r="AQ5" s="27">
        <v>0.0</v>
      </c>
      <c r="AR5" s="27">
        <v>0.0</v>
      </c>
      <c r="AS5" s="27">
        <v>0.0</v>
      </c>
      <c r="AT5" s="27">
        <v>0.0</v>
      </c>
      <c r="AU5" s="27">
        <v>0.0</v>
      </c>
      <c r="AV5" s="27">
        <v>0.0</v>
      </c>
      <c r="AW5" s="27">
        <v>0.0</v>
      </c>
      <c r="AX5" s="27">
        <v>0.0</v>
      </c>
      <c r="AY5" s="27">
        <v>0.0</v>
      </c>
      <c r="AZ5" s="27">
        <v>0.0</v>
      </c>
      <c r="BA5" s="27">
        <v>0.0</v>
      </c>
      <c r="BB5" s="27">
        <v>0.0</v>
      </c>
      <c r="BC5" s="27">
        <v>0.0</v>
      </c>
      <c r="BD5" s="27">
        <v>0.0</v>
      </c>
      <c r="BE5" s="27">
        <v>0.0</v>
      </c>
      <c r="BF5" s="27">
        <v>0.0</v>
      </c>
      <c r="BG5" s="27">
        <v>0.0</v>
      </c>
      <c r="BH5" s="27">
        <v>0.0</v>
      </c>
      <c r="BI5" s="27">
        <v>0.0</v>
      </c>
      <c r="BJ5" s="27">
        <v>0.0</v>
      </c>
    </row>
    <row r="6">
      <c r="A6" s="51" t="s">
        <v>497</v>
      </c>
      <c r="B6" s="51" t="s">
        <v>498</v>
      </c>
      <c r="C6" s="27">
        <v>0.5</v>
      </c>
      <c r="D6" s="27">
        <v>0.5</v>
      </c>
      <c r="E6" s="27">
        <v>0.0</v>
      </c>
      <c r="F6" s="27">
        <v>0.0</v>
      </c>
      <c r="G6" s="27">
        <v>0.0</v>
      </c>
      <c r="H6" s="27">
        <v>0.0</v>
      </c>
      <c r="I6" s="27">
        <v>0.0</v>
      </c>
      <c r="J6" s="27">
        <v>0.0</v>
      </c>
      <c r="K6" s="27">
        <v>0.0</v>
      </c>
      <c r="L6" s="27">
        <v>0.0</v>
      </c>
      <c r="M6" s="27">
        <v>0.0</v>
      </c>
      <c r="N6" s="27">
        <v>0.0</v>
      </c>
      <c r="O6" s="27">
        <v>0.0</v>
      </c>
      <c r="P6" s="27">
        <v>0.0</v>
      </c>
      <c r="Q6" s="27">
        <v>0.0</v>
      </c>
      <c r="R6" s="27">
        <v>0.0</v>
      </c>
      <c r="S6" s="27">
        <v>0.0</v>
      </c>
      <c r="T6" s="27">
        <v>0.0</v>
      </c>
      <c r="U6" s="27">
        <v>0.0</v>
      </c>
      <c r="V6" s="27">
        <v>0.0</v>
      </c>
      <c r="W6" s="27">
        <v>0.0</v>
      </c>
      <c r="X6" s="27">
        <v>0.0</v>
      </c>
      <c r="Y6" s="27">
        <v>0.0</v>
      </c>
      <c r="Z6" s="27">
        <v>0.0</v>
      </c>
      <c r="AA6" s="27">
        <v>0.0</v>
      </c>
      <c r="AB6" s="27">
        <v>0.0</v>
      </c>
      <c r="AC6" s="27">
        <v>0.0</v>
      </c>
      <c r="AD6" s="27">
        <v>0.0</v>
      </c>
      <c r="AE6" s="27">
        <v>0.0</v>
      </c>
      <c r="AF6" s="27">
        <v>0.0</v>
      </c>
      <c r="AG6" s="27">
        <v>0.0</v>
      </c>
      <c r="AH6" s="27">
        <v>0.0</v>
      </c>
      <c r="AI6" s="27">
        <v>0.0</v>
      </c>
      <c r="AJ6" s="27">
        <v>0.0</v>
      </c>
      <c r="AK6" s="27">
        <v>0.0</v>
      </c>
      <c r="AL6" s="27">
        <v>0.0</v>
      </c>
      <c r="AM6" s="27">
        <v>0.0</v>
      </c>
      <c r="AN6" s="27">
        <v>0.0</v>
      </c>
      <c r="AO6" s="27">
        <v>0.0</v>
      </c>
      <c r="AP6" s="27">
        <v>0.0</v>
      </c>
      <c r="AQ6" s="27">
        <v>0.0</v>
      </c>
      <c r="AR6" s="27">
        <v>0.0</v>
      </c>
      <c r="AS6" s="27">
        <v>0.0</v>
      </c>
      <c r="AT6" s="27">
        <v>0.0</v>
      </c>
      <c r="AU6" s="27">
        <v>0.0</v>
      </c>
      <c r="AV6" s="27">
        <v>0.0</v>
      </c>
      <c r="AW6" s="27">
        <v>0.0</v>
      </c>
      <c r="AX6" s="27">
        <v>0.0</v>
      </c>
      <c r="AY6" s="27">
        <v>0.0</v>
      </c>
      <c r="AZ6" s="27">
        <v>0.0</v>
      </c>
      <c r="BA6" s="27">
        <v>0.0</v>
      </c>
      <c r="BB6" s="27">
        <v>0.0</v>
      </c>
      <c r="BC6" s="27">
        <v>0.0</v>
      </c>
      <c r="BD6" s="27">
        <v>0.0</v>
      </c>
      <c r="BE6" s="27">
        <v>0.0</v>
      </c>
      <c r="BF6" s="27">
        <v>0.0</v>
      </c>
      <c r="BG6" s="27">
        <v>0.0</v>
      </c>
      <c r="BH6" s="27">
        <v>0.0</v>
      </c>
      <c r="BI6" s="27">
        <v>0.0</v>
      </c>
      <c r="BJ6" s="27">
        <v>0.0</v>
      </c>
    </row>
    <row r="7">
      <c r="A7" s="51" t="s">
        <v>499</v>
      </c>
      <c r="B7" s="51" t="s">
        <v>500</v>
      </c>
      <c r="C7" s="27">
        <v>0.0</v>
      </c>
      <c r="D7" s="27">
        <v>0.0</v>
      </c>
      <c r="E7" s="27">
        <v>0.5</v>
      </c>
      <c r="F7" s="27">
        <v>0.8</v>
      </c>
      <c r="G7" s="27">
        <v>1.0</v>
      </c>
      <c r="H7" s="27">
        <v>1.0</v>
      </c>
      <c r="I7" s="27">
        <v>1.0</v>
      </c>
      <c r="J7" s="27">
        <v>1.0</v>
      </c>
      <c r="K7" s="27">
        <v>1.0</v>
      </c>
      <c r="L7" s="27">
        <v>1.0</v>
      </c>
      <c r="M7" s="27">
        <v>1.0</v>
      </c>
      <c r="N7" s="27">
        <v>1.0</v>
      </c>
      <c r="O7" s="27">
        <v>1.0</v>
      </c>
      <c r="P7" s="27">
        <v>1.0</v>
      </c>
      <c r="Q7" s="27">
        <v>1.0</v>
      </c>
      <c r="R7" s="27">
        <v>1.0</v>
      </c>
      <c r="S7" s="27">
        <v>1.0</v>
      </c>
      <c r="T7" s="27">
        <v>1.0</v>
      </c>
      <c r="U7" s="27">
        <v>1.0</v>
      </c>
      <c r="V7" s="27">
        <v>1.0</v>
      </c>
      <c r="W7" s="27">
        <v>1.0</v>
      </c>
      <c r="X7" s="27">
        <v>1.0</v>
      </c>
      <c r="Y7" s="27">
        <v>1.0</v>
      </c>
      <c r="Z7" s="27">
        <v>1.0</v>
      </c>
      <c r="AA7" s="27">
        <v>1.0</v>
      </c>
      <c r="AB7" s="27">
        <v>1.0</v>
      </c>
      <c r="AC7" s="27">
        <v>1.0</v>
      </c>
      <c r="AD7" s="27">
        <v>1.0</v>
      </c>
      <c r="AE7" s="27">
        <v>1.0</v>
      </c>
      <c r="AF7" s="27">
        <v>1.0</v>
      </c>
      <c r="AG7" s="27">
        <v>1.0</v>
      </c>
      <c r="AH7" s="27">
        <v>1.0</v>
      </c>
      <c r="AI7" s="27">
        <v>1.0</v>
      </c>
      <c r="AJ7" s="27">
        <v>1.0</v>
      </c>
      <c r="AK7" s="27">
        <v>1.0</v>
      </c>
      <c r="AL7" s="27">
        <v>1.0</v>
      </c>
      <c r="AM7" s="27">
        <v>1.0</v>
      </c>
      <c r="AN7" s="27">
        <v>1.0</v>
      </c>
      <c r="AO7" s="27">
        <v>1.0</v>
      </c>
      <c r="AP7" s="27">
        <v>1.0</v>
      </c>
      <c r="AQ7" s="27">
        <v>1.0</v>
      </c>
      <c r="AR7" s="27">
        <v>1.0</v>
      </c>
      <c r="AS7" s="27">
        <v>1.0</v>
      </c>
      <c r="AT7" s="27">
        <v>1.0</v>
      </c>
      <c r="AU7" s="27">
        <v>1.0</v>
      </c>
      <c r="AV7" s="27">
        <v>1.0</v>
      </c>
      <c r="AW7" s="27">
        <v>1.0</v>
      </c>
      <c r="AX7" s="27">
        <v>1.0</v>
      </c>
      <c r="AY7" s="27">
        <v>1.0</v>
      </c>
      <c r="AZ7" s="27">
        <v>1.0</v>
      </c>
      <c r="BA7" s="27">
        <v>1.0</v>
      </c>
      <c r="BB7" s="27">
        <v>1.0</v>
      </c>
      <c r="BC7" s="27">
        <v>1.0</v>
      </c>
      <c r="BD7" s="27">
        <v>1.0</v>
      </c>
      <c r="BE7" s="27">
        <v>1.0</v>
      </c>
      <c r="BF7" s="27">
        <v>1.0</v>
      </c>
      <c r="BG7" s="27">
        <v>1.0</v>
      </c>
      <c r="BH7" s="27">
        <v>1.0</v>
      </c>
      <c r="BI7" s="27">
        <v>1.0</v>
      </c>
      <c r="BJ7" s="27">
        <v>1.0</v>
      </c>
    </row>
    <row r="8">
      <c r="A8" s="22" t="s">
        <v>501</v>
      </c>
      <c r="B8" s="22" t="s">
        <v>502</v>
      </c>
    </row>
    <row r="10">
      <c r="A10" s="2" t="s">
        <v>416</v>
      </c>
      <c r="B10" s="2" t="s">
        <v>503</v>
      </c>
      <c r="C10" s="2" t="s">
        <v>504</v>
      </c>
      <c r="D10" s="2" t="s">
        <v>505</v>
      </c>
      <c r="E10" s="2" t="s">
        <v>506</v>
      </c>
      <c r="F10" s="2" t="s">
        <v>507</v>
      </c>
      <c r="G10" s="2" t="s">
        <v>234</v>
      </c>
    </row>
    <row r="11">
      <c r="A11" s="3" t="s">
        <v>508</v>
      </c>
      <c r="B11" s="3" t="s">
        <v>509</v>
      </c>
      <c r="C11" s="3" t="s">
        <v>510</v>
      </c>
      <c r="D11" s="3" t="s">
        <v>511</v>
      </c>
      <c r="E11" s="42" t="s">
        <v>512</v>
      </c>
      <c r="F11" s="3" t="s">
        <v>513</v>
      </c>
      <c r="G11" s="3" t="s">
        <v>514</v>
      </c>
    </row>
    <row r="12">
      <c r="A12" s="3" t="s">
        <v>515</v>
      </c>
      <c r="B12" s="3" t="s">
        <v>509</v>
      </c>
      <c r="C12" s="3" t="s">
        <v>516</v>
      </c>
      <c r="D12" s="3" t="s">
        <v>494</v>
      </c>
      <c r="E12" s="42" t="s">
        <v>517</v>
      </c>
      <c r="F12" s="3" t="s">
        <v>513</v>
      </c>
      <c r="G12" s="3" t="s">
        <v>518</v>
      </c>
    </row>
    <row r="13">
      <c r="A13" s="3" t="s">
        <v>519</v>
      </c>
      <c r="B13" s="3" t="s">
        <v>510</v>
      </c>
      <c r="C13" s="3" t="s">
        <v>520</v>
      </c>
      <c r="D13" s="3" t="s">
        <v>494</v>
      </c>
      <c r="E13" s="42" t="s">
        <v>521</v>
      </c>
      <c r="F13" s="3" t="s">
        <v>513</v>
      </c>
      <c r="G13" s="3" t="s">
        <v>522</v>
      </c>
    </row>
    <row r="14">
      <c r="A14" s="3" t="s">
        <v>523</v>
      </c>
      <c r="B14" s="3" t="s">
        <v>516</v>
      </c>
      <c r="C14" s="3" t="s">
        <v>520</v>
      </c>
      <c r="D14" s="3" t="s">
        <v>511</v>
      </c>
      <c r="E14" s="42" t="s">
        <v>524</v>
      </c>
      <c r="F14" s="3" t="s">
        <v>513</v>
      </c>
      <c r="G14" s="3" t="s">
        <v>525</v>
      </c>
    </row>
    <row r="15">
      <c r="A15" s="3" t="s">
        <v>526</v>
      </c>
      <c r="B15" s="3" t="s">
        <v>520</v>
      </c>
      <c r="C15" s="3" t="s">
        <v>527</v>
      </c>
      <c r="D15" s="3" t="s">
        <v>511</v>
      </c>
      <c r="E15" s="42" t="s">
        <v>524</v>
      </c>
      <c r="F15" s="3" t="s">
        <v>528</v>
      </c>
      <c r="G15" s="3" t="s">
        <v>529</v>
      </c>
    </row>
    <row r="18">
      <c r="A18" s="4" t="s">
        <v>530</v>
      </c>
      <c r="B18" s="4" t="s">
        <v>531</v>
      </c>
      <c r="C18" s="4"/>
      <c r="D18" s="4"/>
      <c r="E18" s="4"/>
      <c r="F18" s="4"/>
      <c r="G18" s="4"/>
    </row>
    <row r="19">
      <c r="A19" s="22" t="s">
        <v>532</v>
      </c>
      <c r="B19" s="22" t="s">
        <v>533</v>
      </c>
    </row>
    <row r="20">
      <c r="A20" s="22" t="s">
        <v>534</v>
      </c>
      <c r="B20" s="22" t="s">
        <v>535</v>
      </c>
    </row>
    <row r="21" ht="15.75" customHeight="1">
      <c r="A21" s="22" t="s">
        <v>536</v>
      </c>
      <c r="B21" s="22" t="s">
        <v>537</v>
      </c>
    </row>
    <row r="22" ht="15.75" customHeight="1">
      <c r="A22" s="22" t="s">
        <v>538</v>
      </c>
      <c r="B22" s="22" t="s">
        <v>539</v>
      </c>
    </row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">
    <mergeCell ref="A1:J1"/>
  </mergeCells>
  <printOptions/>
  <pageMargins bottom="0.75" footer="0.0" header="0.0" left="0.7" right="0.7" top="0.75"/>
  <pageSetup orientation="landscape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14.0"/>
    <col customWidth="1" min="2" max="2" width="18.0"/>
    <col customWidth="1" min="3" max="3" width="12.0"/>
    <col customWidth="1" min="4" max="4" width="16.0"/>
    <col customWidth="1" min="5" max="5" width="24.0"/>
    <col customWidth="1" min="6" max="6" width="8.63"/>
    <col customWidth="1" min="7" max="7" width="12.0"/>
    <col customWidth="1" min="8" max="66" width="8.63"/>
  </cols>
  <sheetData>
    <row r="1">
      <c r="A1" s="25" t="s">
        <v>540</v>
      </c>
    </row>
    <row r="3">
      <c r="A3" s="4" t="s">
        <v>221</v>
      </c>
      <c r="B3" s="4" t="s">
        <v>541</v>
      </c>
      <c r="C3" s="4" t="s">
        <v>231</v>
      </c>
      <c r="D3" s="4" t="s">
        <v>542</v>
      </c>
      <c r="E3" s="4" t="s">
        <v>234</v>
      </c>
      <c r="G3" s="30">
        <v>46113.0</v>
      </c>
      <c r="H3" s="30">
        <v>46143.0</v>
      </c>
      <c r="I3" s="30">
        <v>46174.0</v>
      </c>
      <c r="J3" s="30">
        <v>46204.0</v>
      </c>
      <c r="K3" s="30">
        <v>46235.0</v>
      </c>
      <c r="L3" s="30">
        <v>46266.0</v>
      </c>
      <c r="M3" s="30">
        <v>46296.0</v>
      </c>
      <c r="N3" s="30">
        <v>46327.0</v>
      </c>
      <c r="O3" s="30">
        <v>46357.0</v>
      </c>
      <c r="P3" s="30">
        <v>46388.0</v>
      </c>
      <c r="Q3" s="30">
        <v>46419.0</v>
      </c>
      <c r="R3" s="30">
        <v>46447.0</v>
      </c>
      <c r="S3" s="30">
        <v>46478.0</v>
      </c>
      <c r="T3" s="30">
        <v>46508.0</v>
      </c>
      <c r="U3" s="30">
        <v>46539.0</v>
      </c>
      <c r="V3" s="30">
        <v>46569.0</v>
      </c>
      <c r="W3" s="30">
        <v>46600.0</v>
      </c>
      <c r="X3" s="30">
        <v>46631.0</v>
      </c>
      <c r="Y3" s="30">
        <v>46661.0</v>
      </c>
      <c r="Z3" s="30">
        <v>46692.0</v>
      </c>
      <c r="AA3" s="30">
        <v>46722.0</v>
      </c>
      <c r="AB3" s="30">
        <v>46753.0</v>
      </c>
      <c r="AC3" s="30">
        <v>46784.0</v>
      </c>
      <c r="AD3" s="30">
        <v>46813.0</v>
      </c>
      <c r="AE3" s="30">
        <v>46844.0</v>
      </c>
      <c r="AF3" s="30">
        <v>46874.0</v>
      </c>
      <c r="AG3" s="30">
        <v>46905.0</v>
      </c>
      <c r="AH3" s="30">
        <v>46935.0</v>
      </c>
      <c r="AI3" s="30">
        <v>46966.0</v>
      </c>
      <c r="AJ3" s="30">
        <v>46997.0</v>
      </c>
      <c r="AK3" s="30">
        <v>47027.0</v>
      </c>
      <c r="AL3" s="30">
        <v>47058.0</v>
      </c>
      <c r="AM3" s="30">
        <v>47088.0</v>
      </c>
      <c r="AN3" s="30">
        <v>47119.0</v>
      </c>
      <c r="AO3" s="30">
        <v>47150.0</v>
      </c>
      <c r="AP3" s="30">
        <v>47178.0</v>
      </c>
      <c r="AQ3" s="30">
        <v>47209.0</v>
      </c>
      <c r="AR3" s="30">
        <v>47239.0</v>
      </c>
      <c r="AS3" s="30">
        <v>47270.0</v>
      </c>
      <c r="AT3" s="30">
        <v>47300.0</v>
      </c>
      <c r="AU3" s="30">
        <v>47331.0</v>
      </c>
      <c r="AV3" s="30">
        <v>47362.0</v>
      </c>
      <c r="AW3" s="30">
        <v>47392.0</v>
      </c>
      <c r="AX3" s="30">
        <v>47423.0</v>
      </c>
      <c r="AY3" s="30">
        <v>47453.0</v>
      </c>
      <c r="AZ3" s="30">
        <v>47484.0</v>
      </c>
      <c r="BA3" s="30">
        <v>47515.0</v>
      </c>
      <c r="BB3" s="30">
        <v>47543.0</v>
      </c>
      <c r="BC3" s="30">
        <v>47574.0</v>
      </c>
      <c r="BD3" s="30">
        <v>47604.0</v>
      </c>
      <c r="BE3" s="30">
        <v>47635.0</v>
      </c>
      <c r="BF3" s="30">
        <v>47665.0</v>
      </c>
      <c r="BG3" s="30">
        <v>47696.0</v>
      </c>
      <c r="BH3" s="30">
        <v>47727.0</v>
      </c>
      <c r="BI3" s="30">
        <v>47757.0</v>
      </c>
      <c r="BJ3" s="30">
        <v>47788.0</v>
      </c>
      <c r="BK3" s="22">
        <v>47818.0</v>
      </c>
      <c r="BL3" s="22">
        <v>47849.0</v>
      </c>
      <c r="BM3" s="22">
        <v>47880.0</v>
      </c>
      <c r="BN3" s="22">
        <v>47908.0</v>
      </c>
    </row>
    <row r="4">
      <c r="A4" s="22" t="s">
        <v>543</v>
      </c>
      <c r="B4" s="28">
        <f>SUMIF(CAPEX_Benchmark!$L$4:$L$26,"Equipo",CAPEX_Benchmark!$J$4:$J$26)</f>
        <v>11838365000</v>
      </c>
      <c r="C4" s="28">
        <v>10.0</v>
      </c>
      <c r="D4" s="28">
        <f t="shared" ref="D4:D8" si="1">IF(B4=0,0,B4/(C4*12))</f>
        <v>98653041.67</v>
      </c>
      <c r="E4" s="22" t="s">
        <v>544</v>
      </c>
      <c r="G4" s="22">
        <v>1.0</v>
      </c>
      <c r="H4" s="22">
        <v>2.0</v>
      </c>
      <c r="I4" s="22">
        <v>3.0</v>
      </c>
      <c r="J4" s="22">
        <v>4.0</v>
      </c>
      <c r="K4" s="22">
        <v>5.0</v>
      </c>
      <c r="L4" s="22">
        <v>6.0</v>
      </c>
      <c r="M4" s="22">
        <v>7.0</v>
      </c>
      <c r="N4" s="22">
        <v>8.0</v>
      </c>
      <c r="O4" s="22">
        <v>9.0</v>
      </c>
      <c r="P4" s="22">
        <v>10.0</v>
      </c>
      <c r="Q4" s="22">
        <v>11.0</v>
      </c>
      <c r="R4" s="22">
        <v>12.0</v>
      </c>
      <c r="S4" s="22">
        <v>13.0</v>
      </c>
      <c r="T4" s="22">
        <v>14.0</v>
      </c>
      <c r="U4" s="22">
        <v>15.0</v>
      </c>
      <c r="V4" s="22">
        <v>16.0</v>
      </c>
      <c r="W4" s="22">
        <v>17.0</v>
      </c>
      <c r="X4" s="22">
        <v>18.0</v>
      </c>
      <c r="Y4" s="22">
        <v>19.0</v>
      </c>
      <c r="Z4" s="22">
        <v>20.0</v>
      </c>
      <c r="AA4" s="22">
        <v>21.0</v>
      </c>
      <c r="AB4" s="22">
        <v>22.0</v>
      </c>
      <c r="AC4" s="22">
        <v>23.0</v>
      </c>
      <c r="AD4" s="22">
        <v>24.0</v>
      </c>
      <c r="AE4" s="22">
        <v>25.0</v>
      </c>
      <c r="AF4" s="22">
        <v>26.0</v>
      </c>
      <c r="AG4" s="22">
        <v>27.0</v>
      </c>
      <c r="AH4" s="22">
        <v>28.0</v>
      </c>
      <c r="AI4" s="22">
        <v>29.0</v>
      </c>
      <c r="AJ4" s="22">
        <v>30.0</v>
      </c>
      <c r="AK4" s="22">
        <v>31.0</v>
      </c>
      <c r="AL4" s="22">
        <v>32.0</v>
      </c>
      <c r="AM4" s="22">
        <v>33.0</v>
      </c>
      <c r="AN4" s="22">
        <v>34.0</v>
      </c>
      <c r="AO4" s="22">
        <v>35.0</v>
      </c>
      <c r="AP4" s="22">
        <v>36.0</v>
      </c>
      <c r="AQ4" s="22">
        <v>37.0</v>
      </c>
      <c r="AR4" s="22">
        <v>38.0</v>
      </c>
      <c r="AS4" s="22">
        <v>39.0</v>
      </c>
      <c r="AT4" s="22">
        <v>40.0</v>
      </c>
      <c r="AU4" s="22">
        <v>41.0</v>
      </c>
      <c r="AV4" s="22">
        <v>42.0</v>
      </c>
      <c r="AW4" s="22">
        <v>43.0</v>
      </c>
      <c r="AX4" s="22">
        <v>44.0</v>
      </c>
      <c r="AY4" s="22">
        <v>45.0</v>
      </c>
      <c r="AZ4" s="22">
        <v>46.0</v>
      </c>
      <c r="BA4" s="22">
        <v>47.0</v>
      </c>
      <c r="BB4" s="22">
        <v>48.0</v>
      </c>
      <c r="BC4" s="22">
        <v>49.0</v>
      </c>
      <c r="BD4" s="22">
        <v>50.0</v>
      </c>
      <c r="BE4" s="22">
        <v>51.0</v>
      </c>
      <c r="BF4" s="22">
        <v>52.0</v>
      </c>
      <c r="BG4" s="22">
        <v>53.0</v>
      </c>
      <c r="BH4" s="22">
        <v>54.0</v>
      </c>
      <c r="BI4" s="22">
        <v>55.0</v>
      </c>
      <c r="BJ4" s="22">
        <v>56.0</v>
      </c>
      <c r="BK4" s="22">
        <v>57.0</v>
      </c>
      <c r="BL4" s="22">
        <v>58.0</v>
      </c>
      <c r="BM4" s="22">
        <v>59.0</v>
      </c>
      <c r="BN4" s="22">
        <v>60.0</v>
      </c>
    </row>
    <row r="5">
      <c r="A5" s="22" t="s">
        <v>545</v>
      </c>
      <c r="B5" s="28">
        <f>SUMIF(CAPEX_Benchmark!$L$4:$L$26,"Automatización",CAPEX_Benchmark!$J$4:$J$26)</f>
        <v>5844496235</v>
      </c>
      <c r="C5" s="28">
        <v>7.0</v>
      </c>
      <c r="D5" s="28">
        <f t="shared" si="1"/>
        <v>69577336.13</v>
      </c>
      <c r="E5" s="22" t="s">
        <v>546</v>
      </c>
    </row>
    <row r="6">
      <c r="A6" s="22" t="s">
        <v>547</v>
      </c>
      <c r="B6" s="28">
        <f>SUMIF(CAPEX_Benchmark!$L$4:$L$26,"Servicio capitalizable",CAPEX_Benchmark!$J$4:$J$26)</f>
        <v>2134000000</v>
      </c>
      <c r="C6" s="28">
        <v>5.0</v>
      </c>
      <c r="D6" s="28">
        <f t="shared" si="1"/>
        <v>35566666.67</v>
      </c>
      <c r="E6" s="22" t="s">
        <v>548</v>
      </c>
    </row>
    <row r="7">
      <c r="A7" s="22" t="s">
        <v>549</v>
      </c>
      <c r="B7" s="28">
        <f>SUMIF(CAPEX_Benchmark!$L$4:$L$26,"Intangible",CAPEX_Benchmark!$J$4:$J$26)</f>
        <v>242500000</v>
      </c>
      <c r="C7" s="28">
        <v>3.0</v>
      </c>
      <c r="D7" s="28">
        <f t="shared" si="1"/>
        <v>6736111.111</v>
      </c>
      <c r="E7" s="22" t="s">
        <v>550</v>
      </c>
    </row>
    <row r="8">
      <c r="A8" s="22" t="s">
        <v>551</v>
      </c>
      <c r="B8" s="28">
        <f>SUM(Licencias!$H$4:$H$10)</f>
        <v>34650000</v>
      </c>
      <c r="C8" s="28">
        <v>3.0</v>
      </c>
      <c r="D8" s="28">
        <f t="shared" si="1"/>
        <v>962500</v>
      </c>
      <c r="E8" s="22" t="s">
        <v>552</v>
      </c>
    </row>
    <row r="11">
      <c r="A11" s="4" t="s">
        <v>168</v>
      </c>
      <c r="B11" s="4" t="s">
        <v>553</v>
      </c>
      <c r="C11" s="4"/>
      <c r="D11" s="4"/>
      <c r="E11" s="4"/>
      <c r="G11" s="28">
        <f>IF(G$4&lt;=Supuestos!$B$6,0,$D$4)</f>
        <v>0</v>
      </c>
      <c r="H11" s="28">
        <f>IF(H$4&lt;=Supuestos!$B$6,0,$D$4)</f>
        <v>0</v>
      </c>
      <c r="I11" s="28">
        <f>IF(I$4&lt;=Supuestos!$B$6,0,$D$4)</f>
        <v>0</v>
      </c>
      <c r="J11" s="28">
        <f>IF(J$4&lt;=Supuestos!$B$6,0,$D$4)</f>
        <v>0</v>
      </c>
      <c r="K11" s="28">
        <f>IF(K$4&lt;=Supuestos!$B$6,0,$D$4)</f>
        <v>98653041.67</v>
      </c>
      <c r="L11" s="28">
        <f>IF(L$4&lt;=Supuestos!$B$6,0,$D$4)</f>
        <v>98653041.67</v>
      </c>
      <c r="M11" s="28">
        <f>IF(M$4&lt;=Supuestos!$B$6,0,$D$4)</f>
        <v>98653041.67</v>
      </c>
      <c r="N11" s="28">
        <f>IF(N$4&lt;=Supuestos!$B$6,0,$D$4)</f>
        <v>98653041.67</v>
      </c>
      <c r="O11" s="28">
        <f>IF(O$4&lt;=Supuestos!$B$6,0,$D$4)</f>
        <v>98653041.67</v>
      </c>
      <c r="P11" s="28">
        <f>IF(P$4&lt;=Supuestos!$B$6,0,$D$4)</f>
        <v>98653041.67</v>
      </c>
      <c r="Q11" s="28">
        <f>IF(Q$4&lt;=Supuestos!$B$6,0,$D$4)</f>
        <v>98653041.67</v>
      </c>
      <c r="R11" s="28">
        <f>IF(R$4&lt;=Supuestos!$B$6,0,$D$4)</f>
        <v>98653041.67</v>
      </c>
      <c r="S11" s="28">
        <f>IF(S$4&lt;=Supuestos!$B$6,0,$D$4)</f>
        <v>98653041.67</v>
      </c>
      <c r="T11" s="28">
        <f>IF(T$4&lt;=Supuestos!$B$6,0,$D$4)</f>
        <v>98653041.67</v>
      </c>
      <c r="U11" s="28">
        <f>IF(U$4&lt;=Supuestos!$B$6,0,$D$4)</f>
        <v>98653041.67</v>
      </c>
      <c r="V11" s="28">
        <f>IF(V$4&lt;=Supuestos!$B$6,0,$D$4)</f>
        <v>98653041.67</v>
      </c>
      <c r="W11" s="28">
        <f>IF(W$4&lt;=Supuestos!$B$6,0,$D$4)</f>
        <v>98653041.67</v>
      </c>
      <c r="X11" s="28">
        <f>IF(X$4&lt;=Supuestos!$B$6,0,$D$4)</f>
        <v>98653041.67</v>
      </c>
      <c r="Y11" s="28">
        <f>IF(Y$4&lt;=Supuestos!$B$6,0,$D$4)</f>
        <v>98653041.67</v>
      </c>
      <c r="Z11" s="28">
        <f>IF(Z$4&lt;=Supuestos!$B$6,0,$D$4)</f>
        <v>98653041.67</v>
      </c>
      <c r="AA11" s="28">
        <f>IF(AA$4&lt;=Supuestos!$B$6,0,$D$4)</f>
        <v>98653041.67</v>
      </c>
      <c r="AB11" s="28">
        <f>IF(AB$4&lt;=Supuestos!$B$6,0,$D$4)</f>
        <v>98653041.67</v>
      </c>
      <c r="AC11" s="28">
        <f>IF(AC$4&lt;=Supuestos!$B$6,0,$D$4)</f>
        <v>98653041.67</v>
      </c>
      <c r="AD11" s="28">
        <f>IF(AD$4&lt;=Supuestos!$B$6,0,$D$4)</f>
        <v>98653041.67</v>
      </c>
      <c r="AE11" s="28">
        <f>IF(AE$4&lt;=Supuestos!$B$6,0,$D$4)</f>
        <v>98653041.67</v>
      </c>
      <c r="AF11" s="28">
        <f>IF(AF$4&lt;=Supuestos!$B$6,0,$D$4)</f>
        <v>98653041.67</v>
      </c>
      <c r="AG11" s="28">
        <f>IF(AG$4&lt;=Supuestos!$B$6,0,$D$4)</f>
        <v>98653041.67</v>
      </c>
      <c r="AH11" s="28">
        <f>IF(AH$4&lt;=Supuestos!$B$6,0,$D$4)</f>
        <v>98653041.67</v>
      </c>
      <c r="AI11" s="28">
        <f>IF(AI$4&lt;=Supuestos!$B$6,0,$D$4)</f>
        <v>98653041.67</v>
      </c>
      <c r="AJ11" s="28">
        <f>IF(AJ$4&lt;=Supuestos!$B$6,0,$D$4)</f>
        <v>98653041.67</v>
      </c>
      <c r="AK11" s="28">
        <f>IF(AK$4&lt;=Supuestos!$B$6,0,$D$4)</f>
        <v>98653041.67</v>
      </c>
      <c r="AL11" s="28">
        <f>IF(AL$4&lt;=Supuestos!$B$6,0,$D$4)</f>
        <v>98653041.67</v>
      </c>
      <c r="AM11" s="28">
        <f>IF(AM$4&lt;=Supuestos!$B$6,0,$D$4)</f>
        <v>98653041.67</v>
      </c>
      <c r="AN11" s="28">
        <f>IF(AN$4&lt;=Supuestos!$B$6,0,$D$4)</f>
        <v>98653041.67</v>
      </c>
      <c r="AO11" s="28">
        <f>IF(AO$4&lt;=Supuestos!$B$6,0,$D$4)</f>
        <v>98653041.67</v>
      </c>
      <c r="AP11" s="28">
        <f>IF(AP$4&lt;=Supuestos!$B$6,0,$D$4)</f>
        <v>98653041.67</v>
      </c>
      <c r="AQ11" s="28">
        <f>IF(AQ$4&lt;=Supuestos!$B$6,0,$D$4)</f>
        <v>98653041.67</v>
      </c>
      <c r="AR11" s="28">
        <f>IF(AR$4&lt;=Supuestos!$B$6,0,$D$4)</f>
        <v>98653041.67</v>
      </c>
      <c r="AS11" s="28">
        <f>IF(AS$4&lt;=Supuestos!$B$6,0,$D$4)</f>
        <v>98653041.67</v>
      </c>
      <c r="AT11" s="28">
        <f>IF(AT$4&lt;=Supuestos!$B$6,0,$D$4)</f>
        <v>98653041.67</v>
      </c>
      <c r="AU11" s="28">
        <f>IF(AU$4&lt;=Supuestos!$B$6,0,$D$4)</f>
        <v>98653041.67</v>
      </c>
      <c r="AV11" s="28">
        <f>IF(AV$4&lt;=Supuestos!$B$6,0,$D$4)</f>
        <v>98653041.67</v>
      </c>
      <c r="AW11" s="28">
        <f>IF(AW$4&lt;=Supuestos!$B$6,0,$D$4)</f>
        <v>98653041.67</v>
      </c>
      <c r="AX11" s="28">
        <f>IF(AX$4&lt;=Supuestos!$B$6,0,$D$4)</f>
        <v>98653041.67</v>
      </c>
      <c r="AY11" s="28">
        <f>IF(AY$4&lt;=Supuestos!$B$6,0,$D$4)</f>
        <v>98653041.67</v>
      </c>
      <c r="AZ11" s="28">
        <f>IF(AZ$4&lt;=Supuestos!$B$6,0,$D$4)</f>
        <v>98653041.67</v>
      </c>
      <c r="BA11" s="28">
        <f>IF(BA$4&lt;=Supuestos!$B$6,0,$D$4)</f>
        <v>98653041.67</v>
      </c>
      <c r="BB11" s="28">
        <f>IF(BB$4&lt;=Supuestos!$B$6,0,$D$4)</f>
        <v>98653041.67</v>
      </c>
      <c r="BC11" s="28">
        <f>IF(BC$4&lt;=Supuestos!$B$6,0,$D$4)</f>
        <v>98653041.67</v>
      </c>
      <c r="BD11" s="28">
        <f>IF(BD$4&lt;=Supuestos!$B$6,0,$D$4)</f>
        <v>98653041.67</v>
      </c>
      <c r="BE11" s="28">
        <f>IF(BE$4&lt;=Supuestos!$B$6,0,$D$4)</f>
        <v>98653041.67</v>
      </c>
      <c r="BF11" s="28">
        <f>IF(BF$4&lt;=Supuestos!$B$6,0,$D$4)</f>
        <v>98653041.67</v>
      </c>
      <c r="BG11" s="28">
        <f>IF(BG$4&lt;=Supuestos!$B$6,0,$D$4)</f>
        <v>98653041.67</v>
      </c>
      <c r="BH11" s="28">
        <f>IF(BH$4&lt;=Supuestos!$B$6,0,$D$4)</f>
        <v>98653041.67</v>
      </c>
      <c r="BI11" s="28">
        <f>IF(BI$4&lt;=Supuestos!$B$6,0,$D$4)</f>
        <v>98653041.67</v>
      </c>
      <c r="BJ11" s="28">
        <f>IF(BJ$4&lt;=Supuestos!$B$6,0,$D$4)</f>
        <v>98653041.67</v>
      </c>
      <c r="BK11" s="28">
        <f>IF(BK$4&lt;=Supuestos!$B$6,0,$D$4)</f>
        <v>98653041.67</v>
      </c>
      <c r="BL11" s="28">
        <f>IF(BL$4&lt;=Supuestos!$B$6,0,$D$4)</f>
        <v>98653041.67</v>
      </c>
      <c r="BM11" s="28">
        <f>IF(BM$4&lt;=Supuestos!$B$6,0,$D$4)</f>
        <v>98653041.67</v>
      </c>
      <c r="BN11" s="28">
        <f>IF(BN$4&lt;=Supuestos!$B$6,0,$D$4)</f>
        <v>98653041.67</v>
      </c>
    </row>
    <row r="12">
      <c r="A12" s="22" t="s">
        <v>170</v>
      </c>
      <c r="B12" s="22" t="s">
        <v>554</v>
      </c>
      <c r="G12" s="28">
        <f>IF(G$4&lt;=Supuestos!$B$6,0,$D$5)</f>
        <v>0</v>
      </c>
      <c r="H12" s="28">
        <f>IF(H$4&lt;=Supuestos!$B$6,0,$D$5)</f>
        <v>0</v>
      </c>
      <c r="I12" s="28">
        <f>IF(I$4&lt;=Supuestos!$B$6,0,$D$5)</f>
        <v>0</v>
      </c>
      <c r="J12" s="28">
        <f>IF(J$4&lt;=Supuestos!$B$6,0,$D$5)</f>
        <v>0</v>
      </c>
      <c r="K12" s="28">
        <f>IF(K$4&lt;=Supuestos!$B$6,0,$D$5)</f>
        <v>69577336.13</v>
      </c>
      <c r="L12" s="28">
        <f>IF(L$4&lt;=Supuestos!$B$6,0,$D$5)</f>
        <v>69577336.13</v>
      </c>
      <c r="M12" s="28">
        <f>IF(M$4&lt;=Supuestos!$B$6,0,$D$5)</f>
        <v>69577336.13</v>
      </c>
      <c r="N12" s="28">
        <f>IF(N$4&lt;=Supuestos!$B$6,0,$D$5)</f>
        <v>69577336.13</v>
      </c>
      <c r="O12" s="28">
        <f>IF(O$4&lt;=Supuestos!$B$6,0,$D$5)</f>
        <v>69577336.13</v>
      </c>
      <c r="P12" s="28">
        <f>IF(P$4&lt;=Supuestos!$B$6,0,$D$5)</f>
        <v>69577336.13</v>
      </c>
      <c r="Q12" s="28">
        <f>IF(Q$4&lt;=Supuestos!$B$6,0,$D$5)</f>
        <v>69577336.13</v>
      </c>
      <c r="R12" s="28">
        <f>IF(R$4&lt;=Supuestos!$B$6,0,$D$5)</f>
        <v>69577336.13</v>
      </c>
      <c r="S12" s="28">
        <f>IF(S$4&lt;=Supuestos!$B$6,0,$D$5)</f>
        <v>69577336.13</v>
      </c>
      <c r="T12" s="28">
        <f>IF(T$4&lt;=Supuestos!$B$6,0,$D$5)</f>
        <v>69577336.13</v>
      </c>
      <c r="U12" s="28">
        <f>IF(U$4&lt;=Supuestos!$B$6,0,$D$5)</f>
        <v>69577336.13</v>
      </c>
      <c r="V12" s="28">
        <f>IF(V$4&lt;=Supuestos!$B$6,0,$D$5)</f>
        <v>69577336.13</v>
      </c>
      <c r="W12" s="28">
        <f>IF(W$4&lt;=Supuestos!$B$6,0,$D$5)</f>
        <v>69577336.13</v>
      </c>
      <c r="X12" s="28">
        <f>IF(X$4&lt;=Supuestos!$B$6,0,$D$5)</f>
        <v>69577336.13</v>
      </c>
      <c r="Y12" s="28">
        <f>IF(Y$4&lt;=Supuestos!$B$6,0,$D$5)</f>
        <v>69577336.13</v>
      </c>
      <c r="Z12" s="28">
        <f>IF(Z$4&lt;=Supuestos!$B$6,0,$D$5)</f>
        <v>69577336.13</v>
      </c>
      <c r="AA12" s="28">
        <f>IF(AA$4&lt;=Supuestos!$B$6,0,$D$5)</f>
        <v>69577336.13</v>
      </c>
      <c r="AB12" s="28">
        <f>IF(AB$4&lt;=Supuestos!$B$6,0,$D$5)</f>
        <v>69577336.13</v>
      </c>
      <c r="AC12" s="28">
        <f>IF(AC$4&lt;=Supuestos!$B$6,0,$D$5)</f>
        <v>69577336.13</v>
      </c>
      <c r="AD12" s="28">
        <f>IF(AD$4&lt;=Supuestos!$B$6,0,$D$5)</f>
        <v>69577336.13</v>
      </c>
      <c r="AE12" s="28">
        <f>IF(AE$4&lt;=Supuestos!$B$6,0,$D$5)</f>
        <v>69577336.13</v>
      </c>
      <c r="AF12" s="28">
        <f>IF(AF$4&lt;=Supuestos!$B$6,0,$D$5)</f>
        <v>69577336.13</v>
      </c>
      <c r="AG12" s="28">
        <f>IF(AG$4&lt;=Supuestos!$B$6,0,$D$5)</f>
        <v>69577336.13</v>
      </c>
      <c r="AH12" s="28">
        <f>IF(AH$4&lt;=Supuestos!$B$6,0,$D$5)</f>
        <v>69577336.13</v>
      </c>
      <c r="AI12" s="28">
        <f>IF(AI$4&lt;=Supuestos!$B$6,0,$D$5)</f>
        <v>69577336.13</v>
      </c>
      <c r="AJ12" s="28">
        <f>IF(AJ$4&lt;=Supuestos!$B$6,0,$D$5)</f>
        <v>69577336.13</v>
      </c>
      <c r="AK12" s="28">
        <f>IF(AK$4&lt;=Supuestos!$B$6,0,$D$5)</f>
        <v>69577336.13</v>
      </c>
      <c r="AL12" s="28">
        <f>IF(AL$4&lt;=Supuestos!$B$6,0,$D$5)</f>
        <v>69577336.13</v>
      </c>
      <c r="AM12" s="28">
        <f>IF(AM$4&lt;=Supuestos!$B$6,0,$D$5)</f>
        <v>69577336.13</v>
      </c>
      <c r="AN12" s="28">
        <f>IF(AN$4&lt;=Supuestos!$B$6,0,$D$5)</f>
        <v>69577336.13</v>
      </c>
      <c r="AO12" s="28">
        <f>IF(AO$4&lt;=Supuestos!$B$6,0,$D$5)</f>
        <v>69577336.13</v>
      </c>
      <c r="AP12" s="28">
        <f>IF(AP$4&lt;=Supuestos!$B$6,0,$D$5)</f>
        <v>69577336.13</v>
      </c>
      <c r="AQ12" s="28">
        <f>IF(AQ$4&lt;=Supuestos!$B$6,0,$D$5)</f>
        <v>69577336.13</v>
      </c>
      <c r="AR12" s="28">
        <f>IF(AR$4&lt;=Supuestos!$B$6,0,$D$5)</f>
        <v>69577336.13</v>
      </c>
      <c r="AS12" s="28">
        <f>IF(AS$4&lt;=Supuestos!$B$6,0,$D$5)</f>
        <v>69577336.13</v>
      </c>
      <c r="AT12" s="28">
        <f>IF(AT$4&lt;=Supuestos!$B$6,0,$D$5)</f>
        <v>69577336.13</v>
      </c>
      <c r="AU12" s="28">
        <f>IF(AU$4&lt;=Supuestos!$B$6,0,$D$5)</f>
        <v>69577336.13</v>
      </c>
      <c r="AV12" s="28">
        <f>IF(AV$4&lt;=Supuestos!$B$6,0,$D$5)</f>
        <v>69577336.13</v>
      </c>
      <c r="AW12" s="28">
        <f>IF(AW$4&lt;=Supuestos!$B$6,0,$D$5)</f>
        <v>69577336.13</v>
      </c>
      <c r="AX12" s="28">
        <f>IF(AX$4&lt;=Supuestos!$B$6,0,$D$5)</f>
        <v>69577336.13</v>
      </c>
      <c r="AY12" s="28">
        <f>IF(AY$4&lt;=Supuestos!$B$6,0,$D$5)</f>
        <v>69577336.13</v>
      </c>
      <c r="AZ12" s="28">
        <f>IF(AZ$4&lt;=Supuestos!$B$6,0,$D$5)</f>
        <v>69577336.13</v>
      </c>
      <c r="BA12" s="28">
        <f>IF(BA$4&lt;=Supuestos!$B$6,0,$D$5)</f>
        <v>69577336.13</v>
      </c>
      <c r="BB12" s="28">
        <f>IF(BB$4&lt;=Supuestos!$B$6,0,$D$5)</f>
        <v>69577336.13</v>
      </c>
      <c r="BC12" s="28">
        <f>IF(BC$4&lt;=Supuestos!$B$6,0,$D$5)</f>
        <v>69577336.13</v>
      </c>
      <c r="BD12" s="28">
        <f>IF(BD$4&lt;=Supuestos!$B$6,0,$D$5)</f>
        <v>69577336.13</v>
      </c>
      <c r="BE12" s="28">
        <f>IF(BE$4&lt;=Supuestos!$B$6,0,$D$5)</f>
        <v>69577336.13</v>
      </c>
      <c r="BF12" s="28">
        <f>IF(BF$4&lt;=Supuestos!$B$6,0,$D$5)</f>
        <v>69577336.13</v>
      </c>
      <c r="BG12" s="28">
        <f>IF(BG$4&lt;=Supuestos!$B$6,0,$D$5)</f>
        <v>69577336.13</v>
      </c>
      <c r="BH12" s="28">
        <f>IF(BH$4&lt;=Supuestos!$B$6,0,$D$5)</f>
        <v>69577336.13</v>
      </c>
      <c r="BI12" s="28">
        <f>IF(BI$4&lt;=Supuestos!$B$6,0,$D$5)</f>
        <v>69577336.13</v>
      </c>
      <c r="BJ12" s="28">
        <f>IF(BJ$4&lt;=Supuestos!$B$6,0,$D$5)</f>
        <v>69577336.13</v>
      </c>
      <c r="BK12" s="28">
        <f>IF(BK$4&lt;=Supuestos!$B$6,0,$D$5)</f>
        <v>69577336.13</v>
      </c>
      <c r="BL12" s="28">
        <f>IF(BL$4&lt;=Supuestos!$B$6,0,$D$5)</f>
        <v>69577336.13</v>
      </c>
      <c r="BM12" s="28">
        <f>IF(BM$4&lt;=Supuestos!$B$6,0,$D$5)</f>
        <v>69577336.13</v>
      </c>
      <c r="BN12" s="28">
        <f>IF(BN$4&lt;=Supuestos!$B$6,0,$D$5)</f>
        <v>69577336.13</v>
      </c>
    </row>
    <row r="13">
      <c r="A13" s="22" t="s">
        <v>172</v>
      </c>
      <c r="B13" s="22" t="s">
        <v>555</v>
      </c>
      <c r="G13" s="28">
        <f>IF(G$4&lt;=Supuestos!$B$6,0,$D$6)</f>
        <v>0</v>
      </c>
      <c r="H13" s="28">
        <f>IF(H$4&lt;=Supuestos!$B$6,0,$D$6)</f>
        <v>0</v>
      </c>
      <c r="I13" s="28">
        <f>IF(I$4&lt;=Supuestos!$B$6,0,$D$6)</f>
        <v>0</v>
      </c>
      <c r="J13" s="28">
        <f>IF(J$4&lt;=Supuestos!$B$6,0,$D$6)</f>
        <v>0</v>
      </c>
      <c r="K13" s="28">
        <f>IF(K$4&lt;=Supuestos!$B$6,0,$D$6)</f>
        <v>35566666.67</v>
      </c>
      <c r="L13" s="28">
        <f>IF(L$4&lt;=Supuestos!$B$6,0,$D$6)</f>
        <v>35566666.67</v>
      </c>
      <c r="M13" s="28">
        <f>IF(M$4&lt;=Supuestos!$B$6,0,$D$6)</f>
        <v>35566666.67</v>
      </c>
      <c r="N13" s="28">
        <f>IF(N$4&lt;=Supuestos!$B$6,0,$D$6)</f>
        <v>35566666.67</v>
      </c>
      <c r="O13" s="28">
        <f>IF(O$4&lt;=Supuestos!$B$6,0,$D$6)</f>
        <v>35566666.67</v>
      </c>
      <c r="P13" s="28">
        <f>IF(P$4&lt;=Supuestos!$B$6,0,$D$6)</f>
        <v>35566666.67</v>
      </c>
      <c r="Q13" s="28">
        <f>IF(Q$4&lt;=Supuestos!$B$6,0,$D$6)</f>
        <v>35566666.67</v>
      </c>
      <c r="R13" s="28">
        <f>IF(R$4&lt;=Supuestos!$B$6,0,$D$6)</f>
        <v>35566666.67</v>
      </c>
      <c r="S13" s="28">
        <f>IF(S$4&lt;=Supuestos!$B$6,0,$D$6)</f>
        <v>35566666.67</v>
      </c>
      <c r="T13" s="28">
        <f>IF(T$4&lt;=Supuestos!$B$6,0,$D$6)</f>
        <v>35566666.67</v>
      </c>
      <c r="U13" s="28">
        <f>IF(U$4&lt;=Supuestos!$B$6,0,$D$6)</f>
        <v>35566666.67</v>
      </c>
      <c r="V13" s="28">
        <f>IF(V$4&lt;=Supuestos!$B$6,0,$D$6)</f>
        <v>35566666.67</v>
      </c>
      <c r="W13" s="28">
        <f>IF(W$4&lt;=Supuestos!$B$6,0,$D$6)</f>
        <v>35566666.67</v>
      </c>
      <c r="X13" s="28">
        <f>IF(X$4&lt;=Supuestos!$B$6,0,$D$6)</f>
        <v>35566666.67</v>
      </c>
      <c r="Y13" s="28">
        <f>IF(Y$4&lt;=Supuestos!$B$6,0,$D$6)</f>
        <v>35566666.67</v>
      </c>
      <c r="Z13" s="28">
        <f>IF(Z$4&lt;=Supuestos!$B$6,0,$D$6)</f>
        <v>35566666.67</v>
      </c>
      <c r="AA13" s="28">
        <f>IF(AA$4&lt;=Supuestos!$B$6,0,$D$6)</f>
        <v>35566666.67</v>
      </c>
      <c r="AB13" s="28">
        <f>IF(AB$4&lt;=Supuestos!$B$6,0,$D$6)</f>
        <v>35566666.67</v>
      </c>
      <c r="AC13" s="28">
        <f>IF(AC$4&lt;=Supuestos!$B$6,0,$D$6)</f>
        <v>35566666.67</v>
      </c>
      <c r="AD13" s="28">
        <f>IF(AD$4&lt;=Supuestos!$B$6,0,$D$6)</f>
        <v>35566666.67</v>
      </c>
      <c r="AE13" s="28">
        <f>IF(AE$4&lt;=Supuestos!$B$6,0,$D$6)</f>
        <v>35566666.67</v>
      </c>
      <c r="AF13" s="28">
        <f>IF(AF$4&lt;=Supuestos!$B$6,0,$D$6)</f>
        <v>35566666.67</v>
      </c>
      <c r="AG13" s="28">
        <f>IF(AG$4&lt;=Supuestos!$B$6,0,$D$6)</f>
        <v>35566666.67</v>
      </c>
      <c r="AH13" s="28">
        <f>IF(AH$4&lt;=Supuestos!$B$6,0,$D$6)</f>
        <v>35566666.67</v>
      </c>
      <c r="AI13" s="28">
        <f>IF(AI$4&lt;=Supuestos!$B$6,0,$D$6)</f>
        <v>35566666.67</v>
      </c>
      <c r="AJ13" s="28">
        <f>IF(AJ$4&lt;=Supuestos!$B$6,0,$D$6)</f>
        <v>35566666.67</v>
      </c>
      <c r="AK13" s="28">
        <f>IF(AK$4&lt;=Supuestos!$B$6,0,$D$6)</f>
        <v>35566666.67</v>
      </c>
      <c r="AL13" s="28">
        <f>IF(AL$4&lt;=Supuestos!$B$6,0,$D$6)</f>
        <v>35566666.67</v>
      </c>
      <c r="AM13" s="28">
        <f>IF(AM$4&lt;=Supuestos!$B$6,0,$D$6)</f>
        <v>35566666.67</v>
      </c>
      <c r="AN13" s="28">
        <f>IF(AN$4&lt;=Supuestos!$B$6,0,$D$6)</f>
        <v>35566666.67</v>
      </c>
      <c r="AO13" s="28">
        <f>IF(AO$4&lt;=Supuestos!$B$6,0,$D$6)</f>
        <v>35566666.67</v>
      </c>
      <c r="AP13" s="28">
        <f>IF(AP$4&lt;=Supuestos!$B$6,0,$D$6)</f>
        <v>35566666.67</v>
      </c>
      <c r="AQ13" s="28">
        <f>IF(AQ$4&lt;=Supuestos!$B$6,0,$D$6)</f>
        <v>35566666.67</v>
      </c>
      <c r="AR13" s="28">
        <f>IF(AR$4&lt;=Supuestos!$B$6,0,$D$6)</f>
        <v>35566666.67</v>
      </c>
      <c r="AS13" s="28">
        <f>IF(AS$4&lt;=Supuestos!$B$6,0,$D$6)</f>
        <v>35566666.67</v>
      </c>
      <c r="AT13" s="28">
        <f>IF(AT$4&lt;=Supuestos!$B$6,0,$D$6)</f>
        <v>35566666.67</v>
      </c>
      <c r="AU13" s="28">
        <f>IF(AU$4&lt;=Supuestos!$B$6,0,$D$6)</f>
        <v>35566666.67</v>
      </c>
      <c r="AV13" s="28">
        <f>IF(AV$4&lt;=Supuestos!$B$6,0,$D$6)</f>
        <v>35566666.67</v>
      </c>
      <c r="AW13" s="28">
        <f>IF(AW$4&lt;=Supuestos!$B$6,0,$D$6)</f>
        <v>35566666.67</v>
      </c>
      <c r="AX13" s="28">
        <f>IF(AX$4&lt;=Supuestos!$B$6,0,$D$6)</f>
        <v>35566666.67</v>
      </c>
      <c r="AY13" s="28">
        <f>IF(AY$4&lt;=Supuestos!$B$6,0,$D$6)</f>
        <v>35566666.67</v>
      </c>
      <c r="AZ13" s="28">
        <f>IF(AZ$4&lt;=Supuestos!$B$6,0,$D$6)</f>
        <v>35566666.67</v>
      </c>
      <c r="BA13" s="28">
        <f>IF(BA$4&lt;=Supuestos!$B$6,0,$D$6)</f>
        <v>35566666.67</v>
      </c>
      <c r="BB13" s="28">
        <f>IF(BB$4&lt;=Supuestos!$B$6,0,$D$6)</f>
        <v>35566666.67</v>
      </c>
      <c r="BC13" s="28">
        <f>IF(BC$4&lt;=Supuestos!$B$6,0,$D$6)</f>
        <v>35566666.67</v>
      </c>
      <c r="BD13" s="28">
        <f>IF(BD$4&lt;=Supuestos!$B$6,0,$D$6)</f>
        <v>35566666.67</v>
      </c>
      <c r="BE13" s="28">
        <f>IF(BE$4&lt;=Supuestos!$B$6,0,$D$6)</f>
        <v>35566666.67</v>
      </c>
      <c r="BF13" s="28">
        <f>IF(BF$4&lt;=Supuestos!$B$6,0,$D$6)</f>
        <v>35566666.67</v>
      </c>
      <c r="BG13" s="28">
        <f>IF(BG$4&lt;=Supuestos!$B$6,0,$D$6)</f>
        <v>35566666.67</v>
      </c>
      <c r="BH13" s="28">
        <f>IF(BH$4&lt;=Supuestos!$B$6,0,$D$6)</f>
        <v>35566666.67</v>
      </c>
      <c r="BI13" s="28">
        <f>IF(BI$4&lt;=Supuestos!$B$6,0,$D$6)</f>
        <v>35566666.67</v>
      </c>
      <c r="BJ13" s="28">
        <f>IF(BJ$4&lt;=Supuestos!$B$6,0,$D$6)</f>
        <v>35566666.67</v>
      </c>
      <c r="BK13" s="28">
        <f>IF(BK$4&lt;=Supuestos!$B$6,0,$D$6)</f>
        <v>35566666.67</v>
      </c>
      <c r="BL13" s="28">
        <f>IF(BL$4&lt;=Supuestos!$B$6,0,$D$6)</f>
        <v>35566666.67</v>
      </c>
      <c r="BM13" s="28">
        <f>IF(BM$4&lt;=Supuestos!$B$6,0,$D$6)</f>
        <v>35566666.67</v>
      </c>
      <c r="BN13" s="28">
        <f>IF(BN$4&lt;=Supuestos!$B$6,0,$D$6)</f>
        <v>35566666.67</v>
      </c>
    </row>
    <row r="14">
      <c r="A14" s="22" t="s">
        <v>174</v>
      </c>
      <c r="B14" s="22" t="s">
        <v>556</v>
      </c>
      <c r="G14" s="28">
        <f>IF(G$4&lt;=Supuestos!$B$6,0,$D$7)</f>
        <v>0</v>
      </c>
      <c r="H14" s="28">
        <f>IF(H$4&lt;=Supuestos!$B$6,0,$D$7)</f>
        <v>0</v>
      </c>
      <c r="I14" s="28">
        <f>IF(I$4&lt;=Supuestos!$B$6,0,$D$7)</f>
        <v>0</v>
      </c>
      <c r="J14" s="28">
        <f>IF(J$4&lt;=Supuestos!$B$6,0,$D$7)</f>
        <v>0</v>
      </c>
      <c r="K14" s="28">
        <f>IF(K$4&lt;=Supuestos!$B$6,0,$D$7)</f>
        <v>6736111.111</v>
      </c>
      <c r="L14" s="28">
        <f>IF(L$4&lt;=Supuestos!$B$6,0,$D$7)</f>
        <v>6736111.111</v>
      </c>
      <c r="M14" s="28">
        <f>IF(M$4&lt;=Supuestos!$B$6,0,$D$7)</f>
        <v>6736111.111</v>
      </c>
      <c r="N14" s="28">
        <f>IF(N$4&lt;=Supuestos!$B$6,0,$D$7)</f>
        <v>6736111.111</v>
      </c>
      <c r="O14" s="28">
        <f>IF(O$4&lt;=Supuestos!$B$6,0,$D$7)</f>
        <v>6736111.111</v>
      </c>
      <c r="P14" s="28">
        <f>IF(P$4&lt;=Supuestos!$B$6,0,$D$7)</f>
        <v>6736111.111</v>
      </c>
      <c r="Q14" s="28">
        <f>IF(Q$4&lt;=Supuestos!$B$6,0,$D$7)</f>
        <v>6736111.111</v>
      </c>
      <c r="R14" s="28">
        <f>IF(R$4&lt;=Supuestos!$B$6,0,$D$7)</f>
        <v>6736111.111</v>
      </c>
      <c r="S14" s="28">
        <f>IF(S$4&lt;=Supuestos!$B$6,0,$D$7)</f>
        <v>6736111.111</v>
      </c>
      <c r="T14" s="28">
        <f>IF(T$4&lt;=Supuestos!$B$6,0,$D$7)</f>
        <v>6736111.111</v>
      </c>
      <c r="U14" s="28">
        <f>IF(U$4&lt;=Supuestos!$B$6,0,$D$7)</f>
        <v>6736111.111</v>
      </c>
      <c r="V14" s="28">
        <f>IF(V$4&lt;=Supuestos!$B$6,0,$D$7)</f>
        <v>6736111.111</v>
      </c>
      <c r="W14" s="28">
        <f>IF(W$4&lt;=Supuestos!$B$6,0,$D$7)</f>
        <v>6736111.111</v>
      </c>
      <c r="X14" s="28">
        <f>IF(X$4&lt;=Supuestos!$B$6,0,$D$7)</f>
        <v>6736111.111</v>
      </c>
      <c r="Y14" s="28">
        <f>IF(Y$4&lt;=Supuestos!$B$6,0,$D$7)</f>
        <v>6736111.111</v>
      </c>
      <c r="Z14" s="28">
        <f>IF(Z$4&lt;=Supuestos!$B$6,0,$D$7)</f>
        <v>6736111.111</v>
      </c>
      <c r="AA14" s="28">
        <f>IF(AA$4&lt;=Supuestos!$B$6,0,$D$7)</f>
        <v>6736111.111</v>
      </c>
      <c r="AB14" s="28">
        <f>IF(AB$4&lt;=Supuestos!$B$6,0,$D$7)</f>
        <v>6736111.111</v>
      </c>
      <c r="AC14" s="28">
        <f>IF(AC$4&lt;=Supuestos!$B$6,0,$D$7)</f>
        <v>6736111.111</v>
      </c>
      <c r="AD14" s="28">
        <f>IF(AD$4&lt;=Supuestos!$B$6,0,$D$7)</f>
        <v>6736111.111</v>
      </c>
      <c r="AE14" s="28">
        <f>IF(AE$4&lt;=Supuestos!$B$6,0,$D$7)</f>
        <v>6736111.111</v>
      </c>
      <c r="AF14" s="28">
        <f>IF(AF$4&lt;=Supuestos!$B$6,0,$D$7)</f>
        <v>6736111.111</v>
      </c>
      <c r="AG14" s="28">
        <f>IF(AG$4&lt;=Supuestos!$B$6,0,$D$7)</f>
        <v>6736111.111</v>
      </c>
      <c r="AH14" s="28">
        <f>IF(AH$4&lt;=Supuestos!$B$6,0,$D$7)</f>
        <v>6736111.111</v>
      </c>
      <c r="AI14" s="28">
        <f>IF(AI$4&lt;=Supuestos!$B$6,0,$D$7)</f>
        <v>6736111.111</v>
      </c>
      <c r="AJ14" s="28">
        <f>IF(AJ$4&lt;=Supuestos!$B$6,0,$D$7)</f>
        <v>6736111.111</v>
      </c>
      <c r="AK14" s="28">
        <f>IF(AK$4&lt;=Supuestos!$B$6,0,$D$7)</f>
        <v>6736111.111</v>
      </c>
      <c r="AL14" s="28">
        <f>IF(AL$4&lt;=Supuestos!$B$6,0,$D$7)</f>
        <v>6736111.111</v>
      </c>
      <c r="AM14" s="28">
        <f>IF(AM$4&lt;=Supuestos!$B$6,0,$D$7)</f>
        <v>6736111.111</v>
      </c>
      <c r="AN14" s="28">
        <f>IF(AN$4&lt;=Supuestos!$B$6,0,$D$7)</f>
        <v>6736111.111</v>
      </c>
      <c r="AO14" s="28">
        <f>IF(AO$4&lt;=Supuestos!$B$6,0,$D$7)</f>
        <v>6736111.111</v>
      </c>
      <c r="AP14" s="28">
        <f>IF(AP$4&lt;=Supuestos!$B$6,0,$D$7)</f>
        <v>6736111.111</v>
      </c>
      <c r="AQ14" s="28">
        <f>IF(AQ$4&lt;=Supuestos!$B$6,0,$D$7)</f>
        <v>6736111.111</v>
      </c>
      <c r="AR14" s="28">
        <f>IF(AR$4&lt;=Supuestos!$B$6,0,$D$7)</f>
        <v>6736111.111</v>
      </c>
      <c r="AS14" s="28">
        <f>IF(AS$4&lt;=Supuestos!$B$6,0,$D$7)</f>
        <v>6736111.111</v>
      </c>
      <c r="AT14" s="28">
        <f>IF(AT$4&lt;=Supuestos!$B$6,0,$D$7)</f>
        <v>6736111.111</v>
      </c>
      <c r="AU14" s="28">
        <f>IF(AU$4&lt;=Supuestos!$B$6,0,$D$7)</f>
        <v>6736111.111</v>
      </c>
      <c r="AV14" s="28">
        <f>IF(AV$4&lt;=Supuestos!$B$6,0,$D$7)</f>
        <v>6736111.111</v>
      </c>
      <c r="AW14" s="28">
        <f>IF(AW$4&lt;=Supuestos!$B$6,0,$D$7)</f>
        <v>6736111.111</v>
      </c>
      <c r="AX14" s="28">
        <f>IF(AX$4&lt;=Supuestos!$B$6,0,$D$7)</f>
        <v>6736111.111</v>
      </c>
      <c r="AY14" s="28">
        <f>IF(AY$4&lt;=Supuestos!$B$6,0,$D$7)</f>
        <v>6736111.111</v>
      </c>
      <c r="AZ14" s="28">
        <f>IF(AZ$4&lt;=Supuestos!$B$6,0,$D$7)</f>
        <v>6736111.111</v>
      </c>
      <c r="BA14" s="28">
        <f>IF(BA$4&lt;=Supuestos!$B$6,0,$D$7)</f>
        <v>6736111.111</v>
      </c>
      <c r="BB14" s="28">
        <f>IF(BB$4&lt;=Supuestos!$B$6,0,$D$7)</f>
        <v>6736111.111</v>
      </c>
      <c r="BC14" s="28">
        <f>IF(BC$4&lt;=Supuestos!$B$6,0,$D$7)</f>
        <v>6736111.111</v>
      </c>
      <c r="BD14" s="28">
        <f>IF(BD$4&lt;=Supuestos!$B$6,0,$D$7)</f>
        <v>6736111.111</v>
      </c>
      <c r="BE14" s="28">
        <f>IF(BE$4&lt;=Supuestos!$B$6,0,$D$7)</f>
        <v>6736111.111</v>
      </c>
      <c r="BF14" s="28">
        <f>IF(BF$4&lt;=Supuestos!$B$6,0,$D$7)</f>
        <v>6736111.111</v>
      </c>
      <c r="BG14" s="28">
        <f>IF(BG$4&lt;=Supuestos!$B$6,0,$D$7)</f>
        <v>6736111.111</v>
      </c>
      <c r="BH14" s="28">
        <f>IF(BH$4&lt;=Supuestos!$B$6,0,$D$7)</f>
        <v>6736111.111</v>
      </c>
      <c r="BI14" s="28">
        <f>IF(BI$4&lt;=Supuestos!$B$6,0,$D$7)</f>
        <v>6736111.111</v>
      </c>
      <c r="BJ14" s="28">
        <f>IF(BJ$4&lt;=Supuestos!$B$6,0,$D$7)</f>
        <v>6736111.111</v>
      </c>
      <c r="BK14" s="28">
        <f>IF(BK$4&lt;=Supuestos!$B$6,0,$D$7)</f>
        <v>6736111.111</v>
      </c>
      <c r="BL14" s="28">
        <f>IF(BL$4&lt;=Supuestos!$B$6,0,$D$7)</f>
        <v>6736111.111</v>
      </c>
      <c r="BM14" s="28">
        <f>IF(BM$4&lt;=Supuestos!$B$6,0,$D$7)</f>
        <v>6736111.111</v>
      </c>
      <c r="BN14" s="28">
        <f>IF(BN$4&lt;=Supuestos!$B$6,0,$D$7)</f>
        <v>6736111.111</v>
      </c>
    </row>
    <row r="15">
      <c r="A15" s="22" t="s">
        <v>176</v>
      </c>
      <c r="B15" s="22" t="s">
        <v>557</v>
      </c>
      <c r="G15" s="28">
        <f>IF(G$4&lt;=Supuestos!$B$6,0,$D$8)</f>
        <v>0</v>
      </c>
      <c r="H15" s="28">
        <f>IF(H$4&lt;=Supuestos!$B$6,0,$D$8)</f>
        <v>0</v>
      </c>
      <c r="I15" s="28">
        <f>IF(I$4&lt;=Supuestos!$B$6,0,$D$8)</f>
        <v>0</v>
      </c>
      <c r="J15" s="28">
        <f>IF(J$4&lt;=Supuestos!$B$6,0,$D$8)</f>
        <v>0</v>
      </c>
      <c r="K15" s="28">
        <f>IF(K$4&lt;=Supuestos!$B$6,0,$D$8)</f>
        <v>962500</v>
      </c>
      <c r="L15" s="28">
        <f>IF(L$4&lt;=Supuestos!$B$6,0,$D$8)</f>
        <v>962500</v>
      </c>
      <c r="M15" s="28">
        <f>IF(M$4&lt;=Supuestos!$B$6,0,$D$8)</f>
        <v>962500</v>
      </c>
      <c r="N15" s="28">
        <f>IF(N$4&lt;=Supuestos!$B$6,0,$D$8)</f>
        <v>962500</v>
      </c>
      <c r="O15" s="28">
        <f>IF(O$4&lt;=Supuestos!$B$6,0,$D$8)</f>
        <v>962500</v>
      </c>
      <c r="P15" s="28">
        <f>IF(P$4&lt;=Supuestos!$B$6,0,$D$8)</f>
        <v>962500</v>
      </c>
      <c r="Q15" s="28">
        <f>IF(Q$4&lt;=Supuestos!$B$6,0,$D$8)</f>
        <v>962500</v>
      </c>
      <c r="R15" s="28">
        <f>IF(R$4&lt;=Supuestos!$B$6,0,$D$8)</f>
        <v>962500</v>
      </c>
      <c r="S15" s="28">
        <f>IF(S$4&lt;=Supuestos!$B$6,0,$D$8)</f>
        <v>962500</v>
      </c>
      <c r="T15" s="28">
        <f>IF(T$4&lt;=Supuestos!$B$6,0,$D$8)</f>
        <v>962500</v>
      </c>
      <c r="U15" s="28">
        <f>IF(U$4&lt;=Supuestos!$B$6,0,$D$8)</f>
        <v>962500</v>
      </c>
      <c r="V15" s="28">
        <f>IF(V$4&lt;=Supuestos!$B$6,0,$D$8)</f>
        <v>962500</v>
      </c>
      <c r="W15" s="28">
        <f>IF(W$4&lt;=Supuestos!$B$6,0,$D$8)</f>
        <v>962500</v>
      </c>
      <c r="X15" s="28">
        <f>IF(X$4&lt;=Supuestos!$B$6,0,$D$8)</f>
        <v>962500</v>
      </c>
      <c r="Y15" s="28">
        <f>IF(Y$4&lt;=Supuestos!$B$6,0,$D$8)</f>
        <v>962500</v>
      </c>
      <c r="Z15" s="28">
        <f>IF(Z$4&lt;=Supuestos!$B$6,0,$D$8)</f>
        <v>962500</v>
      </c>
      <c r="AA15" s="28">
        <f>IF(AA$4&lt;=Supuestos!$B$6,0,$D$8)</f>
        <v>962500</v>
      </c>
      <c r="AB15" s="28">
        <f>IF(AB$4&lt;=Supuestos!$B$6,0,$D$8)</f>
        <v>962500</v>
      </c>
      <c r="AC15" s="28">
        <f>IF(AC$4&lt;=Supuestos!$B$6,0,$D$8)</f>
        <v>962500</v>
      </c>
      <c r="AD15" s="28">
        <f>IF(AD$4&lt;=Supuestos!$B$6,0,$D$8)</f>
        <v>962500</v>
      </c>
      <c r="AE15" s="28">
        <f>IF(AE$4&lt;=Supuestos!$B$6,0,$D$8)</f>
        <v>962500</v>
      </c>
      <c r="AF15" s="28">
        <f>IF(AF$4&lt;=Supuestos!$B$6,0,$D$8)</f>
        <v>962500</v>
      </c>
      <c r="AG15" s="28">
        <f>IF(AG$4&lt;=Supuestos!$B$6,0,$D$8)</f>
        <v>962500</v>
      </c>
      <c r="AH15" s="28">
        <f>IF(AH$4&lt;=Supuestos!$B$6,0,$D$8)</f>
        <v>962500</v>
      </c>
      <c r="AI15" s="28">
        <f>IF(AI$4&lt;=Supuestos!$B$6,0,$D$8)</f>
        <v>962500</v>
      </c>
      <c r="AJ15" s="28">
        <f>IF(AJ$4&lt;=Supuestos!$B$6,0,$D$8)</f>
        <v>962500</v>
      </c>
      <c r="AK15" s="28">
        <f>IF(AK$4&lt;=Supuestos!$B$6,0,$D$8)</f>
        <v>962500</v>
      </c>
      <c r="AL15" s="28">
        <f>IF(AL$4&lt;=Supuestos!$B$6,0,$D$8)</f>
        <v>962500</v>
      </c>
      <c r="AM15" s="28">
        <f>IF(AM$4&lt;=Supuestos!$B$6,0,$D$8)</f>
        <v>962500</v>
      </c>
      <c r="AN15" s="28">
        <f>IF(AN$4&lt;=Supuestos!$B$6,0,$D$8)</f>
        <v>962500</v>
      </c>
      <c r="AO15" s="28">
        <f>IF(AO$4&lt;=Supuestos!$B$6,0,$D$8)</f>
        <v>962500</v>
      </c>
      <c r="AP15" s="28">
        <f>IF(AP$4&lt;=Supuestos!$B$6,0,$D$8)</f>
        <v>962500</v>
      </c>
      <c r="AQ15" s="28">
        <f>IF(AQ$4&lt;=Supuestos!$B$6,0,$D$8)</f>
        <v>962500</v>
      </c>
      <c r="AR15" s="28">
        <f>IF(AR$4&lt;=Supuestos!$B$6,0,$D$8)</f>
        <v>962500</v>
      </c>
      <c r="AS15" s="28">
        <f>IF(AS$4&lt;=Supuestos!$B$6,0,$D$8)</f>
        <v>962500</v>
      </c>
      <c r="AT15" s="28">
        <f>IF(AT$4&lt;=Supuestos!$B$6,0,$D$8)</f>
        <v>962500</v>
      </c>
      <c r="AU15" s="28">
        <f>IF(AU$4&lt;=Supuestos!$B$6,0,$D$8)</f>
        <v>962500</v>
      </c>
      <c r="AV15" s="28">
        <f>IF(AV$4&lt;=Supuestos!$B$6,0,$D$8)</f>
        <v>962500</v>
      </c>
      <c r="AW15" s="28">
        <f>IF(AW$4&lt;=Supuestos!$B$6,0,$D$8)</f>
        <v>962500</v>
      </c>
      <c r="AX15" s="28">
        <f>IF(AX$4&lt;=Supuestos!$B$6,0,$D$8)</f>
        <v>962500</v>
      </c>
      <c r="AY15" s="28">
        <f>IF(AY$4&lt;=Supuestos!$B$6,0,$D$8)</f>
        <v>962500</v>
      </c>
      <c r="AZ15" s="28">
        <f>IF(AZ$4&lt;=Supuestos!$B$6,0,$D$8)</f>
        <v>962500</v>
      </c>
      <c r="BA15" s="28">
        <f>IF(BA$4&lt;=Supuestos!$B$6,0,$D$8)</f>
        <v>962500</v>
      </c>
      <c r="BB15" s="28">
        <f>IF(BB$4&lt;=Supuestos!$B$6,0,$D$8)</f>
        <v>962500</v>
      </c>
      <c r="BC15" s="28">
        <f>IF(BC$4&lt;=Supuestos!$B$6,0,$D$8)</f>
        <v>962500</v>
      </c>
      <c r="BD15" s="28">
        <f>IF(BD$4&lt;=Supuestos!$B$6,0,$D$8)</f>
        <v>962500</v>
      </c>
      <c r="BE15" s="28">
        <f>IF(BE$4&lt;=Supuestos!$B$6,0,$D$8)</f>
        <v>962500</v>
      </c>
      <c r="BF15" s="28">
        <f>IF(BF$4&lt;=Supuestos!$B$6,0,$D$8)</f>
        <v>962500</v>
      </c>
      <c r="BG15" s="28">
        <f>IF(BG$4&lt;=Supuestos!$B$6,0,$D$8)</f>
        <v>962500</v>
      </c>
      <c r="BH15" s="28">
        <f>IF(BH$4&lt;=Supuestos!$B$6,0,$D$8)</f>
        <v>962500</v>
      </c>
      <c r="BI15" s="28">
        <f>IF(BI$4&lt;=Supuestos!$B$6,0,$D$8)</f>
        <v>962500</v>
      </c>
      <c r="BJ15" s="28">
        <f>IF(BJ$4&lt;=Supuestos!$B$6,0,$D$8)</f>
        <v>962500</v>
      </c>
      <c r="BK15" s="28">
        <f>IF(BK$4&lt;=Supuestos!$B$6,0,$D$8)</f>
        <v>962500</v>
      </c>
      <c r="BL15" s="28">
        <f>IF(BL$4&lt;=Supuestos!$B$6,0,$D$8)</f>
        <v>962500</v>
      </c>
      <c r="BM15" s="28">
        <f>IF(BM$4&lt;=Supuestos!$B$6,0,$D$8)</f>
        <v>962500</v>
      </c>
      <c r="BN15" s="28">
        <f>IF(BN$4&lt;=Supuestos!$B$6,0,$D$8)</f>
        <v>962500</v>
      </c>
    </row>
    <row r="16">
      <c r="A16" s="22" t="s">
        <v>178</v>
      </c>
      <c r="B16" s="22" t="s">
        <v>558</v>
      </c>
      <c r="G16" s="28">
        <f t="shared" ref="G16:BN16" si="2">SUM(G11:G15)</f>
        <v>0</v>
      </c>
      <c r="H16" s="28">
        <f t="shared" si="2"/>
        <v>0</v>
      </c>
      <c r="I16" s="28">
        <f t="shared" si="2"/>
        <v>0</v>
      </c>
      <c r="J16" s="28">
        <f t="shared" si="2"/>
        <v>0</v>
      </c>
      <c r="K16" s="28">
        <f t="shared" si="2"/>
        <v>211495655.6</v>
      </c>
      <c r="L16" s="28">
        <f t="shared" si="2"/>
        <v>211495655.6</v>
      </c>
      <c r="M16" s="28">
        <f t="shared" si="2"/>
        <v>211495655.6</v>
      </c>
      <c r="N16" s="28">
        <f t="shared" si="2"/>
        <v>211495655.6</v>
      </c>
      <c r="O16" s="28">
        <f t="shared" si="2"/>
        <v>211495655.6</v>
      </c>
      <c r="P16" s="28">
        <f t="shared" si="2"/>
        <v>211495655.6</v>
      </c>
      <c r="Q16" s="28">
        <f t="shared" si="2"/>
        <v>211495655.6</v>
      </c>
      <c r="R16" s="28">
        <f t="shared" si="2"/>
        <v>211495655.6</v>
      </c>
      <c r="S16" s="28">
        <f t="shared" si="2"/>
        <v>211495655.6</v>
      </c>
      <c r="T16" s="28">
        <f t="shared" si="2"/>
        <v>211495655.6</v>
      </c>
      <c r="U16" s="28">
        <f t="shared" si="2"/>
        <v>211495655.6</v>
      </c>
      <c r="V16" s="28">
        <f t="shared" si="2"/>
        <v>211495655.6</v>
      </c>
      <c r="W16" s="28">
        <f t="shared" si="2"/>
        <v>211495655.6</v>
      </c>
      <c r="X16" s="28">
        <f t="shared" si="2"/>
        <v>211495655.6</v>
      </c>
      <c r="Y16" s="28">
        <f t="shared" si="2"/>
        <v>211495655.6</v>
      </c>
      <c r="Z16" s="28">
        <f t="shared" si="2"/>
        <v>211495655.6</v>
      </c>
      <c r="AA16" s="28">
        <f t="shared" si="2"/>
        <v>211495655.6</v>
      </c>
      <c r="AB16" s="28">
        <f t="shared" si="2"/>
        <v>211495655.6</v>
      </c>
      <c r="AC16" s="28">
        <f t="shared" si="2"/>
        <v>211495655.6</v>
      </c>
      <c r="AD16" s="28">
        <f t="shared" si="2"/>
        <v>211495655.6</v>
      </c>
      <c r="AE16" s="28">
        <f t="shared" si="2"/>
        <v>211495655.6</v>
      </c>
      <c r="AF16" s="28">
        <f t="shared" si="2"/>
        <v>211495655.6</v>
      </c>
      <c r="AG16" s="28">
        <f t="shared" si="2"/>
        <v>211495655.6</v>
      </c>
      <c r="AH16" s="28">
        <f t="shared" si="2"/>
        <v>211495655.6</v>
      </c>
      <c r="AI16" s="28">
        <f t="shared" si="2"/>
        <v>211495655.6</v>
      </c>
      <c r="AJ16" s="28">
        <f t="shared" si="2"/>
        <v>211495655.6</v>
      </c>
      <c r="AK16" s="28">
        <f t="shared" si="2"/>
        <v>211495655.6</v>
      </c>
      <c r="AL16" s="28">
        <f t="shared" si="2"/>
        <v>211495655.6</v>
      </c>
      <c r="AM16" s="28">
        <f t="shared" si="2"/>
        <v>211495655.6</v>
      </c>
      <c r="AN16" s="28">
        <f t="shared" si="2"/>
        <v>211495655.6</v>
      </c>
      <c r="AO16" s="28">
        <f t="shared" si="2"/>
        <v>211495655.6</v>
      </c>
      <c r="AP16" s="28">
        <f t="shared" si="2"/>
        <v>211495655.6</v>
      </c>
      <c r="AQ16" s="28">
        <f t="shared" si="2"/>
        <v>211495655.6</v>
      </c>
      <c r="AR16" s="28">
        <f t="shared" si="2"/>
        <v>211495655.6</v>
      </c>
      <c r="AS16" s="28">
        <f t="shared" si="2"/>
        <v>211495655.6</v>
      </c>
      <c r="AT16" s="28">
        <f t="shared" si="2"/>
        <v>211495655.6</v>
      </c>
      <c r="AU16" s="28">
        <f t="shared" si="2"/>
        <v>211495655.6</v>
      </c>
      <c r="AV16" s="28">
        <f t="shared" si="2"/>
        <v>211495655.6</v>
      </c>
      <c r="AW16" s="28">
        <f t="shared" si="2"/>
        <v>211495655.6</v>
      </c>
      <c r="AX16" s="28">
        <f t="shared" si="2"/>
        <v>211495655.6</v>
      </c>
      <c r="AY16" s="28">
        <f t="shared" si="2"/>
        <v>211495655.6</v>
      </c>
      <c r="AZ16" s="28">
        <f t="shared" si="2"/>
        <v>211495655.6</v>
      </c>
      <c r="BA16" s="28">
        <f t="shared" si="2"/>
        <v>211495655.6</v>
      </c>
      <c r="BB16" s="28">
        <f t="shared" si="2"/>
        <v>211495655.6</v>
      </c>
      <c r="BC16" s="28">
        <f t="shared" si="2"/>
        <v>211495655.6</v>
      </c>
      <c r="BD16" s="28">
        <f t="shared" si="2"/>
        <v>211495655.6</v>
      </c>
      <c r="BE16" s="28">
        <f t="shared" si="2"/>
        <v>211495655.6</v>
      </c>
      <c r="BF16" s="28">
        <f t="shared" si="2"/>
        <v>211495655.6</v>
      </c>
      <c r="BG16" s="28">
        <f t="shared" si="2"/>
        <v>211495655.6</v>
      </c>
      <c r="BH16" s="28">
        <f t="shared" si="2"/>
        <v>211495655.6</v>
      </c>
      <c r="BI16" s="28">
        <f t="shared" si="2"/>
        <v>211495655.6</v>
      </c>
      <c r="BJ16" s="28">
        <f t="shared" si="2"/>
        <v>211495655.6</v>
      </c>
      <c r="BK16" s="28">
        <f t="shared" si="2"/>
        <v>211495655.6</v>
      </c>
      <c r="BL16" s="28">
        <f t="shared" si="2"/>
        <v>211495655.6</v>
      </c>
      <c r="BM16" s="28">
        <f t="shared" si="2"/>
        <v>211495655.6</v>
      </c>
      <c r="BN16" s="28">
        <f t="shared" si="2"/>
        <v>211495655.6</v>
      </c>
    </row>
    <row r="17">
      <c r="A17" s="22" t="s">
        <v>180</v>
      </c>
      <c r="B17" s="22" t="s">
        <v>559</v>
      </c>
      <c r="G17" s="28">
        <f t="array" ref="G17">CAPEX_Benchmark!$J$31*INDEX(Cronograma!$C$5:$BJ$5,1,G$4)+Licencias!$H$13*INDEX(Cronograma!$C$6:$BJ$6,1,G$4)-G16</f>
        <v>4430384472</v>
      </c>
      <c r="H17" s="28">
        <f t="array" ref="H17">G17+CAPEX_Benchmark!$J$31*INDEX(Cronograma!$C$5:$BJ$5,1,H$4)+Licencias!$H$13*INDEX(Cronograma!$C$6:$BJ$6,1,H$4)-H16</f>
        <v>12170563547</v>
      </c>
      <c r="I17" s="28">
        <f t="array" ref="I17">H17+CAPEX_Benchmark!$J$31*INDEX(Cronograma!$C$5:$BJ$5,1,I$4)+Licencias!$H$13*INDEX(Cronograma!$C$6:$BJ$6,1,I$4)-I16</f>
        <v>17686887886</v>
      </c>
      <c r="J17" s="28">
        <f t="array" ref="J17">I17+CAPEX_Benchmark!$J$31*INDEX(Cronograma!$C$5:$BJ$5,1,J$4)+Licencias!$H$13*INDEX(Cronograma!$C$6:$BJ$6,1,J$4)-J16</f>
        <v>22099947358</v>
      </c>
      <c r="K17" s="28">
        <f t="array" ref="K17">J17+CAPEX_Benchmark!$J$31*INDEX(Cronograma!$C$5:$BJ$5,1,K$4)+Licencias!$H$13*INDEX(Cronograma!$C$6:$BJ$6,1,K$4)-K16</f>
        <v>21888451702</v>
      </c>
      <c r="L17" s="28">
        <f t="array" ref="L17">K17+CAPEX_Benchmark!$J$31*INDEX(Cronograma!$C$5:$BJ$5,1,L$4)+Licencias!$H$13*INDEX(Cronograma!$C$6:$BJ$6,1,L$4)-L16</f>
        <v>21676956047</v>
      </c>
      <c r="M17" s="28">
        <f t="array" ref="M17">L17+CAPEX_Benchmark!$J$31*INDEX(Cronograma!$C$5:$BJ$5,1,M$4)+Licencias!$H$13*INDEX(Cronograma!$C$6:$BJ$6,1,M$4)-M16</f>
        <v>21465460391</v>
      </c>
      <c r="N17" s="28">
        <f t="array" ref="N17">M17+CAPEX_Benchmark!$J$31*INDEX(Cronograma!$C$5:$BJ$5,1,N$4)+Licencias!$H$13*INDEX(Cronograma!$C$6:$BJ$6,1,N$4)-N16</f>
        <v>21253964736</v>
      </c>
      <c r="O17" s="28">
        <f t="array" ref="O17">N17+CAPEX_Benchmark!$J$31*INDEX(Cronograma!$C$5:$BJ$5,1,O$4)+Licencias!$H$13*INDEX(Cronograma!$C$6:$BJ$6,1,O$4)-O16</f>
        <v>21042469080</v>
      </c>
      <c r="P17" s="28">
        <f t="array" ref="P17">O17+CAPEX_Benchmark!$J$31*INDEX(Cronograma!$C$5:$BJ$5,1,P$4)+Licencias!$H$13*INDEX(Cronograma!$C$6:$BJ$6,1,P$4)-P16</f>
        <v>20830973425</v>
      </c>
      <c r="Q17" s="28">
        <f t="array" ref="Q17">P17+CAPEX_Benchmark!$J$31*INDEX(Cronograma!$C$5:$BJ$5,1,Q$4)+Licencias!$H$13*INDEX(Cronograma!$C$6:$BJ$6,1,Q$4)-Q16</f>
        <v>20619477769</v>
      </c>
      <c r="R17" s="28">
        <f t="array" ref="R17">Q17+CAPEX_Benchmark!$J$31*INDEX(Cronograma!$C$5:$BJ$5,1,R$4)+Licencias!$H$13*INDEX(Cronograma!$C$6:$BJ$6,1,R$4)-R16</f>
        <v>20407982113</v>
      </c>
      <c r="S17" s="28">
        <f t="array" ref="S17">R17+CAPEX_Benchmark!$J$31*INDEX(Cronograma!$C$5:$BJ$5,1,S$4)+Licencias!$H$13*INDEX(Cronograma!$C$6:$BJ$6,1,S$4)-S16</f>
        <v>20196486458</v>
      </c>
      <c r="T17" s="28">
        <f t="array" ref="T17">S17+CAPEX_Benchmark!$J$31*INDEX(Cronograma!$C$5:$BJ$5,1,T$4)+Licencias!$H$13*INDEX(Cronograma!$C$6:$BJ$6,1,T$4)-T16</f>
        <v>19984990802</v>
      </c>
      <c r="U17" s="28">
        <f t="array" ref="U17">T17+CAPEX_Benchmark!$J$31*INDEX(Cronograma!$C$5:$BJ$5,1,U$4)+Licencias!$H$13*INDEX(Cronograma!$C$6:$BJ$6,1,U$4)-U16</f>
        <v>19773495147</v>
      </c>
      <c r="V17" s="28">
        <f t="array" ref="V17">U17+CAPEX_Benchmark!$J$31*INDEX(Cronograma!$C$5:$BJ$5,1,V$4)+Licencias!$H$13*INDEX(Cronograma!$C$6:$BJ$6,1,V$4)-V16</f>
        <v>19561999491</v>
      </c>
      <c r="W17" s="28">
        <f t="array" ref="W17">V17+CAPEX_Benchmark!$J$31*INDEX(Cronograma!$C$5:$BJ$5,1,W$4)+Licencias!$H$13*INDEX(Cronograma!$C$6:$BJ$6,1,W$4)-W16</f>
        <v>19350503836</v>
      </c>
      <c r="X17" s="28">
        <f t="array" ref="X17">W17+CAPEX_Benchmark!$J$31*INDEX(Cronograma!$C$5:$BJ$5,1,X$4)+Licencias!$H$13*INDEX(Cronograma!$C$6:$BJ$6,1,X$4)-X16</f>
        <v>19139008180</v>
      </c>
      <c r="Y17" s="28">
        <f t="array" ref="Y17">X17+CAPEX_Benchmark!$J$31*INDEX(Cronograma!$C$5:$BJ$5,1,Y$4)+Licencias!$H$13*INDEX(Cronograma!$C$6:$BJ$6,1,Y$4)-Y16</f>
        <v>18927512524</v>
      </c>
      <c r="Z17" s="28">
        <f t="array" ref="Z17">Y17+CAPEX_Benchmark!$J$31*INDEX(Cronograma!$C$5:$BJ$5,1,Z$4)+Licencias!$H$13*INDEX(Cronograma!$C$6:$BJ$6,1,Z$4)-Z16</f>
        <v>18716016869</v>
      </c>
      <c r="AA17" s="28">
        <f t="array" ref="AA17">Z17+CAPEX_Benchmark!$J$31*INDEX(Cronograma!$C$5:$BJ$5,1,AA$4)+Licencias!$H$13*INDEX(Cronograma!$C$6:$BJ$6,1,AA$4)-AA16</f>
        <v>18504521213</v>
      </c>
      <c r="AB17" s="28">
        <f t="array" ref="AB17">AA17+CAPEX_Benchmark!$J$31*INDEX(Cronograma!$C$5:$BJ$5,1,AB$4)+Licencias!$H$13*INDEX(Cronograma!$C$6:$BJ$6,1,AB$4)-AB16</f>
        <v>18293025558</v>
      </c>
      <c r="AC17" s="28">
        <f t="array" ref="AC17">AB17+CAPEX_Benchmark!$J$31*INDEX(Cronograma!$C$5:$BJ$5,1,AC$4)+Licencias!$H$13*INDEX(Cronograma!$C$6:$BJ$6,1,AC$4)-AC16</f>
        <v>18081529902</v>
      </c>
      <c r="AD17" s="28">
        <f t="array" ref="AD17">AC17+CAPEX_Benchmark!$J$31*INDEX(Cronograma!$C$5:$BJ$5,1,AD$4)+Licencias!$H$13*INDEX(Cronograma!$C$6:$BJ$6,1,AD$4)-AD16</f>
        <v>17870034247</v>
      </c>
      <c r="AE17" s="28">
        <f t="array" ref="AE17">AD17+CAPEX_Benchmark!$J$31*INDEX(Cronograma!$C$5:$BJ$5,1,AE$4)+Licencias!$H$13*INDEX(Cronograma!$C$6:$BJ$6,1,AE$4)-AE16</f>
        <v>17658538591</v>
      </c>
      <c r="AF17" s="28">
        <f t="array" ref="AF17">AE17+CAPEX_Benchmark!$J$31*INDEX(Cronograma!$C$5:$BJ$5,1,AF$4)+Licencias!$H$13*INDEX(Cronograma!$C$6:$BJ$6,1,AF$4)-AF16</f>
        <v>17447042935</v>
      </c>
      <c r="AG17" s="28">
        <f t="array" ref="AG17">AF17+CAPEX_Benchmark!$J$31*INDEX(Cronograma!$C$5:$BJ$5,1,AG$4)+Licencias!$H$13*INDEX(Cronograma!$C$6:$BJ$6,1,AG$4)-AG16</f>
        <v>17235547280</v>
      </c>
      <c r="AH17" s="28">
        <f t="array" ref="AH17">AG17+CAPEX_Benchmark!$J$31*INDEX(Cronograma!$C$5:$BJ$5,1,AH$4)+Licencias!$H$13*INDEX(Cronograma!$C$6:$BJ$6,1,AH$4)-AH16</f>
        <v>17024051624</v>
      </c>
      <c r="AI17" s="28">
        <f t="array" ref="AI17">AH17+CAPEX_Benchmark!$J$31*INDEX(Cronograma!$C$5:$BJ$5,1,AI$4)+Licencias!$H$13*INDEX(Cronograma!$C$6:$BJ$6,1,AI$4)-AI16</f>
        <v>16812555969</v>
      </c>
      <c r="AJ17" s="28">
        <f t="array" ref="AJ17">AI17+CAPEX_Benchmark!$J$31*INDEX(Cronograma!$C$5:$BJ$5,1,AJ$4)+Licencias!$H$13*INDEX(Cronograma!$C$6:$BJ$6,1,AJ$4)-AJ16</f>
        <v>16601060313</v>
      </c>
      <c r="AK17" s="28">
        <f t="array" ref="AK17">AJ17+CAPEX_Benchmark!$J$31*INDEX(Cronograma!$C$5:$BJ$5,1,AK$4)+Licencias!$H$13*INDEX(Cronograma!$C$6:$BJ$6,1,AK$4)-AK16</f>
        <v>16389564658</v>
      </c>
      <c r="AL17" s="28">
        <f t="array" ref="AL17">AK17+CAPEX_Benchmark!$J$31*INDEX(Cronograma!$C$5:$BJ$5,1,AL$4)+Licencias!$H$13*INDEX(Cronograma!$C$6:$BJ$6,1,AL$4)-AL16</f>
        <v>16178069002</v>
      </c>
      <c r="AM17" s="28">
        <f t="array" ref="AM17">AL17+CAPEX_Benchmark!$J$31*INDEX(Cronograma!$C$5:$BJ$5,1,AM$4)+Licencias!$H$13*INDEX(Cronograma!$C$6:$BJ$6,1,AM$4)-AM16</f>
        <v>15966573346</v>
      </c>
      <c r="AN17" s="28">
        <f t="array" ref="AN17">AM17+CAPEX_Benchmark!$J$31*INDEX(Cronograma!$C$5:$BJ$5,1,AN$4)+Licencias!$H$13*INDEX(Cronograma!$C$6:$BJ$6,1,AN$4)-AN16</f>
        <v>15755077691</v>
      </c>
      <c r="AO17" s="28">
        <f t="array" ref="AO17">AN17+CAPEX_Benchmark!$J$31*INDEX(Cronograma!$C$5:$BJ$5,1,AO$4)+Licencias!$H$13*INDEX(Cronograma!$C$6:$BJ$6,1,AO$4)-AO16</f>
        <v>15543582035</v>
      </c>
      <c r="AP17" s="28">
        <f t="array" ref="AP17">AO17+CAPEX_Benchmark!$J$31*INDEX(Cronograma!$C$5:$BJ$5,1,AP$4)+Licencias!$H$13*INDEX(Cronograma!$C$6:$BJ$6,1,AP$4)-AP16</f>
        <v>15332086380</v>
      </c>
      <c r="AQ17" s="28">
        <f t="array" ref="AQ17">AP17+CAPEX_Benchmark!$J$31*INDEX(Cronograma!$C$5:$BJ$5,1,AQ$4)+Licencias!$H$13*INDEX(Cronograma!$C$6:$BJ$6,1,AQ$4)-AQ16</f>
        <v>15120590724</v>
      </c>
      <c r="AR17" s="28">
        <f t="array" ref="AR17">AQ17+CAPEX_Benchmark!$J$31*INDEX(Cronograma!$C$5:$BJ$5,1,AR$4)+Licencias!$H$13*INDEX(Cronograma!$C$6:$BJ$6,1,AR$4)-AR16</f>
        <v>14909095069</v>
      </c>
      <c r="AS17" s="28">
        <f t="array" ref="AS17">AR17+CAPEX_Benchmark!$J$31*INDEX(Cronograma!$C$5:$BJ$5,1,AS$4)+Licencias!$H$13*INDEX(Cronograma!$C$6:$BJ$6,1,AS$4)-AS16</f>
        <v>14697599413</v>
      </c>
      <c r="AT17" s="28">
        <f t="array" ref="AT17">AS17+CAPEX_Benchmark!$J$31*INDEX(Cronograma!$C$5:$BJ$5,1,AT$4)+Licencias!$H$13*INDEX(Cronograma!$C$6:$BJ$6,1,AT$4)-AT16</f>
        <v>14486103757</v>
      </c>
      <c r="AU17" s="28">
        <f t="array" ref="AU17">AT17+CAPEX_Benchmark!$J$31*INDEX(Cronograma!$C$5:$BJ$5,1,AU$4)+Licencias!$H$13*INDEX(Cronograma!$C$6:$BJ$6,1,AU$4)-AU16</f>
        <v>14274608102</v>
      </c>
      <c r="AV17" s="28">
        <f t="array" ref="AV17">AU17+CAPEX_Benchmark!$J$31*INDEX(Cronograma!$C$5:$BJ$5,1,AV$4)+Licencias!$H$13*INDEX(Cronograma!$C$6:$BJ$6,1,AV$4)-AV16</f>
        <v>14063112446</v>
      </c>
      <c r="AW17" s="28">
        <f t="array" ref="AW17">AV17+CAPEX_Benchmark!$J$31*INDEX(Cronograma!$C$5:$BJ$5,1,AW$4)+Licencias!$H$13*INDEX(Cronograma!$C$6:$BJ$6,1,AW$4)-AW16</f>
        <v>13851616791</v>
      </c>
      <c r="AX17" s="28">
        <f t="array" ref="AX17">AW17+CAPEX_Benchmark!$J$31*INDEX(Cronograma!$C$5:$BJ$5,1,AX$4)+Licencias!$H$13*INDEX(Cronograma!$C$6:$BJ$6,1,AX$4)-AX16</f>
        <v>13640121135</v>
      </c>
      <c r="AY17" s="28">
        <f t="array" ref="AY17">AX17+CAPEX_Benchmark!$J$31*INDEX(Cronograma!$C$5:$BJ$5,1,AY$4)+Licencias!$H$13*INDEX(Cronograma!$C$6:$BJ$6,1,AY$4)-AY16</f>
        <v>13428625480</v>
      </c>
      <c r="AZ17" s="28">
        <f t="array" ref="AZ17">AY17+CAPEX_Benchmark!$J$31*INDEX(Cronograma!$C$5:$BJ$5,1,AZ$4)+Licencias!$H$13*INDEX(Cronograma!$C$6:$BJ$6,1,AZ$4)-AZ16</f>
        <v>13217129824</v>
      </c>
      <c r="BA17" s="28">
        <f t="array" ref="BA17">AZ17+CAPEX_Benchmark!$J$31*INDEX(Cronograma!$C$5:$BJ$5,1,BA$4)+Licencias!$H$13*INDEX(Cronograma!$C$6:$BJ$6,1,BA$4)-BA16</f>
        <v>13005634168</v>
      </c>
      <c r="BB17" s="28">
        <f t="array" ref="BB17">BA17+CAPEX_Benchmark!$J$31*INDEX(Cronograma!$C$5:$BJ$5,1,BB$4)+Licencias!$H$13*INDEX(Cronograma!$C$6:$BJ$6,1,BB$4)-BB16</f>
        <v>12794138513</v>
      </c>
      <c r="BC17" s="28">
        <f t="array" ref="BC17">BB17+CAPEX_Benchmark!$J$31*INDEX(Cronograma!$C$5:$BJ$5,1,BC$4)+Licencias!$H$13*INDEX(Cronograma!$C$6:$BJ$6,1,BC$4)-BC16</f>
        <v>12582642857</v>
      </c>
      <c r="BD17" s="28">
        <f t="array" ref="BD17">BC17+CAPEX_Benchmark!$J$31*INDEX(Cronograma!$C$5:$BJ$5,1,BD$4)+Licencias!$H$13*INDEX(Cronograma!$C$6:$BJ$6,1,BD$4)-BD16</f>
        <v>12371147202</v>
      </c>
      <c r="BE17" s="28">
        <f t="array" ref="BE17">BD17+CAPEX_Benchmark!$J$31*INDEX(Cronograma!$C$5:$BJ$5,1,BE$4)+Licencias!$H$13*INDEX(Cronograma!$C$6:$BJ$6,1,BE$4)-BE16</f>
        <v>12159651546</v>
      </c>
      <c r="BF17" s="28">
        <f t="array" ref="BF17">BE17+CAPEX_Benchmark!$J$31*INDEX(Cronograma!$C$5:$BJ$5,1,BF$4)+Licencias!$H$13*INDEX(Cronograma!$C$6:$BJ$6,1,BF$4)-BF16</f>
        <v>11948155891</v>
      </c>
      <c r="BG17" s="28">
        <f t="array" ref="BG17">BF17+CAPEX_Benchmark!$J$31*INDEX(Cronograma!$C$5:$BJ$5,1,BG$4)+Licencias!$H$13*INDEX(Cronograma!$C$6:$BJ$6,1,BG$4)-BG16</f>
        <v>11736660235</v>
      </c>
      <c r="BH17" s="28">
        <f t="array" ref="BH17">BG17+CAPEX_Benchmark!$J$31*INDEX(Cronograma!$C$5:$BJ$5,1,BH$4)+Licencias!$H$13*INDEX(Cronograma!$C$6:$BJ$6,1,BH$4)-BH16</f>
        <v>11525164579</v>
      </c>
      <c r="BI17" s="28">
        <f t="array" ref="BI17">BH17+CAPEX_Benchmark!$J$31*INDEX(Cronograma!$C$5:$BJ$5,1,BI$4)+Licencias!$H$13*INDEX(Cronograma!$C$6:$BJ$6,1,BI$4)-BI16</f>
        <v>11313668924</v>
      </c>
      <c r="BJ17" s="28">
        <f t="array" ref="BJ17">BI17+CAPEX_Benchmark!$J$31*INDEX(Cronograma!$C$5:$BJ$5,1,BJ$4)+Licencias!$H$13*INDEX(Cronograma!$C$6:$BJ$6,1,BJ$4)-BJ16</f>
        <v>11102173268</v>
      </c>
      <c r="BK17" s="28">
        <f t="array" ref="BK17">BJ17+CAPEX_Benchmark!$J$31*INDEX(Cronograma!$C$5:$BJ$5,1,BK$4)+Licencias!$H$13*INDEX(Cronograma!$C$6:$BJ$6,1,BK$4)-BK16</f>
        <v>10890677613</v>
      </c>
      <c r="BL17" s="28">
        <f t="array" ref="BL17">BK17+CAPEX_Benchmark!$J$31*INDEX(Cronograma!$C$5:$BJ$5,1,BL$4)+Licencias!$H$13*INDEX(Cronograma!$C$6:$BJ$6,1,BL$4)-BL16</f>
        <v>10679181957</v>
      </c>
      <c r="BM17" s="28">
        <f t="array" ref="BM17">BL17+CAPEX_Benchmark!$J$31*INDEX(Cronograma!$C$5:$BJ$5,1,BM$4)+Licencias!$H$13*INDEX(Cronograma!$C$6:$BJ$6,1,BM$4)-BM16</f>
        <v>10467686302</v>
      </c>
      <c r="BN17" s="28">
        <f t="array" ref="BN17">BM17+CAPEX_Benchmark!$J$31*INDEX(Cronograma!$C$5:$BJ$5,1,BN$4)+Licencias!$H$13*INDEX(Cronograma!$C$6:$BJ$6,1,BN$4)-BN16</f>
        <v>10256190646</v>
      </c>
    </row>
    <row r="18">
      <c r="A18" s="22" t="s">
        <v>180</v>
      </c>
      <c r="B18" s="22" t="s">
        <v>560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">
    <mergeCell ref="A1:J1"/>
  </mergeCells>
  <printOptions/>
  <pageMargins bottom="0.75" footer="0.0" header="0.0" left="0.7" right="0.7" top="0.75"/>
  <pageSetup orientation="landscape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8.0"/>
    <col customWidth="1" min="2" max="2" width="28.0"/>
    <col customWidth="1" min="3" max="66" width="8.63"/>
  </cols>
  <sheetData>
    <row r="1">
      <c r="A1" s="25" t="s">
        <v>561</v>
      </c>
    </row>
    <row r="3">
      <c r="C3" s="30">
        <v>46113.0</v>
      </c>
      <c r="D3" s="30">
        <v>46143.0</v>
      </c>
      <c r="E3" s="30">
        <v>46174.0</v>
      </c>
      <c r="F3" s="30">
        <v>46204.0</v>
      </c>
      <c r="G3" s="30">
        <v>46235.0</v>
      </c>
      <c r="H3" s="30">
        <v>46266.0</v>
      </c>
      <c r="I3" s="30">
        <v>46296.0</v>
      </c>
      <c r="J3" s="30">
        <v>46327.0</v>
      </c>
      <c r="K3" s="30">
        <v>46357.0</v>
      </c>
      <c r="L3" s="30">
        <v>46388.0</v>
      </c>
      <c r="M3" s="30">
        <v>46419.0</v>
      </c>
      <c r="N3" s="30">
        <v>46447.0</v>
      </c>
      <c r="O3" s="30">
        <v>46478.0</v>
      </c>
      <c r="P3" s="30">
        <v>46508.0</v>
      </c>
      <c r="Q3" s="30">
        <v>46539.0</v>
      </c>
      <c r="R3" s="30">
        <v>46569.0</v>
      </c>
      <c r="S3" s="30">
        <v>46600.0</v>
      </c>
      <c r="T3" s="30">
        <v>46631.0</v>
      </c>
      <c r="U3" s="30">
        <v>46661.0</v>
      </c>
      <c r="V3" s="30">
        <v>46692.0</v>
      </c>
      <c r="W3" s="30">
        <v>46722.0</v>
      </c>
      <c r="X3" s="30">
        <v>46753.0</v>
      </c>
      <c r="Y3" s="30">
        <v>46784.0</v>
      </c>
      <c r="Z3" s="30">
        <v>46813.0</v>
      </c>
      <c r="AA3" s="30">
        <v>46844.0</v>
      </c>
      <c r="AB3" s="30">
        <v>46874.0</v>
      </c>
      <c r="AC3" s="30">
        <v>46905.0</v>
      </c>
      <c r="AD3" s="30">
        <v>46935.0</v>
      </c>
      <c r="AE3" s="30">
        <v>46966.0</v>
      </c>
      <c r="AF3" s="30">
        <v>46997.0</v>
      </c>
      <c r="AG3" s="30">
        <v>47027.0</v>
      </c>
      <c r="AH3" s="30">
        <v>47058.0</v>
      </c>
      <c r="AI3" s="30">
        <v>47088.0</v>
      </c>
      <c r="AJ3" s="30">
        <v>47119.0</v>
      </c>
      <c r="AK3" s="30">
        <v>47150.0</v>
      </c>
      <c r="AL3" s="30">
        <v>47178.0</v>
      </c>
      <c r="AM3" s="30">
        <v>47209.0</v>
      </c>
      <c r="AN3" s="30">
        <v>47239.0</v>
      </c>
      <c r="AO3" s="30">
        <v>47270.0</v>
      </c>
      <c r="AP3" s="30">
        <v>47300.0</v>
      </c>
      <c r="AQ3" s="30">
        <v>47331.0</v>
      </c>
      <c r="AR3" s="30">
        <v>47362.0</v>
      </c>
      <c r="AS3" s="30">
        <v>47392.0</v>
      </c>
      <c r="AT3" s="30">
        <v>47423.0</v>
      </c>
      <c r="AU3" s="30">
        <v>47453.0</v>
      </c>
      <c r="AV3" s="30">
        <v>47484.0</v>
      </c>
      <c r="AW3" s="30">
        <v>47515.0</v>
      </c>
      <c r="AX3" s="30">
        <v>47543.0</v>
      </c>
      <c r="AY3" s="30">
        <v>47574.0</v>
      </c>
      <c r="AZ3" s="30">
        <v>47604.0</v>
      </c>
      <c r="BA3" s="30">
        <v>47635.0</v>
      </c>
      <c r="BB3" s="30">
        <v>47665.0</v>
      </c>
      <c r="BC3" s="30">
        <v>47696.0</v>
      </c>
      <c r="BD3" s="30">
        <v>47727.0</v>
      </c>
      <c r="BE3" s="30">
        <v>47757.0</v>
      </c>
      <c r="BF3" s="30">
        <v>47788.0</v>
      </c>
      <c r="BG3" s="30">
        <v>47818.0</v>
      </c>
      <c r="BH3" s="30">
        <v>47849.0</v>
      </c>
      <c r="BI3" s="30">
        <v>47880.0</v>
      </c>
      <c r="BJ3" s="30">
        <v>47908.0</v>
      </c>
      <c r="BK3" s="30"/>
      <c r="BL3" s="30"/>
      <c r="BM3" s="30"/>
      <c r="BN3" s="30"/>
    </row>
    <row r="4">
      <c r="A4" s="4" t="s">
        <v>166</v>
      </c>
      <c r="B4" s="4" t="s">
        <v>167</v>
      </c>
      <c r="C4" s="22">
        <v>1.0</v>
      </c>
      <c r="D4" s="22">
        <v>2.0</v>
      </c>
      <c r="E4" s="22">
        <v>3.0</v>
      </c>
      <c r="F4" s="22">
        <v>4.0</v>
      </c>
      <c r="G4" s="22">
        <v>5.0</v>
      </c>
      <c r="H4" s="22">
        <v>6.0</v>
      </c>
      <c r="I4" s="22">
        <v>7.0</v>
      </c>
      <c r="J4" s="22">
        <v>8.0</v>
      </c>
      <c r="K4" s="22">
        <v>9.0</v>
      </c>
      <c r="L4" s="22">
        <v>10.0</v>
      </c>
      <c r="M4" s="22">
        <v>11.0</v>
      </c>
      <c r="N4" s="22">
        <v>12.0</v>
      </c>
      <c r="O4" s="22">
        <v>13.0</v>
      </c>
      <c r="P4" s="22">
        <v>14.0</v>
      </c>
      <c r="Q4" s="22">
        <v>15.0</v>
      </c>
      <c r="R4" s="22">
        <v>16.0</v>
      </c>
      <c r="S4" s="22">
        <v>17.0</v>
      </c>
      <c r="T4" s="22">
        <v>18.0</v>
      </c>
      <c r="U4" s="22">
        <v>19.0</v>
      </c>
      <c r="V4" s="22">
        <v>20.0</v>
      </c>
      <c r="W4" s="22">
        <v>21.0</v>
      </c>
      <c r="X4" s="22">
        <v>22.0</v>
      </c>
      <c r="Y4" s="22">
        <v>23.0</v>
      </c>
      <c r="Z4" s="22">
        <v>24.0</v>
      </c>
      <c r="AA4" s="22">
        <v>25.0</v>
      </c>
      <c r="AB4" s="22">
        <v>26.0</v>
      </c>
      <c r="AC4" s="22">
        <v>27.0</v>
      </c>
      <c r="AD4" s="22">
        <v>28.0</v>
      </c>
      <c r="AE4" s="22">
        <v>29.0</v>
      </c>
      <c r="AF4" s="22">
        <v>30.0</v>
      </c>
      <c r="AG4" s="22">
        <v>31.0</v>
      </c>
      <c r="AH4" s="22">
        <v>32.0</v>
      </c>
      <c r="AI4" s="22">
        <v>33.0</v>
      </c>
      <c r="AJ4" s="22">
        <v>34.0</v>
      </c>
      <c r="AK4" s="22">
        <v>35.0</v>
      </c>
      <c r="AL4" s="22">
        <v>36.0</v>
      </c>
      <c r="AM4" s="22">
        <v>37.0</v>
      </c>
      <c r="AN4" s="22">
        <v>38.0</v>
      </c>
      <c r="AO4" s="22">
        <v>39.0</v>
      </c>
      <c r="AP4" s="22">
        <v>40.0</v>
      </c>
      <c r="AQ4" s="22">
        <v>41.0</v>
      </c>
      <c r="AR4" s="22">
        <v>42.0</v>
      </c>
      <c r="AS4" s="22">
        <v>43.0</v>
      </c>
      <c r="AT4" s="22">
        <v>44.0</v>
      </c>
      <c r="AU4" s="22">
        <v>45.0</v>
      </c>
      <c r="AV4" s="22">
        <v>46.0</v>
      </c>
      <c r="AW4" s="22">
        <v>47.0</v>
      </c>
      <c r="AX4" s="22">
        <v>48.0</v>
      </c>
      <c r="AY4" s="22">
        <v>49.0</v>
      </c>
      <c r="AZ4" s="22">
        <v>50.0</v>
      </c>
      <c r="BA4" s="22">
        <v>51.0</v>
      </c>
      <c r="BB4" s="22">
        <v>52.0</v>
      </c>
      <c r="BC4" s="22">
        <v>53.0</v>
      </c>
      <c r="BD4" s="22">
        <v>54.0</v>
      </c>
      <c r="BE4" s="22">
        <v>55.0</v>
      </c>
      <c r="BF4" s="22">
        <v>56.0</v>
      </c>
      <c r="BG4" s="22">
        <v>57.0</v>
      </c>
      <c r="BH4" s="22">
        <v>58.0</v>
      </c>
      <c r="BI4" s="22">
        <v>59.0</v>
      </c>
      <c r="BJ4" s="22">
        <v>60.0</v>
      </c>
    </row>
    <row r="6">
      <c r="A6" s="4" t="s">
        <v>499</v>
      </c>
      <c r="B6" s="4" t="s">
        <v>562</v>
      </c>
    </row>
    <row r="7">
      <c r="A7" s="22" t="s">
        <v>501</v>
      </c>
      <c r="B7" s="22" t="s">
        <v>563</v>
      </c>
      <c r="C7" s="28">
        <f>Demanda_Capacidad!C31</f>
        <v>18068181.82</v>
      </c>
      <c r="D7" s="28">
        <f>Demanda_Capacidad!D31</f>
        <v>18090613.24</v>
      </c>
      <c r="E7" s="28">
        <f>Demanda_Capacidad!E31</f>
        <v>18113072.52</v>
      </c>
      <c r="F7" s="28">
        <f>Demanda_Capacidad!F31</f>
        <v>18135559.68</v>
      </c>
      <c r="G7" s="28">
        <f>Demanda_Capacidad!G31</f>
        <v>18158074.75</v>
      </c>
      <c r="H7" s="28">
        <f>Demanda_Capacidad!H31</f>
        <v>18180617.78</v>
      </c>
      <c r="I7" s="28">
        <f>Demanda_Capacidad!I31</f>
        <v>18203188.79</v>
      </c>
      <c r="J7" s="28">
        <f>Demanda_Capacidad!J31</f>
        <v>18225787.83</v>
      </c>
      <c r="K7" s="28">
        <f>Demanda_Capacidad!K31</f>
        <v>18248414.92</v>
      </c>
      <c r="L7" s="28">
        <f>Demanda_Capacidad!L31</f>
        <v>18271070.1</v>
      </c>
      <c r="M7" s="28">
        <f>Demanda_Capacidad!M31</f>
        <v>18293753.41</v>
      </c>
      <c r="N7" s="28">
        <f>Demanda_Capacidad!N31</f>
        <v>18316464.88</v>
      </c>
      <c r="O7" s="28">
        <f>Demanda_Capacidad!O31</f>
        <v>18339204.55</v>
      </c>
      <c r="P7" s="28">
        <f>Demanda_Capacidad!P31</f>
        <v>18361972.44</v>
      </c>
      <c r="Q7" s="28">
        <f>Demanda_Capacidad!Q31</f>
        <v>18384768.61</v>
      </c>
      <c r="R7" s="28">
        <f>Demanda_Capacidad!R31</f>
        <v>18407593.07</v>
      </c>
      <c r="S7" s="28">
        <f>Demanda_Capacidad!S31</f>
        <v>18430445.87</v>
      </c>
      <c r="T7" s="28">
        <f>Demanda_Capacidad!T31</f>
        <v>18453327.04</v>
      </c>
      <c r="U7" s="28">
        <f>Demanda_Capacidad!U31</f>
        <v>18476236.62</v>
      </c>
      <c r="V7" s="28">
        <f>Demanda_Capacidad!V31</f>
        <v>18499174.64</v>
      </c>
      <c r="W7" s="28">
        <f>Demanda_Capacidad!W31</f>
        <v>18522141.14</v>
      </c>
      <c r="X7" s="28">
        <f>Demanda_Capacidad!X31</f>
        <v>18545136.15</v>
      </c>
      <c r="Y7" s="28">
        <f>Demanda_Capacidad!Y31</f>
        <v>18568159.71</v>
      </c>
      <c r="Z7" s="28">
        <f>Demanda_Capacidad!Z31</f>
        <v>18591211.85</v>
      </c>
      <c r="AA7" s="28">
        <f>Demanda_Capacidad!AA31</f>
        <v>18614292.61</v>
      </c>
      <c r="AB7" s="28">
        <f>Demanda_Capacidad!AB31</f>
        <v>18637402.03</v>
      </c>
      <c r="AC7" s="28">
        <f>Demanda_Capacidad!AC31</f>
        <v>18660540.13</v>
      </c>
      <c r="AD7" s="28">
        <f>Demanda_Capacidad!AD31</f>
        <v>18683706.97</v>
      </c>
      <c r="AE7" s="28">
        <f>Demanda_Capacidad!AE31</f>
        <v>18706902.56</v>
      </c>
      <c r="AF7" s="28">
        <f>Demanda_Capacidad!AF31</f>
        <v>18730126.95</v>
      </c>
      <c r="AG7" s="28">
        <f>Demanda_Capacidad!AG31</f>
        <v>18753380.17</v>
      </c>
      <c r="AH7" s="28">
        <f>Demanda_Capacidad!AH31</f>
        <v>18776662.26</v>
      </c>
      <c r="AI7" s="28">
        <f>Demanda_Capacidad!AI31</f>
        <v>18799973.26</v>
      </c>
      <c r="AJ7" s="28">
        <f>Demanda_Capacidad!AJ31</f>
        <v>18823313.19</v>
      </c>
      <c r="AK7" s="28">
        <f>Demanda_Capacidad!AK31</f>
        <v>18846682.11</v>
      </c>
      <c r="AL7" s="28">
        <f>Demanda_Capacidad!AL31</f>
        <v>18870080.03</v>
      </c>
      <c r="AM7" s="28">
        <f>Demanda_Capacidad!AM31</f>
        <v>18893507</v>
      </c>
      <c r="AN7" s="28">
        <f>Demanda_Capacidad!AN31</f>
        <v>18916963.06</v>
      </c>
      <c r="AO7" s="28">
        <f>Demanda_Capacidad!AO31</f>
        <v>18940448.24</v>
      </c>
      <c r="AP7" s="28">
        <f>Demanda_Capacidad!AP31</f>
        <v>18963962.57</v>
      </c>
      <c r="AQ7" s="28">
        <f>Demanda_Capacidad!AQ31</f>
        <v>18987506.1</v>
      </c>
      <c r="AR7" s="28">
        <f>Demanda_Capacidad!AR31</f>
        <v>19011078.85</v>
      </c>
      <c r="AS7" s="28">
        <f>Demanda_Capacidad!AS31</f>
        <v>19034680.87</v>
      </c>
      <c r="AT7" s="28">
        <f>Demanda_Capacidad!AT31</f>
        <v>19058312.2</v>
      </c>
      <c r="AU7" s="28">
        <f>Demanda_Capacidad!AU31</f>
        <v>19081972.86</v>
      </c>
      <c r="AV7" s="28">
        <f>Demanda_Capacidad!AV31</f>
        <v>19105662.89</v>
      </c>
      <c r="AW7" s="28">
        <f>Demanda_Capacidad!AW31</f>
        <v>19129382.34</v>
      </c>
      <c r="AX7" s="28">
        <f>Demanda_Capacidad!AX31</f>
        <v>19153131.23</v>
      </c>
      <c r="AY7" s="28">
        <f>Demanda_Capacidad!AY31</f>
        <v>19176909.61</v>
      </c>
      <c r="AZ7" s="28">
        <f>Demanda_Capacidad!AZ31</f>
        <v>19200717.51</v>
      </c>
      <c r="BA7" s="28">
        <f>Demanda_Capacidad!BA31</f>
        <v>19224554.96</v>
      </c>
      <c r="BB7" s="28">
        <f>Demanda_Capacidad!BB31</f>
        <v>19248422.01</v>
      </c>
      <c r="BC7" s="28">
        <f>Demanda_Capacidad!BC31</f>
        <v>19272318.69</v>
      </c>
      <c r="BD7" s="28">
        <f>Demanda_Capacidad!BD31</f>
        <v>19296245.04</v>
      </c>
      <c r="BE7" s="28">
        <f>Demanda_Capacidad!BE31</f>
        <v>19320201.09</v>
      </c>
      <c r="BF7" s="28">
        <f>Demanda_Capacidad!BF31</f>
        <v>19344186.88</v>
      </c>
      <c r="BG7" s="28">
        <f>Demanda_Capacidad!BG31</f>
        <v>19368202.45</v>
      </c>
      <c r="BH7" s="28">
        <f>Demanda_Capacidad!BH31</f>
        <v>19392247.84</v>
      </c>
      <c r="BI7" s="28">
        <f>Demanda_Capacidad!BI31</f>
        <v>19416323.07</v>
      </c>
      <c r="BJ7" s="28">
        <f>Demanda_Capacidad!BJ31</f>
        <v>19440428.2</v>
      </c>
      <c r="BK7" s="28" t="str">
        <f>Demanda_Capacidad!BK31</f>
        <v/>
      </c>
      <c r="BL7" s="28" t="str">
        <f>Demanda_Capacidad!BL31</f>
        <v/>
      </c>
      <c r="BM7" s="28" t="str">
        <f>Demanda_Capacidad!BM31</f>
        <v/>
      </c>
      <c r="BN7" s="28" t="str">
        <f>Demanda_Capacidad!BN31</f>
        <v/>
      </c>
    </row>
    <row r="8">
      <c r="A8" s="22" t="s">
        <v>564</v>
      </c>
      <c r="B8" s="22" t="s">
        <v>565</v>
      </c>
      <c r="C8" s="28">
        <f>Demanda_Capacidad!C32</f>
        <v>2782500</v>
      </c>
      <c r="D8" s="28">
        <f>Demanda_Capacidad!D32</f>
        <v>2785954.44</v>
      </c>
      <c r="E8" s="28">
        <f>Demanda_Capacidad!E32</f>
        <v>2789413.168</v>
      </c>
      <c r="F8" s="28">
        <f>Demanda_Capacidad!F32</f>
        <v>2792876.19</v>
      </c>
      <c r="G8" s="28">
        <f>Demanda_Capacidad!G32</f>
        <v>2796343.511</v>
      </c>
      <c r="H8" s="28">
        <f>Demanda_Capacidad!H32</f>
        <v>2799815.138</v>
      </c>
      <c r="I8" s="28">
        <f>Demanda_Capacidad!I32</f>
        <v>2803291.074</v>
      </c>
      <c r="J8" s="28">
        <f>Demanda_Capacidad!J32</f>
        <v>2806771.325</v>
      </c>
      <c r="K8" s="28">
        <f>Demanda_Capacidad!K32</f>
        <v>2810255.897</v>
      </c>
      <c r="L8" s="28">
        <f>Demanda_Capacidad!L32</f>
        <v>2813744.795</v>
      </c>
      <c r="M8" s="28">
        <f>Demanda_Capacidad!M32</f>
        <v>2817238.025</v>
      </c>
      <c r="N8" s="28">
        <f>Demanda_Capacidad!N32</f>
        <v>2820735.591</v>
      </c>
      <c r="O8" s="28">
        <f>Demanda_Capacidad!O32</f>
        <v>2824237.5</v>
      </c>
      <c r="P8" s="28">
        <f>Demanda_Capacidad!P32</f>
        <v>2827743.756</v>
      </c>
      <c r="Q8" s="28">
        <f>Demanda_Capacidad!Q32</f>
        <v>2831254.365</v>
      </c>
      <c r="R8" s="28">
        <f>Demanda_Capacidad!R32</f>
        <v>2834769.333</v>
      </c>
      <c r="S8" s="28">
        <f>Demanda_Capacidad!S32</f>
        <v>2838288.664</v>
      </c>
      <c r="T8" s="28">
        <f>Demanda_Capacidad!T32</f>
        <v>2841812.365</v>
      </c>
      <c r="U8" s="28">
        <f>Demanda_Capacidad!U32</f>
        <v>2845340.44</v>
      </c>
      <c r="V8" s="28">
        <f>Demanda_Capacidad!V32</f>
        <v>2848872.895</v>
      </c>
      <c r="W8" s="28">
        <f>Demanda_Capacidad!W32</f>
        <v>2852409.736</v>
      </c>
      <c r="X8" s="28">
        <f>Demanda_Capacidad!X32</f>
        <v>2855950.967</v>
      </c>
      <c r="Y8" s="28">
        <f>Demanda_Capacidad!Y32</f>
        <v>2859496.595</v>
      </c>
      <c r="Z8" s="28">
        <f>Demanda_Capacidad!Z32</f>
        <v>2863046.625</v>
      </c>
      <c r="AA8" s="28">
        <f>Demanda_Capacidad!AA32</f>
        <v>2866601.063</v>
      </c>
      <c r="AB8" s="28">
        <f>Demanda_Capacidad!AB32</f>
        <v>2870159.913</v>
      </c>
      <c r="AC8" s="28">
        <f>Demanda_Capacidad!AC32</f>
        <v>2873723.181</v>
      </c>
      <c r="AD8" s="28">
        <f>Demanda_Capacidad!AD32</f>
        <v>2877290.873</v>
      </c>
      <c r="AE8" s="28">
        <f>Demanda_Capacidad!AE32</f>
        <v>2880862.994</v>
      </c>
      <c r="AF8" s="28">
        <f>Demanda_Capacidad!AF32</f>
        <v>2884439.55</v>
      </c>
      <c r="AG8" s="28">
        <f>Demanda_Capacidad!AG32</f>
        <v>2888020.546</v>
      </c>
      <c r="AH8" s="28">
        <f>Demanda_Capacidad!AH32</f>
        <v>2891605.988</v>
      </c>
      <c r="AI8" s="28">
        <f>Demanda_Capacidad!AI32</f>
        <v>2895195.882</v>
      </c>
      <c r="AJ8" s="28">
        <f>Demanda_Capacidad!AJ32</f>
        <v>2898790.232</v>
      </c>
      <c r="AK8" s="28">
        <f>Demanda_Capacidad!AK32</f>
        <v>2902389.044</v>
      </c>
      <c r="AL8" s="28">
        <f>Demanda_Capacidad!AL32</f>
        <v>2905992.325</v>
      </c>
      <c r="AM8" s="28">
        <f>Demanda_Capacidad!AM32</f>
        <v>2909600.078</v>
      </c>
      <c r="AN8" s="28">
        <f>Demanda_Capacidad!AN32</f>
        <v>2913212.311</v>
      </c>
      <c r="AO8" s="28">
        <f>Demanda_Capacidad!AO32</f>
        <v>2916829.028</v>
      </c>
      <c r="AP8" s="28">
        <f>Demanda_Capacidad!AP32</f>
        <v>2920450.236</v>
      </c>
      <c r="AQ8" s="28">
        <f>Demanda_Capacidad!AQ32</f>
        <v>2924075.939</v>
      </c>
      <c r="AR8" s="28">
        <f>Demanda_Capacidad!AR32</f>
        <v>2927706.143</v>
      </c>
      <c r="AS8" s="28">
        <f>Demanda_Capacidad!AS32</f>
        <v>2931340.855</v>
      </c>
      <c r="AT8" s="28">
        <f>Demanda_Capacidad!AT32</f>
        <v>2934980.078</v>
      </c>
      <c r="AU8" s="28">
        <f>Demanda_Capacidad!AU32</f>
        <v>2938623.82</v>
      </c>
      <c r="AV8" s="28">
        <f>Demanda_Capacidad!AV32</f>
        <v>2942272.085</v>
      </c>
      <c r="AW8" s="28">
        <f>Demanda_Capacidad!AW32</f>
        <v>2945924.88</v>
      </c>
      <c r="AX8" s="28">
        <f>Demanda_Capacidad!AX32</f>
        <v>2949582.21</v>
      </c>
      <c r="AY8" s="28">
        <f>Demanda_Capacidad!AY32</f>
        <v>2953244.08</v>
      </c>
      <c r="AZ8" s="28">
        <f>Demanda_Capacidad!AZ32</f>
        <v>2956910.496</v>
      </c>
      <c r="BA8" s="28">
        <f>Demanda_Capacidad!BA32</f>
        <v>2960581.464</v>
      </c>
      <c r="BB8" s="28">
        <f>Demanda_Capacidad!BB32</f>
        <v>2964256.989</v>
      </c>
      <c r="BC8" s="28">
        <f>Demanda_Capacidad!BC32</f>
        <v>2967937.078</v>
      </c>
      <c r="BD8" s="28">
        <f>Demanda_Capacidad!BD32</f>
        <v>2971621.736</v>
      </c>
      <c r="BE8" s="28">
        <f>Demanda_Capacidad!BE32</f>
        <v>2975310.967</v>
      </c>
      <c r="BF8" s="28">
        <f>Demanda_Capacidad!BF32</f>
        <v>2979004.779</v>
      </c>
      <c r="BG8" s="28">
        <f>Demanda_Capacidad!BG32</f>
        <v>2982703.177</v>
      </c>
      <c r="BH8" s="28">
        <f>Demanda_Capacidad!BH32</f>
        <v>2986406.167</v>
      </c>
      <c r="BI8" s="28">
        <f>Demanda_Capacidad!BI32</f>
        <v>2990113.753</v>
      </c>
      <c r="BJ8" s="28">
        <f>Demanda_Capacidad!BJ32</f>
        <v>2993825.943</v>
      </c>
      <c r="BK8" s="28" t="str">
        <f>Demanda_Capacidad!BK32</f>
        <v/>
      </c>
      <c r="BL8" s="28" t="str">
        <f>Demanda_Capacidad!BL32</f>
        <v/>
      </c>
      <c r="BM8" s="28" t="str">
        <f>Demanda_Capacidad!BM32</f>
        <v/>
      </c>
      <c r="BN8" s="28" t="str">
        <f>Demanda_Capacidad!BN32</f>
        <v/>
      </c>
    </row>
    <row r="9">
      <c r="A9" s="22" t="s">
        <v>566</v>
      </c>
      <c r="B9" s="22" t="s">
        <v>567</v>
      </c>
      <c r="C9" s="28">
        <f>Demanda_Capacidad!C33</f>
        <v>71550</v>
      </c>
      <c r="D9" s="28">
        <f>Demanda_Capacidad!D33</f>
        <v>71638.82845</v>
      </c>
      <c r="E9" s="28">
        <f>Demanda_Capacidad!E33</f>
        <v>71727.76717</v>
      </c>
      <c r="F9" s="28">
        <f>Demanda_Capacidad!F33</f>
        <v>71816.81631</v>
      </c>
      <c r="G9" s="28">
        <f>Demanda_Capacidad!G33</f>
        <v>71905.97601</v>
      </c>
      <c r="H9" s="28">
        <f>Demanda_Capacidad!H33</f>
        <v>71995.24639</v>
      </c>
      <c r="I9" s="28">
        <f>Demanda_Capacidad!I33</f>
        <v>72084.62761</v>
      </c>
      <c r="J9" s="28">
        <f>Demanda_Capacidad!J33</f>
        <v>72174.11979</v>
      </c>
      <c r="K9" s="28">
        <f>Demanda_Capacidad!K33</f>
        <v>72263.72307</v>
      </c>
      <c r="L9" s="28">
        <f>Demanda_Capacidad!L33</f>
        <v>72353.4376</v>
      </c>
      <c r="M9" s="28">
        <f>Demanda_Capacidad!M33</f>
        <v>72443.2635</v>
      </c>
      <c r="N9" s="28">
        <f>Demanda_Capacidad!N33</f>
        <v>72533.20092</v>
      </c>
      <c r="O9" s="28">
        <f>Demanda_Capacidad!O33</f>
        <v>72623.25</v>
      </c>
      <c r="P9" s="28">
        <f>Demanda_Capacidad!P33</f>
        <v>72713.41087</v>
      </c>
      <c r="Q9" s="28">
        <f>Demanda_Capacidad!Q33</f>
        <v>72803.68368</v>
      </c>
      <c r="R9" s="28">
        <f>Demanda_Capacidad!R33</f>
        <v>72894.06856</v>
      </c>
      <c r="S9" s="28">
        <f>Demanda_Capacidad!S33</f>
        <v>72984.56565</v>
      </c>
      <c r="T9" s="28">
        <f>Demanda_Capacidad!T33</f>
        <v>73075.17509</v>
      </c>
      <c r="U9" s="28">
        <f>Demanda_Capacidad!U33</f>
        <v>73165.89702</v>
      </c>
      <c r="V9" s="28">
        <f>Demanda_Capacidad!V33</f>
        <v>73256.73159</v>
      </c>
      <c r="W9" s="28">
        <f>Demanda_Capacidad!W33</f>
        <v>73347.67892</v>
      </c>
      <c r="X9" s="28">
        <f>Demanda_Capacidad!X33</f>
        <v>73438.73916</v>
      </c>
      <c r="Y9" s="28">
        <f>Demanda_Capacidad!Y33</f>
        <v>73529.91245</v>
      </c>
      <c r="Z9" s="28">
        <f>Demanda_Capacidad!Z33</f>
        <v>73621.19894</v>
      </c>
      <c r="AA9" s="28">
        <f>Demanda_Capacidad!AA33</f>
        <v>73712.59875</v>
      </c>
      <c r="AB9" s="28">
        <f>Demanda_Capacidad!AB33</f>
        <v>73804.11204</v>
      </c>
      <c r="AC9" s="28">
        <f>Demanda_Capacidad!AC33</f>
        <v>73895.73893</v>
      </c>
      <c r="AD9" s="28">
        <f>Demanda_Capacidad!AD33</f>
        <v>73987.47959</v>
      </c>
      <c r="AE9" s="28">
        <f>Demanda_Capacidad!AE33</f>
        <v>74079.33413</v>
      </c>
      <c r="AF9" s="28">
        <f>Demanda_Capacidad!AF33</f>
        <v>74171.30272</v>
      </c>
      <c r="AG9" s="28">
        <f>Demanda_Capacidad!AG33</f>
        <v>74263.38548</v>
      </c>
      <c r="AH9" s="28">
        <f>Demanda_Capacidad!AH33</f>
        <v>74355.58256</v>
      </c>
      <c r="AI9" s="28">
        <f>Demanda_Capacidad!AI33</f>
        <v>74447.8941</v>
      </c>
      <c r="AJ9" s="28">
        <f>Demanda_Capacidad!AJ33</f>
        <v>74540.32025</v>
      </c>
      <c r="AK9" s="28">
        <f>Demanda_Capacidad!AK33</f>
        <v>74632.86114</v>
      </c>
      <c r="AL9" s="28">
        <f>Demanda_Capacidad!AL33</f>
        <v>74725.51692</v>
      </c>
      <c r="AM9" s="28">
        <f>Demanda_Capacidad!AM33</f>
        <v>74818.28773</v>
      </c>
      <c r="AN9" s="28">
        <f>Demanda_Capacidad!AN33</f>
        <v>74911.17372</v>
      </c>
      <c r="AO9" s="28">
        <f>Demanda_Capacidad!AO33</f>
        <v>75004.17502</v>
      </c>
      <c r="AP9" s="28">
        <f>Demanda_Capacidad!AP33</f>
        <v>75097.29178</v>
      </c>
      <c r="AQ9" s="28">
        <f>Demanda_Capacidad!AQ33</f>
        <v>75190.52415</v>
      </c>
      <c r="AR9" s="28">
        <f>Demanda_Capacidad!AR33</f>
        <v>75283.87226</v>
      </c>
      <c r="AS9" s="28">
        <f>Demanda_Capacidad!AS33</f>
        <v>75377.33626</v>
      </c>
      <c r="AT9" s="28">
        <f>Demanda_Capacidad!AT33</f>
        <v>75470.9163</v>
      </c>
      <c r="AU9" s="28">
        <f>Demanda_Capacidad!AU33</f>
        <v>75564.61251</v>
      </c>
      <c r="AV9" s="28">
        <f>Demanda_Capacidad!AV33</f>
        <v>75658.42505</v>
      </c>
      <c r="AW9" s="28">
        <f>Demanda_Capacidad!AW33</f>
        <v>75752.35406</v>
      </c>
      <c r="AX9" s="28">
        <f>Demanda_Capacidad!AX33</f>
        <v>75846.39967</v>
      </c>
      <c r="AY9" s="28">
        <f>Demanda_Capacidad!AY33</f>
        <v>75940.56205</v>
      </c>
      <c r="AZ9" s="28">
        <f>Demanda_Capacidad!AZ33</f>
        <v>76034.84132</v>
      </c>
      <c r="BA9" s="28">
        <f>Demanda_Capacidad!BA33</f>
        <v>76129.23764</v>
      </c>
      <c r="BB9" s="28">
        <f>Demanda_Capacidad!BB33</f>
        <v>76223.75116</v>
      </c>
      <c r="BC9" s="28">
        <f>Demanda_Capacidad!BC33</f>
        <v>76318.38201</v>
      </c>
      <c r="BD9" s="28">
        <f>Demanda_Capacidad!BD33</f>
        <v>76413.13034</v>
      </c>
      <c r="BE9" s="28">
        <f>Demanda_Capacidad!BE33</f>
        <v>76507.9963</v>
      </c>
      <c r="BF9" s="28">
        <f>Demanda_Capacidad!BF33</f>
        <v>76602.98004</v>
      </c>
      <c r="BG9" s="28">
        <f>Demanda_Capacidad!BG33</f>
        <v>76698.0817</v>
      </c>
      <c r="BH9" s="28">
        <f>Demanda_Capacidad!BH33</f>
        <v>76793.30143</v>
      </c>
      <c r="BI9" s="28">
        <f>Demanda_Capacidad!BI33</f>
        <v>76888.63937</v>
      </c>
      <c r="BJ9" s="28">
        <f>Demanda_Capacidad!BJ33</f>
        <v>76984.09567</v>
      </c>
      <c r="BK9" s="28" t="str">
        <f>Demanda_Capacidad!BK33</f>
        <v/>
      </c>
      <c r="BL9" s="28" t="str">
        <f>Demanda_Capacidad!BL33</f>
        <v/>
      </c>
      <c r="BM9" s="28" t="str">
        <f>Demanda_Capacidad!BM33</f>
        <v/>
      </c>
      <c r="BN9" s="28" t="str">
        <f>Demanda_Capacidad!BN33</f>
        <v/>
      </c>
    </row>
    <row r="10">
      <c r="A10" s="22" t="s">
        <v>568</v>
      </c>
      <c r="B10" s="22" t="s">
        <v>569</v>
      </c>
      <c r="C10" s="28">
        <f>C7*Supuestos!$D$28</f>
        <v>39750000000</v>
      </c>
      <c r="D10" s="28">
        <f>D7*Supuestos!$D$28</f>
        <v>39799349137</v>
      </c>
      <c r="E10" s="28">
        <f>E7*Supuestos!$D$28</f>
        <v>39848759540</v>
      </c>
      <c r="F10" s="28">
        <f>F7*Supuestos!$D$28</f>
        <v>39898231285</v>
      </c>
      <c r="G10" s="28">
        <f>G7*Supuestos!$D$28</f>
        <v>39947764449</v>
      </c>
      <c r="H10" s="28">
        <f>H7*Supuestos!$D$28</f>
        <v>39997359108</v>
      </c>
      <c r="I10" s="28">
        <f>I7*Supuestos!$D$28</f>
        <v>40047015338</v>
      </c>
      <c r="J10" s="28">
        <f>J7*Supuestos!$D$28</f>
        <v>40096733216</v>
      </c>
      <c r="K10" s="28">
        <f>K7*Supuestos!$D$28</f>
        <v>40146512818</v>
      </c>
      <c r="L10" s="28">
        <f>L7*Supuestos!$D$28</f>
        <v>40196354220</v>
      </c>
      <c r="M10" s="28">
        <f>M7*Supuestos!$D$28</f>
        <v>40246257500</v>
      </c>
      <c r="N10" s="28">
        <f>N7*Supuestos!$D$28</f>
        <v>40296222734</v>
      </c>
      <c r="O10" s="28">
        <f>O7*Supuestos!$D$28</f>
        <v>40346250000</v>
      </c>
      <c r="P10" s="28">
        <f>P7*Supuestos!$D$28</f>
        <v>40396339374</v>
      </c>
      <c r="Q10" s="28">
        <f>Q7*Supuestos!$D$28</f>
        <v>40446490933</v>
      </c>
      <c r="R10" s="28">
        <f>R7*Supuestos!$D$28</f>
        <v>40496704755</v>
      </c>
      <c r="S10" s="28">
        <f>S7*Supuestos!$D$28</f>
        <v>40546980916</v>
      </c>
      <c r="T10" s="28">
        <f>T7*Supuestos!$D$28</f>
        <v>40597319495</v>
      </c>
      <c r="U10" s="28">
        <f>U7*Supuestos!$D$28</f>
        <v>40647720568</v>
      </c>
      <c r="V10" s="28">
        <f>V7*Supuestos!$D$28</f>
        <v>40698184214</v>
      </c>
      <c r="W10" s="28">
        <f>W7*Supuestos!$D$28</f>
        <v>40748710510</v>
      </c>
      <c r="X10" s="28">
        <f>X7*Supuestos!$D$28</f>
        <v>40799299533</v>
      </c>
      <c r="Y10" s="28">
        <f>Y7*Supuestos!$D$28</f>
        <v>40849951363</v>
      </c>
      <c r="Z10" s="28">
        <f>Z7*Supuestos!$D$28</f>
        <v>40900666075</v>
      </c>
      <c r="AA10" s="28">
        <f>AA7*Supuestos!$D$28</f>
        <v>40951443750</v>
      </c>
      <c r="AB10" s="28">
        <f>AB7*Supuestos!$D$28</f>
        <v>41002284464</v>
      </c>
      <c r="AC10" s="28">
        <f>AC7*Supuestos!$D$28</f>
        <v>41053188297</v>
      </c>
      <c r="AD10" s="28">
        <f>AD7*Supuestos!$D$28</f>
        <v>41104155326</v>
      </c>
      <c r="AE10" s="28">
        <f>AE7*Supuestos!$D$28</f>
        <v>41155185630</v>
      </c>
      <c r="AF10" s="28">
        <f>AF7*Supuestos!$D$28</f>
        <v>41206279287</v>
      </c>
      <c r="AG10" s="28">
        <f>AG7*Supuestos!$D$28</f>
        <v>41257436377</v>
      </c>
      <c r="AH10" s="28">
        <f>AH7*Supuestos!$D$28</f>
        <v>41308656977</v>
      </c>
      <c r="AI10" s="28">
        <f>AI7*Supuestos!$D$28</f>
        <v>41359941168</v>
      </c>
      <c r="AJ10" s="28">
        <f>AJ7*Supuestos!$D$28</f>
        <v>41411289026</v>
      </c>
      <c r="AK10" s="28">
        <f>AK7*Supuestos!$D$28</f>
        <v>41462700633</v>
      </c>
      <c r="AL10" s="28">
        <f>AL7*Supuestos!$D$28</f>
        <v>41514176067</v>
      </c>
      <c r="AM10" s="28">
        <f>AM7*Supuestos!$D$28</f>
        <v>41565715406</v>
      </c>
      <c r="AN10" s="28">
        <f>AN7*Supuestos!$D$28</f>
        <v>41617318731</v>
      </c>
      <c r="AO10" s="28">
        <f>AO7*Supuestos!$D$28</f>
        <v>41668986121</v>
      </c>
      <c r="AP10" s="28">
        <f>AP7*Supuestos!$D$28</f>
        <v>41720717656</v>
      </c>
      <c r="AQ10" s="28">
        <f>AQ7*Supuestos!$D$28</f>
        <v>41772513414</v>
      </c>
      <c r="AR10" s="28">
        <f>AR7*Supuestos!$D$28</f>
        <v>41824373477</v>
      </c>
      <c r="AS10" s="28">
        <f>AS7*Supuestos!$D$28</f>
        <v>41876297922</v>
      </c>
      <c r="AT10" s="28">
        <f>AT7*Supuestos!$D$28</f>
        <v>41928286832</v>
      </c>
      <c r="AU10" s="28">
        <f>AU7*Supuestos!$D$28</f>
        <v>41980340285</v>
      </c>
      <c r="AV10" s="28">
        <f>AV7*Supuestos!$D$28</f>
        <v>42032458362</v>
      </c>
      <c r="AW10" s="28">
        <f>AW7*Supuestos!$D$28</f>
        <v>42084641143</v>
      </c>
      <c r="AX10" s="28">
        <f>AX7*Supuestos!$D$28</f>
        <v>42136888708</v>
      </c>
      <c r="AY10" s="28">
        <f>AY7*Supuestos!$D$28</f>
        <v>42189201137</v>
      </c>
      <c r="AZ10" s="28">
        <f>AZ7*Supuestos!$D$28</f>
        <v>42241578512</v>
      </c>
      <c r="BA10" s="28">
        <f>BA7*Supuestos!$D$28</f>
        <v>42294020913</v>
      </c>
      <c r="BB10" s="28">
        <f>BB7*Supuestos!$D$28</f>
        <v>42346528421</v>
      </c>
      <c r="BC10" s="28">
        <f>BC7*Supuestos!$D$28</f>
        <v>42399101115</v>
      </c>
      <c r="BD10" s="28">
        <f>BD7*Supuestos!$D$28</f>
        <v>42451739079</v>
      </c>
      <c r="BE10" s="28">
        <f>BE7*Supuestos!$D$28</f>
        <v>42504442391</v>
      </c>
      <c r="BF10" s="28">
        <f>BF7*Supuestos!$D$28</f>
        <v>42557211134</v>
      </c>
      <c r="BG10" s="28">
        <f>BG7*Supuestos!$D$28</f>
        <v>42610045389</v>
      </c>
      <c r="BH10" s="28">
        <f>BH7*Supuestos!$D$28</f>
        <v>42662945237</v>
      </c>
      <c r="BI10" s="28">
        <f>BI7*Supuestos!$D$28</f>
        <v>42715910760</v>
      </c>
      <c r="BJ10" s="28">
        <f>BJ7*Supuestos!$D$28</f>
        <v>42768942038</v>
      </c>
      <c r="BK10" s="28">
        <f>BK7*Supuestos!$D$28</f>
        <v>0</v>
      </c>
      <c r="BL10" s="28">
        <f>BL7*Supuestos!$D$28</f>
        <v>0</v>
      </c>
      <c r="BM10" s="28">
        <f>BM7*Supuestos!$D$28</f>
        <v>0</v>
      </c>
      <c r="BN10" s="28">
        <f>BN7*Supuestos!$D$28</f>
        <v>0</v>
      </c>
    </row>
    <row r="11">
      <c r="A11" s="22" t="s">
        <v>168</v>
      </c>
      <c r="B11" s="22" t="s">
        <v>570</v>
      </c>
      <c r="C11" s="28">
        <f>C8*Supuestos!$D$29</f>
        <v>14469000000</v>
      </c>
      <c r="D11" s="28">
        <f>D8*Supuestos!$D$29</f>
        <v>14486963086</v>
      </c>
      <c r="E11" s="28">
        <f>E8*Supuestos!$D$29</f>
        <v>14504948472</v>
      </c>
      <c r="F11" s="28">
        <f>F8*Supuestos!$D$29</f>
        <v>14522956188</v>
      </c>
      <c r="G11" s="28">
        <f>G8*Supuestos!$D$29</f>
        <v>14540986260</v>
      </c>
      <c r="H11" s="28">
        <f>H8*Supuestos!$D$29</f>
        <v>14559038715</v>
      </c>
      <c r="I11" s="28">
        <f>I8*Supuestos!$D$29</f>
        <v>14577113583</v>
      </c>
      <c r="J11" s="28">
        <f>J8*Supuestos!$D$29</f>
        <v>14595210891</v>
      </c>
      <c r="K11" s="28">
        <f>K8*Supuestos!$D$29</f>
        <v>14613330666</v>
      </c>
      <c r="L11" s="28">
        <f>L8*Supuestos!$D$29</f>
        <v>14631472936</v>
      </c>
      <c r="M11" s="28">
        <f>M8*Supuestos!$D$29</f>
        <v>14649637730</v>
      </c>
      <c r="N11" s="28">
        <f>N8*Supuestos!$D$29</f>
        <v>14667825075</v>
      </c>
      <c r="O11" s="28">
        <f>O8*Supuestos!$D$29</f>
        <v>14686035000</v>
      </c>
      <c r="P11" s="28">
        <f>P8*Supuestos!$D$29</f>
        <v>14704267532</v>
      </c>
      <c r="Q11" s="28">
        <f>Q8*Supuestos!$D$29</f>
        <v>14722522700</v>
      </c>
      <c r="R11" s="28">
        <f>R8*Supuestos!$D$29</f>
        <v>14740800531</v>
      </c>
      <c r="S11" s="28">
        <f>S8*Supuestos!$D$29</f>
        <v>14759101053</v>
      </c>
      <c r="T11" s="28">
        <f>T8*Supuestos!$D$29</f>
        <v>14777424296</v>
      </c>
      <c r="U11" s="28">
        <f>U8*Supuestos!$D$29</f>
        <v>14795770287</v>
      </c>
      <c r="V11" s="28">
        <f>V8*Supuestos!$D$29</f>
        <v>14814139054</v>
      </c>
      <c r="W11" s="28">
        <f>W8*Supuestos!$D$29</f>
        <v>14832530626</v>
      </c>
      <c r="X11" s="28">
        <f>X8*Supuestos!$D$29</f>
        <v>14850945030</v>
      </c>
      <c r="Y11" s="28">
        <f>Y8*Supuestos!$D$29</f>
        <v>14869382296</v>
      </c>
      <c r="Z11" s="28">
        <f>Z8*Supuestos!$D$29</f>
        <v>14887842451</v>
      </c>
      <c r="AA11" s="28">
        <f>AA8*Supuestos!$D$29</f>
        <v>14906325525</v>
      </c>
      <c r="AB11" s="28">
        <f>AB8*Supuestos!$D$29</f>
        <v>14924831545</v>
      </c>
      <c r="AC11" s="28">
        <f>AC8*Supuestos!$D$29</f>
        <v>14943360540</v>
      </c>
      <c r="AD11" s="28">
        <f>AD8*Supuestos!$D$29</f>
        <v>14961912539</v>
      </c>
      <c r="AE11" s="28">
        <f>AE8*Supuestos!$D$29</f>
        <v>14980487569</v>
      </c>
      <c r="AF11" s="28">
        <f>AF8*Supuestos!$D$29</f>
        <v>14999085661</v>
      </c>
      <c r="AG11" s="28">
        <f>AG8*Supuestos!$D$29</f>
        <v>15017706841</v>
      </c>
      <c r="AH11" s="28">
        <f>AH8*Supuestos!$D$29</f>
        <v>15036351140</v>
      </c>
      <c r="AI11" s="28">
        <f>AI8*Supuestos!$D$29</f>
        <v>15055018585</v>
      </c>
      <c r="AJ11" s="28">
        <f>AJ8*Supuestos!$D$29</f>
        <v>15073709206</v>
      </c>
      <c r="AK11" s="28">
        <f>AK8*Supuestos!$D$29</f>
        <v>15092423030</v>
      </c>
      <c r="AL11" s="28">
        <f>AL8*Supuestos!$D$29</f>
        <v>15111160088</v>
      </c>
      <c r="AM11" s="28">
        <f>AM8*Supuestos!$D$29</f>
        <v>15129920408</v>
      </c>
      <c r="AN11" s="28">
        <f>AN8*Supuestos!$D$29</f>
        <v>15148704018</v>
      </c>
      <c r="AO11" s="28">
        <f>AO8*Supuestos!$D$29</f>
        <v>15167510948</v>
      </c>
      <c r="AP11" s="28">
        <f>AP8*Supuestos!$D$29</f>
        <v>15186341227</v>
      </c>
      <c r="AQ11" s="28">
        <f>AQ8*Supuestos!$D$29</f>
        <v>15205194883</v>
      </c>
      <c r="AR11" s="28">
        <f>AR8*Supuestos!$D$29</f>
        <v>15224071945</v>
      </c>
      <c r="AS11" s="28">
        <f>AS8*Supuestos!$D$29</f>
        <v>15242972444</v>
      </c>
      <c r="AT11" s="28">
        <f>AT8*Supuestos!$D$29</f>
        <v>15261896407</v>
      </c>
      <c r="AU11" s="28">
        <f>AU8*Supuestos!$D$29</f>
        <v>15280843864</v>
      </c>
      <c r="AV11" s="28">
        <f>AV8*Supuestos!$D$29</f>
        <v>15299814844</v>
      </c>
      <c r="AW11" s="28">
        <f>AW8*Supuestos!$D$29</f>
        <v>15318809376</v>
      </c>
      <c r="AX11" s="28">
        <f>AX8*Supuestos!$D$29</f>
        <v>15337827490</v>
      </c>
      <c r="AY11" s="28">
        <f>AY8*Supuestos!$D$29</f>
        <v>15356869214</v>
      </c>
      <c r="AZ11" s="28">
        <f>AZ8*Supuestos!$D$29</f>
        <v>15375934578</v>
      </c>
      <c r="BA11" s="28">
        <f>BA8*Supuestos!$D$29</f>
        <v>15395023612</v>
      </c>
      <c r="BB11" s="28">
        <f>BB8*Supuestos!$D$29</f>
        <v>15414136345</v>
      </c>
      <c r="BC11" s="28">
        <f>BC8*Supuestos!$D$29</f>
        <v>15433272806</v>
      </c>
      <c r="BD11" s="28">
        <f>BD8*Supuestos!$D$29</f>
        <v>15452433025</v>
      </c>
      <c r="BE11" s="28">
        <f>BE8*Supuestos!$D$29</f>
        <v>15471617030</v>
      </c>
      <c r="BF11" s="28">
        <f>BF8*Supuestos!$D$29</f>
        <v>15490824853</v>
      </c>
      <c r="BG11" s="28">
        <f>BG8*Supuestos!$D$29</f>
        <v>15510056522</v>
      </c>
      <c r="BH11" s="28">
        <f>BH8*Supuestos!$D$29</f>
        <v>15529312066</v>
      </c>
      <c r="BI11" s="28">
        <f>BI8*Supuestos!$D$29</f>
        <v>15548591517</v>
      </c>
      <c r="BJ11" s="28">
        <f>BJ8*Supuestos!$D$29</f>
        <v>15567894902</v>
      </c>
      <c r="BK11" s="28">
        <f>BK8*Supuestos!$D$29</f>
        <v>0</v>
      </c>
      <c r="BL11" s="28">
        <f>BL8*Supuestos!$D$29</f>
        <v>0</v>
      </c>
      <c r="BM11" s="28">
        <f>BM8*Supuestos!$D$29</f>
        <v>0</v>
      </c>
      <c r="BN11" s="28">
        <f>BN8*Supuestos!$D$29</f>
        <v>0</v>
      </c>
    </row>
    <row r="12">
      <c r="A12" s="22" t="s">
        <v>170</v>
      </c>
      <c r="B12" s="22" t="s">
        <v>571</v>
      </c>
      <c r="C12" s="28">
        <f>C9*Supuestos!$D$30</f>
        <v>751275000</v>
      </c>
      <c r="D12" s="28">
        <f>D9*Supuestos!$D$30</f>
        <v>752207698.7</v>
      </c>
      <c r="E12" s="28">
        <f>E9*Supuestos!$D$30</f>
        <v>753141555.3</v>
      </c>
      <c r="F12" s="28">
        <f>F9*Supuestos!$D$30</f>
        <v>754076571.3</v>
      </c>
      <c r="G12" s="28">
        <f>G9*Supuestos!$D$30</f>
        <v>755012748.1</v>
      </c>
      <c r="H12" s="28">
        <f>H9*Supuestos!$D$30</f>
        <v>755950087.1</v>
      </c>
      <c r="I12" s="28">
        <f>I9*Supuestos!$D$30</f>
        <v>756888589.9</v>
      </c>
      <c r="J12" s="28">
        <f>J9*Supuestos!$D$30</f>
        <v>757828257.8</v>
      </c>
      <c r="K12" s="28">
        <f>K9*Supuestos!$D$30</f>
        <v>758769092.3</v>
      </c>
      <c r="L12" s="28">
        <f>L9*Supuestos!$D$30</f>
        <v>759711094.8</v>
      </c>
      <c r="M12" s="28">
        <f>M9*Supuestos!$D$30</f>
        <v>760654266.8</v>
      </c>
      <c r="N12" s="28">
        <f>N9*Supuestos!$D$30</f>
        <v>761598609.7</v>
      </c>
      <c r="O12" s="28">
        <f>O9*Supuestos!$D$30</f>
        <v>762544125</v>
      </c>
      <c r="P12" s="28">
        <f>P9*Supuestos!$D$30</f>
        <v>763490814.2</v>
      </c>
      <c r="Q12" s="28">
        <f>Q9*Supuestos!$D$30</f>
        <v>764438678.6</v>
      </c>
      <c r="R12" s="28">
        <f>R9*Supuestos!$D$30</f>
        <v>765387719.9</v>
      </c>
      <c r="S12" s="28">
        <f>S9*Supuestos!$D$30</f>
        <v>766337939.3</v>
      </c>
      <c r="T12" s="28">
        <f>T9*Supuestos!$D$30</f>
        <v>767289338.5</v>
      </c>
      <c r="U12" s="28">
        <f>U9*Supuestos!$D$30</f>
        <v>768241918.7</v>
      </c>
      <c r="V12" s="28">
        <f>V9*Supuestos!$D$30</f>
        <v>769195681.6</v>
      </c>
      <c r="W12" s="28">
        <f>W9*Supuestos!$D$30</f>
        <v>770150628.6</v>
      </c>
      <c r="X12" s="28">
        <f>X9*Supuestos!$D$30</f>
        <v>771106761.2</v>
      </c>
      <c r="Y12" s="28">
        <f>Y9*Supuestos!$D$30</f>
        <v>772064080.8</v>
      </c>
      <c r="Z12" s="28">
        <f>Z9*Supuestos!$D$30</f>
        <v>773022588.8</v>
      </c>
      <c r="AA12" s="28">
        <f>AA9*Supuestos!$D$30</f>
        <v>773982286.9</v>
      </c>
      <c r="AB12" s="28">
        <f>AB9*Supuestos!$D$30</f>
        <v>774943176.4</v>
      </c>
      <c r="AC12" s="28">
        <f>AC9*Supuestos!$D$30</f>
        <v>775905258.8</v>
      </c>
      <c r="AD12" s="28">
        <f>AD9*Supuestos!$D$30</f>
        <v>776868535.7</v>
      </c>
      <c r="AE12" s="28">
        <f>AE9*Supuestos!$D$30</f>
        <v>777833008.4</v>
      </c>
      <c r="AF12" s="28">
        <f>AF9*Supuestos!$D$30</f>
        <v>778798678.5</v>
      </c>
      <c r="AG12" s="28">
        <f>AG9*Supuestos!$D$30</f>
        <v>779765547.5</v>
      </c>
      <c r="AH12" s="28">
        <f>AH9*Supuestos!$D$30</f>
        <v>780733616.9</v>
      </c>
      <c r="AI12" s="28">
        <f>AI9*Supuestos!$D$30</f>
        <v>781702888.1</v>
      </c>
      <c r="AJ12" s="28">
        <f>AJ9*Supuestos!$D$30</f>
        <v>782673362.6</v>
      </c>
      <c r="AK12" s="28">
        <f>AK9*Supuestos!$D$30</f>
        <v>783645042</v>
      </c>
      <c r="AL12" s="28">
        <f>AL9*Supuestos!$D$30</f>
        <v>784617927.7</v>
      </c>
      <c r="AM12" s="28">
        <f>AM9*Supuestos!$D$30</f>
        <v>785592021.2</v>
      </c>
      <c r="AN12" s="28">
        <f>AN9*Supuestos!$D$30</f>
        <v>786567324</v>
      </c>
      <c r="AO12" s="28">
        <f>AO9*Supuestos!$D$30</f>
        <v>787543837.7</v>
      </c>
      <c r="AP12" s="28">
        <f>AP9*Supuestos!$D$30</f>
        <v>788521563.7</v>
      </c>
      <c r="AQ12" s="28">
        <f>AQ9*Supuestos!$D$30</f>
        <v>789500503.5</v>
      </c>
      <c r="AR12" s="28">
        <f>AR9*Supuestos!$D$30</f>
        <v>790480658.7</v>
      </c>
      <c r="AS12" s="28">
        <f>AS9*Supuestos!$D$30</f>
        <v>791462030.7</v>
      </c>
      <c r="AT12" s="28">
        <f>AT9*Supuestos!$D$30</f>
        <v>792444621.1</v>
      </c>
      <c r="AU12" s="28">
        <f>AU9*Supuestos!$D$30</f>
        <v>793428431.4</v>
      </c>
      <c r="AV12" s="28">
        <f>AV9*Supuestos!$D$30</f>
        <v>794413463</v>
      </c>
      <c r="AW12" s="28">
        <f>AW9*Supuestos!$D$30</f>
        <v>795399717.6</v>
      </c>
      <c r="AX12" s="28">
        <f>AX9*Supuestos!$D$30</f>
        <v>796387196.6</v>
      </c>
      <c r="AY12" s="28">
        <f>AY9*Supuestos!$D$30</f>
        <v>797375901.5</v>
      </c>
      <c r="AZ12" s="28">
        <f>AZ9*Supuestos!$D$30</f>
        <v>798365833.9</v>
      </c>
      <c r="BA12" s="28">
        <f>BA9*Supuestos!$D$30</f>
        <v>799356995.3</v>
      </c>
      <c r="BB12" s="28">
        <f>BB9*Supuestos!$D$30</f>
        <v>800349387.1</v>
      </c>
      <c r="BC12" s="28">
        <f>BC9*Supuestos!$D$30</f>
        <v>801343011.1</v>
      </c>
      <c r="BD12" s="28">
        <f>BD9*Supuestos!$D$30</f>
        <v>802337868.6</v>
      </c>
      <c r="BE12" s="28">
        <f>BE9*Supuestos!$D$30</f>
        <v>803333961.2</v>
      </c>
      <c r="BF12" s="28">
        <f>BF9*Supuestos!$D$30</f>
        <v>804331290.4</v>
      </c>
      <c r="BG12" s="28">
        <f>BG9*Supuestos!$D$30</f>
        <v>805329857.9</v>
      </c>
      <c r="BH12" s="28">
        <f>BH9*Supuestos!$D$30</f>
        <v>806329665</v>
      </c>
      <c r="BI12" s="28">
        <f>BI9*Supuestos!$D$30</f>
        <v>807330713.4</v>
      </c>
      <c r="BJ12" s="28">
        <f>BJ9*Supuestos!$D$30</f>
        <v>808333004.5</v>
      </c>
      <c r="BK12" s="28">
        <f>BK9*Supuestos!$D$30</f>
        <v>0</v>
      </c>
      <c r="BL12" s="28">
        <f>BL9*Supuestos!$D$30</f>
        <v>0</v>
      </c>
      <c r="BM12" s="28">
        <f>BM9*Supuestos!$D$30</f>
        <v>0</v>
      </c>
      <c r="BN12" s="28">
        <f>BN9*Supuestos!$D$30</f>
        <v>0</v>
      </c>
    </row>
    <row r="13">
      <c r="A13" s="22" t="s">
        <v>172</v>
      </c>
      <c r="B13" s="22" t="s">
        <v>572</v>
      </c>
      <c r="C13" s="28">
        <f t="shared" ref="C13:BN13" si="1">SUM(C10:C12)</f>
        <v>54970275000</v>
      </c>
      <c r="D13" s="28">
        <f t="shared" si="1"/>
        <v>55038519921</v>
      </c>
      <c r="E13" s="28">
        <f t="shared" si="1"/>
        <v>55106849568</v>
      </c>
      <c r="F13" s="28">
        <f t="shared" si="1"/>
        <v>55175264044</v>
      </c>
      <c r="G13" s="28">
        <f t="shared" si="1"/>
        <v>55243763457</v>
      </c>
      <c r="H13" s="28">
        <f t="shared" si="1"/>
        <v>55312347911</v>
      </c>
      <c r="I13" s="28">
        <f t="shared" si="1"/>
        <v>55381017511</v>
      </c>
      <c r="J13" s="28">
        <f t="shared" si="1"/>
        <v>55449772364</v>
      </c>
      <c r="K13" s="28">
        <f t="shared" si="1"/>
        <v>55518612575</v>
      </c>
      <c r="L13" s="28">
        <f t="shared" si="1"/>
        <v>55587538251</v>
      </c>
      <c r="M13" s="28">
        <f t="shared" si="1"/>
        <v>55656549497</v>
      </c>
      <c r="N13" s="28">
        <f t="shared" si="1"/>
        <v>55725646419</v>
      </c>
      <c r="O13" s="28">
        <f t="shared" si="1"/>
        <v>55794829125</v>
      </c>
      <c r="P13" s="28">
        <f t="shared" si="1"/>
        <v>55864097720</v>
      </c>
      <c r="Q13" s="28">
        <f t="shared" si="1"/>
        <v>55933452311</v>
      </c>
      <c r="R13" s="28">
        <f t="shared" si="1"/>
        <v>56002893005</v>
      </c>
      <c r="S13" s="28">
        <f t="shared" si="1"/>
        <v>56072419909</v>
      </c>
      <c r="T13" s="28">
        <f t="shared" si="1"/>
        <v>56142033129</v>
      </c>
      <c r="U13" s="28">
        <f t="shared" si="1"/>
        <v>56211732774</v>
      </c>
      <c r="V13" s="28">
        <f t="shared" si="1"/>
        <v>56281518950</v>
      </c>
      <c r="W13" s="28">
        <f t="shared" si="1"/>
        <v>56351391764</v>
      </c>
      <c r="X13" s="28">
        <f t="shared" si="1"/>
        <v>56421351325</v>
      </c>
      <c r="Y13" s="28">
        <f t="shared" si="1"/>
        <v>56491397739</v>
      </c>
      <c r="Z13" s="28">
        <f t="shared" si="1"/>
        <v>56561531116</v>
      </c>
      <c r="AA13" s="28">
        <f t="shared" si="1"/>
        <v>56631751562</v>
      </c>
      <c r="AB13" s="28">
        <f t="shared" si="1"/>
        <v>56702059186</v>
      </c>
      <c r="AC13" s="28">
        <f t="shared" si="1"/>
        <v>56772454096</v>
      </c>
      <c r="AD13" s="28">
        <f t="shared" si="1"/>
        <v>56842936400</v>
      </c>
      <c r="AE13" s="28">
        <f t="shared" si="1"/>
        <v>56913506207</v>
      </c>
      <c r="AF13" s="28">
        <f t="shared" si="1"/>
        <v>56984163626</v>
      </c>
      <c r="AG13" s="28">
        <f t="shared" si="1"/>
        <v>57054908766</v>
      </c>
      <c r="AH13" s="28">
        <f t="shared" si="1"/>
        <v>57125741734</v>
      </c>
      <c r="AI13" s="28">
        <f t="shared" si="1"/>
        <v>57196662641</v>
      </c>
      <c r="AJ13" s="28">
        <f t="shared" si="1"/>
        <v>57267671595</v>
      </c>
      <c r="AK13" s="28">
        <f t="shared" si="1"/>
        <v>57338768705</v>
      </c>
      <c r="AL13" s="28">
        <f t="shared" si="1"/>
        <v>57409954083</v>
      </c>
      <c r="AM13" s="28">
        <f t="shared" si="1"/>
        <v>57481227835</v>
      </c>
      <c r="AN13" s="28">
        <f t="shared" si="1"/>
        <v>57552590074</v>
      </c>
      <c r="AO13" s="28">
        <f t="shared" si="1"/>
        <v>57624040907</v>
      </c>
      <c r="AP13" s="28">
        <f t="shared" si="1"/>
        <v>57695580446</v>
      </c>
      <c r="AQ13" s="28">
        <f t="shared" si="1"/>
        <v>57767208801</v>
      </c>
      <c r="AR13" s="28">
        <f t="shared" si="1"/>
        <v>57838926081</v>
      </c>
      <c r="AS13" s="28">
        <f t="shared" si="1"/>
        <v>57910732397</v>
      </c>
      <c r="AT13" s="28">
        <f t="shared" si="1"/>
        <v>57982627860</v>
      </c>
      <c r="AU13" s="28">
        <f t="shared" si="1"/>
        <v>58054612580</v>
      </c>
      <c r="AV13" s="28">
        <f t="shared" si="1"/>
        <v>58126686669</v>
      </c>
      <c r="AW13" s="28">
        <f t="shared" si="1"/>
        <v>58198850236</v>
      </c>
      <c r="AX13" s="28">
        <f t="shared" si="1"/>
        <v>58271103394</v>
      </c>
      <c r="AY13" s="28">
        <f t="shared" si="1"/>
        <v>58343446253</v>
      </c>
      <c r="AZ13" s="28">
        <f t="shared" si="1"/>
        <v>58415878925</v>
      </c>
      <c r="BA13" s="28">
        <f t="shared" si="1"/>
        <v>58488401521</v>
      </c>
      <c r="BB13" s="28">
        <f t="shared" si="1"/>
        <v>58561014153</v>
      </c>
      <c r="BC13" s="28">
        <f t="shared" si="1"/>
        <v>58633716933</v>
      </c>
      <c r="BD13" s="28">
        <f t="shared" si="1"/>
        <v>58706509972</v>
      </c>
      <c r="BE13" s="28">
        <f t="shared" si="1"/>
        <v>58779393383</v>
      </c>
      <c r="BF13" s="28">
        <f t="shared" si="1"/>
        <v>58852367278</v>
      </c>
      <c r="BG13" s="28">
        <f t="shared" si="1"/>
        <v>58925431769</v>
      </c>
      <c r="BH13" s="28">
        <f t="shared" si="1"/>
        <v>58998586969</v>
      </c>
      <c r="BI13" s="28">
        <f t="shared" si="1"/>
        <v>59071832990</v>
      </c>
      <c r="BJ13" s="28">
        <f t="shared" si="1"/>
        <v>59145169945</v>
      </c>
      <c r="BK13" s="28">
        <f t="shared" si="1"/>
        <v>0</v>
      </c>
      <c r="BL13" s="28">
        <f t="shared" si="1"/>
        <v>0</v>
      </c>
      <c r="BM13" s="28">
        <f t="shared" si="1"/>
        <v>0</v>
      </c>
      <c r="BN13" s="28">
        <f t="shared" si="1"/>
        <v>0</v>
      </c>
    </row>
    <row r="14">
      <c r="A14" s="22" t="s">
        <v>174</v>
      </c>
      <c r="B14" s="22" t="s">
        <v>573</v>
      </c>
      <c r="C14" s="28">
        <f>C7*Costos_Lote!$H$15*(1+Supuestos!$G$40)</f>
        <v>16797090648</v>
      </c>
      <c r="D14" s="28">
        <f>D7*Costos_Lote!$H$15*(1+Supuestos!$G$40)</f>
        <v>16817944029</v>
      </c>
      <c r="E14" s="28">
        <f>E7*Costos_Lote!$H$15*(1+Supuestos!$G$40)</f>
        <v>16838823300</v>
      </c>
      <c r="F14" s="28">
        <f>F7*Costos_Lote!$H$15*(1+Supuestos!$G$40)</f>
        <v>16859728493</v>
      </c>
      <c r="G14" s="28">
        <f>G7*Costos_Lote!$H$15*(1+Supuestos!$G$40)</f>
        <v>16880659638</v>
      </c>
      <c r="H14" s="28">
        <f>H7*Costos_Lote!$H$15*(1+Supuestos!$G$40)</f>
        <v>16901616770</v>
      </c>
      <c r="I14" s="28">
        <f>I7*Costos_Lote!$H$15*(1+Supuestos!$G$40)</f>
        <v>16922599920</v>
      </c>
      <c r="J14" s="28">
        <f>J7*Costos_Lote!$H$15*(1+Supuestos!$G$40)</f>
        <v>16943609120</v>
      </c>
      <c r="K14" s="28">
        <f>K7*Costos_Lote!$H$15*(1+Supuestos!$G$40)</f>
        <v>16964644402</v>
      </c>
      <c r="L14" s="28">
        <f>L7*Costos_Lote!$H$15*(1+Supuestos!$G$40)</f>
        <v>16985705800</v>
      </c>
      <c r="M14" s="28">
        <f>M7*Costos_Lote!$H$15*(1+Supuestos!$G$40)</f>
        <v>17006793345</v>
      </c>
      <c r="N14" s="28">
        <f>N7*Costos_Lote!$H$15*(1+Supuestos!$G$40)</f>
        <v>17027907070</v>
      </c>
      <c r="O14" s="28">
        <f>O7*Costos_Lote!$H$15*(1+Supuestos!$G$40)</f>
        <v>17049047007</v>
      </c>
      <c r="P14" s="28">
        <f>P7*Costos_Lote!$H$15*(1+Supuestos!$G$40)</f>
        <v>17070213190</v>
      </c>
      <c r="Q14" s="28">
        <f>Q7*Costos_Lote!$H$15*(1+Supuestos!$G$40)</f>
        <v>17091405650</v>
      </c>
      <c r="R14" s="28">
        <f>R7*Costos_Lote!$H$15*(1+Supuestos!$G$40)</f>
        <v>17112624420</v>
      </c>
      <c r="S14" s="28">
        <f>S7*Costos_Lote!$H$15*(1+Supuestos!$G$40)</f>
        <v>17133869533</v>
      </c>
      <c r="T14" s="28">
        <f>T7*Costos_Lote!$H$15*(1+Supuestos!$G$40)</f>
        <v>17155141022</v>
      </c>
      <c r="U14" s="28">
        <f>U7*Costos_Lote!$H$15*(1+Supuestos!$G$40)</f>
        <v>17176438918</v>
      </c>
      <c r="V14" s="28">
        <f>V7*Costos_Lote!$H$15*(1+Supuestos!$G$40)</f>
        <v>17197763256</v>
      </c>
      <c r="W14" s="28">
        <f>W7*Costos_Lote!$H$15*(1+Supuestos!$G$40)</f>
        <v>17219114068</v>
      </c>
      <c r="X14" s="28">
        <f>X7*Costos_Lote!$H$15*(1+Supuestos!$G$40)</f>
        <v>17240491387</v>
      </c>
      <c r="Y14" s="28">
        <f>Y7*Costos_Lote!$H$15*(1+Supuestos!$G$40)</f>
        <v>17261895245</v>
      </c>
      <c r="Z14" s="28">
        <f>Z7*Costos_Lote!$H$15*(1+Supuestos!$G$40)</f>
        <v>17283325676</v>
      </c>
      <c r="AA14" s="28">
        <f>AA7*Costos_Lote!$H$15*(1+Supuestos!$G$40)</f>
        <v>17304782713</v>
      </c>
      <c r="AB14" s="28">
        <f>AB7*Costos_Lote!$H$15*(1+Supuestos!$G$40)</f>
        <v>17326266388</v>
      </c>
      <c r="AC14" s="28">
        <f>AC7*Costos_Lote!$H$15*(1+Supuestos!$G$40)</f>
        <v>17347776735</v>
      </c>
      <c r="AD14" s="28">
        <f>AD7*Costos_Lote!$H$15*(1+Supuestos!$G$40)</f>
        <v>17369313786</v>
      </c>
      <c r="AE14" s="28">
        <f>AE7*Costos_Lote!$H$15*(1+Supuestos!$G$40)</f>
        <v>17390877576</v>
      </c>
      <c r="AF14" s="28">
        <f>AF7*Costos_Lote!$H$15*(1+Supuestos!$G$40)</f>
        <v>17412468137</v>
      </c>
      <c r="AG14" s="28">
        <f>AG7*Costos_Lote!$H$15*(1+Supuestos!$G$40)</f>
        <v>17434085502</v>
      </c>
      <c r="AH14" s="28">
        <f>AH7*Costos_Lote!$H$15*(1+Supuestos!$G$40)</f>
        <v>17455729705</v>
      </c>
      <c r="AI14" s="28">
        <f>AI7*Costos_Lote!$H$15*(1+Supuestos!$G$40)</f>
        <v>17477400779</v>
      </c>
      <c r="AJ14" s="28">
        <f>AJ7*Costos_Lote!$H$15*(1+Supuestos!$G$40)</f>
        <v>17499098758</v>
      </c>
      <c r="AK14" s="28">
        <f>AK7*Costos_Lote!$H$15*(1+Supuestos!$G$40)</f>
        <v>17520823674</v>
      </c>
      <c r="AL14" s="28">
        <f>AL7*Costos_Lote!$H$15*(1+Supuestos!$G$40)</f>
        <v>17542575561</v>
      </c>
      <c r="AM14" s="28">
        <f>AM7*Costos_Lote!$H$15*(1+Supuestos!$G$40)</f>
        <v>17564354453</v>
      </c>
      <c r="AN14" s="28">
        <f>AN7*Costos_Lote!$H$15*(1+Supuestos!$G$40)</f>
        <v>17586160384</v>
      </c>
      <c r="AO14" s="28">
        <f>AO7*Costos_Lote!$H$15*(1+Supuestos!$G$40)</f>
        <v>17607993386</v>
      </c>
      <c r="AP14" s="28">
        <f>AP7*Costos_Lote!$H$15*(1+Supuestos!$G$40)</f>
        <v>17629853493</v>
      </c>
      <c r="AQ14" s="28">
        <f>AQ7*Costos_Lote!$H$15*(1+Supuestos!$G$40)</f>
        <v>17651740740</v>
      </c>
      <c r="AR14" s="28">
        <f>AR7*Costos_Lote!$H$15*(1+Supuestos!$G$40)</f>
        <v>17673655159</v>
      </c>
      <c r="AS14" s="28">
        <f>AS7*Costos_Lote!$H$15*(1+Supuestos!$G$40)</f>
        <v>17695596785</v>
      </c>
      <c r="AT14" s="28">
        <f>AT7*Costos_Lote!$H$15*(1+Supuestos!$G$40)</f>
        <v>17717565651</v>
      </c>
      <c r="AU14" s="28">
        <f>AU7*Costos_Lote!$H$15*(1+Supuestos!$G$40)</f>
        <v>17739561791</v>
      </c>
      <c r="AV14" s="28">
        <f>AV7*Costos_Lote!$H$15*(1+Supuestos!$G$40)</f>
        <v>17761585239</v>
      </c>
      <c r="AW14" s="28">
        <f>AW7*Costos_Lote!$H$15*(1+Supuestos!$G$40)</f>
        <v>17783636029</v>
      </c>
      <c r="AX14" s="28">
        <f>AX7*Costos_Lote!$H$15*(1+Supuestos!$G$40)</f>
        <v>17805714195</v>
      </c>
      <c r="AY14" s="28">
        <f>AY7*Costos_Lote!$H$15*(1+Supuestos!$G$40)</f>
        <v>17827819770</v>
      </c>
      <c r="AZ14" s="28">
        <f>AZ7*Costos_Lote!$H$15*(1+Supuestos!$G$40)</f>
        <v>17849952789</v>
      </c>
      <c r="BA14" s="28">
        <f>BA7*Costos_Lote!$H$15*(1+Supuestos!$G$40)</f>
        <v>17872113286</v>
      </c>
      <c r="BB14" s="28">
        <f>BB7*Costos_Lote!$H$15*(1+Supuestos!$G$40)</f>
        <v>17894301296</v>
      </c>
      <c r="BC14" s="28">
        <f>BC7*Costos_Lote!$H$15*(1+Supuestos!$G$40)</f>
        <v>17916516851</v>
      </c>
      <c r="BD14" s="28">
        <f>BD7*Costos_Lote!$H$15*(1+Supuestos!$G$40)</f>
        <v>17938759986</v>
      </c>
      <c r="BE14" s="28">
        <f>BE7*Costos_Lote!$H$15*(1+Supuestos!$G$40)</f>
        <v>17961030737</v>
      </c>
      <c r="BF14" s="28">
        <f>BF7*Costos_Lote!$H$15*(1+Supuestos!$G$40)</f>
        <v>17983329136</v>
      </c>
      <c r="BG14" s="28">
        <f>BG7*Costos_Lote!$H$15*(1+Supuestos!$G$40)</f>
        <v>18005655218</v>
      </c>
      <c r="BH14" s="28">
        <f>BH7*Costos_Lote!$H$15*(1+Supuestos!$G$40)</f>
        <v>18028009018</v>
      </c>
      <c r="BI14" s="28">
        <f>BI7*Costos_Lote!$H$15*(1+Supuestos!$G$40)</f>
        <v>18050390569</v>
      </c>
      <c r="BJ14" s="28">
        <f>BJ7*Costos_Lote!$H$15*(1+Supuestos!$G$40)</f>
        <v>18072799908</v>
      </c>
      <c r="BK14" s="28">
        <f>BK7*Costos_Lote!$H$15*(1+Supuestos!$G$40)</f>
        <v>0</v>
      </c>
      <c r="BL14" s="28">
        <f>BL7*Costos_Lote!$H$15*(1+Supuestos!$G$40)</f>
        <v>0</v>
      </c>
      <c r="BM14" s="28">
        <f>BM7*Costos_Lote!$H$15*(1+Supuestos!$G$40)</f>
        <v>0</v>
      </c>
      <c r="BN14" s="28">
        <f>BN7*Costos_Lote!$H$15*(1+Supuestos!$G$40)</f>
        <v>0</v>
      </c>
    </row>
    <row r="15">
      <c r="A15" s="22" t="s">
        <v>176</v>
      </c>
      <c r="B15" s="22" t="s">
        <v>574</v>
      </c>
      <c r="C15" s="28">
        <f>C8*Costos_Lote!$H$30*(1+Supuestos!$G$40)</f>
        <v>7434475493</v>
      </c>
      <c r="D15" s="28">
        <f>D8*Costos_Lote!$H$30*(1+Supuestos!$G$40)</f>
        <v>7443705303</v>
      </c>
      <c r="E15" s="28">
        <f>E8*Costos_Lote!$H$30*(1+Supuestos!$G$40)</f>
        <v>7452946571</v>
      </c>
      <c r="F15" s="28">
        <f>F8*Costos_Lote!$H$30*(1+Supuestos!$G$40)</f>
        <v>7462199313</v>
      </c>
      <c r="G15" s="28">
        <f>G8*Costos_Lote!$H$30*(1+Supuestos!$G$40)</f>
        <v>7471463542</v>
      </c>
      <c r="H15" s="28">
        <f>H8*Costos_Lote!$H$30*(1+Supuestos!$G$40)</f>
        <v>7480739272</v>
      </c>
      <c r="I15" s="28">
        <f>I8*Costos_Lote!$H$30*(1+Supuestos!$G$40)</f>
        <v>7490026518</v>
      </c>
      <c r="J15" s="28">
        <f>J8*Costos_Lote!$H$30*(1+Supuestos!$G$40)</f>
        <v>7499325294</v>
      </c>
      <c r="K15" s="28">
        <f>K8*Costos_Lote!$H$30*(1+Supuestos!$G$40)</f>
        <v>7508635614</v>
      </c>
      <c r="L15" s="28">
        <f>L8*Costos_Lote!$H$30*(1+Supuestos!$G$40)</f>
        <v>7517957493</v>
      </c>
      <c r="M15" s="28">
        <f>M8*Costos_Lote!$H$30*(1+Supuestos!$G$40)</f>
        <v>7527290945</v>
      </c>
      <c r="N15" s="28">
        <f>N8*Costos_Lote!$H$30*(1+Supuestos!$G$40)</f>
        <v>7536635984</v>
      </c>
      <c r="O15" s="28">
        <f>O8*Costos_Lote!$H$30*(1+Supuestos!$G$40)</f>
        <v>7545992625</v>
      </c>
      <c r="P15" s="28">
        <f>P8*Costos_Lote!$H$30*(1+Supuestos!$G$40)</f>
        <v>7555360882</v>
      </c>
      <c r="Q15" s="28">
        <f>Q8*Costos_Lote!$H$30*(1+Supuestos!$G$40)</f>
        <v>7564740770</v>
      </c>
      <c r="R15" s="28">
        <f>R8*Costos_Lote!$H$30*(1+Supuestos!$G$40)</f>
        <v>7574132303</v>
      </c>
      <c r="S15" s="28">
        <f>S8*Costos_Lote!$H$30*(1+Supuestos!$G$40)</f>
        <v>7583535495</v>
      </c>
      <c r="T15" s="28">
        <f>T8*Costos_Lote!$H$30*(1+Supuestos!$G$40)</f>
        <v>7592950361</v>
      </c>
      <c r="U15" s="28">
        <f>U8*Costos_Lote!$H$30*(1+Supuestos!$G$40)</f>
        <v>7602376915</v>
      </c>
      <c r="V15" s="28">
        <f>V8*Costos_Lote!$H$30*(1+Supuestos!$G$40)</f>
        <v>7611815173</v>
      </c>
      <c r="W15" s="28">
        <f>W8*Costos_Lote!$H$30*(1+Supuestos!$G$40)</f>
        <v>7621265148</v>
      </c>
      <c r="X15" s="28">
        <f>X8*Costos_Lote!$H$30*(1+Supuestos!$G$40)</f>
        <v>7630726855</v>
      </c>
      <c r="Y15" s="28">
        <f>Y8*Costos_Lote!$H$30*(1+Supuestos!$G$40)</f>
        <v>7640200309</v>
      </c>
      <c r="Z15" s="28">
        <f>Z8*Costos_Lote!$H$30*(1+Supuestos!$G$40)</f>
        <v>7649685524</v>
      </c>
      <c r="AA15" s="28">
        <f>AA8*Costos_Lote!$H$30*(1+Supuestos!$G$40)</f>
        <v>7659182514</v>
      </c>
      <c r="AB15" s="28">
        <f>AB8*Costos_Lote!$H$30*(1+Supuestos!$G$40)</f>
        <v>7668691295</v>
      </c>
      <c r="AC15" s="28">
        <f>AC8*Costos_Lote!$H$30*(1+Supuestos!$G$40)</f>
        <v>7678211881</v>
      </c>
      <c r="AD15" s="28">
        <f>AD8*Costos_Lote!$H$30*(1+Supuestos!$G$40)</f>
        <v>7687744287</v>
      </c>
      <c r="AE15" s="28">
        <f>AE8*Costos_Lote!$H$30*(1+Supuestos!$G$40)</f>
        <v>7697288527</v>
      </c>
      <c r="AF15" s="28">
        <f>AF8*Costos_Lote!$H$30*(1+Supuestos!$G$40)</f>
        <v>7706844616</v>
      </c>
      <c r="AG15" s="28">
        <f>AG8*Costos_Lote!$H$30*(1+Supuestos!$G$40)</f>
        <v>7716412569</v>
      </c>
      <c r="AH15" s="28">
        <f>AH8*Costos_Lote!$H$30*(1+Supuestos!$G$40)</f>
        <v>7725992401</v>
      </c>
      <c r="AI15" s="28">
        <f>AI8*Costos_Lote!$H$30*(1+Supuestos!$G$40)</f>
        <v>7735584125</v>
      </c>
      <c r="AJ15" s="28">
        <f>AJ8*Costos_Lote!$H$30*(1+Supuestos!$G$40)</f>
        <v>7745187758</v>
      </c>
      <c r="AK15" s="28">
        <f>AK8*Costos_Lote!$H$30*(1+Supuestos!$G$40)</f>
        <v>7754803313</v>
      </c>
      <c r="AL15" s="28">
        <f>AL8*Costos_Lote!$H$30*(1+Supuestos!$G$40)</f>
        <v>7764430807</v>
      </c>
      <c r="AM15" s="28">
        <f>AM8*Costos_Lote!$H$30*(1+Supuestos!$G$40)</f>
        <v>7774070252</v>
      </c>
      <c r="AN15" s="28">
        <f>AN8*Costos_Lote!$H$30*(1+Supuestos!$G$40)</f>
        <v>7783721665</v>
      </c>
      <c r="AO15" s="28">
        <f>AO8*Costos_Lote!$H$30*(1+Supuestos!$G$40)</f>
        <v>7793385060</v>
      </c>
      <c r="AP15" s="28">
        <f>AP8*Costos_Lote!$H$30*(1+Supuestos!$G$40)</f>
        <v>7803060451</v>
      </c>
      <c r="AQ15" s="28">
        <f>AQ8*Costos_Lote!$H$30*(1+Supuestos!$G$40)</f>
        <v>7812747855</v>
      </c>
      <c r="AR15" s="28">
        <f>AR8*Costos_Lote!$H$30*(1+Supuestos!$G$40)</f>
        <v>7822447286</v>
      </c>
      <c r="AS15" s="28">
        <f>AS8*Costos_Lote!$H$30*(1+Supuestos!$G$40)</f>
        <v>7832158758</v>
      </c>
      <c r="AT15" s="28">
        <f>AT8*Costos_Lote!$H$30*(1+Supuestos!$G$40)</f>
        <v>7841882287</v>
      </c>
      <c r="AU15" s="28">
        <f>AU8*Costos_Lote!$H$30*(1+Supuestos!$G$40)</f>
        <v>7851617887</v>
      </c>
      <c r="AV15" s="28">
        <f>AV8*Costos_Lote!$H$30*(1+Supuestos!$G$40)</f>
        <v>7861365574</v>
      </c>
      <c r="AW15" s="28">
        <f>AW8*Costos_Lote!$H$30*(1+Supuestos!$G$40)</f>
        <v>7871125363</v>
      </c>
      <c r="AX15" s="28">
        <f>AX8*Costos_Lote!$H$30*(1+Supuestos!$G$40)</f>
        <v>7880897269</v>
      </c>
      <c r="AY15" s="28">
        <f>AY8*Costos_Lote!$H$30*(1+Supuestos!$G$40)</f>
        <v>7890681306</v>
      </c>
      <c r="AZ15" s="28">
        <f>AZ8*Costos_Lote!$H$30*(1+Supuestos!$G$40)</f>
        <v>7900477490</v>
      </c>
      <c r="BA15" s="28">
        <f>BA8*Costos_Lote!$H$30*(1+Supuestos!$G$40)</f>
        <v>7910285835</v>
      </c>
      <c r="BB15" s="28">
        <f>BB8*Costos_Lote!$H$30*(1+Supuestos!$G$40)</f>
        <v>7920106358</v>
      </c>
      <c r="BC15" s="28">
        <f>BC8*Costos_Lote!$H$30*(1+Supuestos!$G$40)</f>
        <v>7929939073</v>
      </c>
      <c r="BD15" s="28">
        <f>BD8*Costos_Lote!$H$30*(1+Supuestos!$G$40)</f>
        <v>7939783995</v>
      </c>
      <c r="BE15" s="28">
        <f>BE8*Costos_Lote!$H$30*(1+Supuestos!$G$40)</f>
        <v>7949641139</v>
      </c>
      <c r="BF15" s="28">
        <f>BF8*Costos_Lote!$H$30*(1+Supuestos!$G$40)</f>
        <v>7959510521</v>
      </c>
      <c r="BG15" s="28">
        <f>BG8*Costos_Lote!$H$30*(1+Supuestos!$G$40)</f>
        <v>7969392155</v>
      </c>
      <c r="BH15" s="28">
        <f>BH8*Costos_Lote!$H$30*(1+Supuestos!$G$40)</f>
        <v>7979286058</v>
      </c>
      <c r="BI15" s="28">
        <f>BI8*Costos_Lote!$H$30*(1+Supuestos!$G$40)</f>
        <v>7989192244</v>
      </c>
      <c r="BJ15" s="28">
        <f>BJ8*Costos_Lote!$H$30*(1+Supuestos!$G$40)</f>
        <v>7999110728</v>
      </c>
      <c r="BK15" s="28">
        <f>BK8*Costos_Lote!$H$30*(1+Supuestos!$G$40)</f>
        <v>0</v>
      </c>
      <c r="BL15" s="28">
        <f>BL8*Costos_Lote!$H$30*(1+Supuestos!$G$40)</f>
        <v>0</v>
      </c>
      <c r="BM15" s="28">
        <f>BM8*Costos_Lote!$H$30*(1+Supuestos!$G$40)</f>
        <v>0</v>
      </c>
      <c r="BN15" s="28">
        <f>BN8*Costos_Lote!$H$30*(1+Supuestos!$G$40)</f>
        <v>0</v>
      </c>
    </row>
    <row r="16">
      <c r="A16" s="22" t="s">
        <v>178</v>
      </c>
      <c r="B16" s="22" t="s">
        <v>575</v>
      </c>
      <c r="C16" s="28">
        <f>C9*Costos_Lote!$H$43*(1+Supuestos!$G$40)</f>
        <v>497109161.6</v>
      </c>
      <c r="D16" s="28">
        <f>D9*Costos_Lote!$H$43*(1+Supuestos!$G$40)</f>
        <v>497726316.5</v>
      </c>
      <c r="E16" s="28">
        <f>E9*Costos_Lote!$H$43*(1+Supuestos!$G$40)</f>
        <v>498344237.6</v>
      </c>
      <c r="F16" s="28">
        <f>F9*Costos_Lote!$H$43*(1+Supuestos!$G$40)</f>
        <v>498962925.8</v>
      </c>
      <c r="G16" s="28">
        <f>G9*Costos_Lote!$H$43*(1+Supuestos!$G$40)</f>
        <v>499582382.2</v>
      </c>
      <c r="H16" s="28">
        <f>H9*Costos_Lote!$H$43*(1+Supuestos!$G$40)</f>
        <v>500202607.6</v>
      </c>
      <c r="I16" s="28">
        <f>I9*Costos_Lote!$H$43*(1+Supuestos!$G$40)</f>
        <v>500823603</v>
      </c>
      <c r="J16" s="28">
        <f>J9*Costos_Lote!$H$43*(1+Supuestos!$G$40)</f>
        <v>501445369.3</v>
      </c>
      <c r="K16" s="28">
        <f>K9*Costos_Lote!$H$43*(1+Supuestos!$G$40)</f>
        <v>502067907.6</v>
      </c>
      <c r="L16" s="28">
        <f>L9*Costos_Lote!$H$43*(1+Supuestos!$G$40)</f>
        <v>502691218.7</v>
      </c>
      <c r="M16" s="28">
        <f>M9*Costos_Lote!$H$43*(1+Supuestos!$G$40)</f>
        <v>503315303.7</v>
      </c>
      <c r="N16" s="28">
        <f>N9*Costos_Lote!$H$43*(1+Supuestos!$G$40)</f>
        <v>503940163.5</v>
      </c>
      <c r="O16" s="28">
        <f>O9*Costos_Lote!$H$43*(1+Supuestos!$G$40)</f>
        <v>504565799</v>
      </c>
      <c r="P16" s="28">
        <f>P9*Costos_Lote!$H$43*(1+Supuestos!$G$40)</f>
        <v>505192211.2</v>
      </c>
      <c r="Q16" s="28">
        <f>Q9*Costos_Lote!$H$43*(1+Supuestos!$G$40)</f>
        <v>505819401.2</v>
      </c>
      <c r="R16" s="28">
        <f>R9*Costos_Lote!$H$43*(1+Supuestos!$G$40)</f>
        <v>506447369.7</v>
      </c>
      <c r="S16" s="28">
        <f>S9*Costos_Lote!$H$43*(1+Supuestos!$G$40)</f>
        <v>507076117.9</v>
      </c>
      <c r="T16" s="28">
        <f>T9*Costos_Lote!$H$43*(1+Supuestos!$G$40)</f>
        <v>507705646.7</v>
      </c>
      <c r="U16" s="28">
        <f>U9*Costos_Lote!$H$43*(1+Supuestos!$G$40)</f>
        <v>508335957</v>
      </c>
      <c r="V16" s="28">
        <f>V9*Costos_Lote!$H$43*(1+Supuestos!$G$40)</f>
        <v>508967049.9</v>
      </c>
      <c r="W16" s="28">
        <f>W9*Costos_Lote!$H$43*(1+Supuestos!$G$40)</f>
        <v>509598926.2</v>
      </c>
      <c r="X16" s="28">
        <f>X9*Costos_Lote!$H$43*(1+Supuestos!$G$40)</f>
        <v>510231587</v>
      </c>
      <c r="Y16" s="28">
        <f>Y9*Costos_Lote!$H$43*(1+Supuestos!$G$40)</f>
        <v>510865033.3</v>
      </c>
      <c r="Z16" s="28">
        <f>Z9*Costos_Lote!$H$43*(1+Supuestos!$G$40)</f>
        <v>511499265.9</v>
      </c>
      <c r="AA16" s="28">
        <f>AA9*Costos_Lote!$H$43*(1+Supuestos!$G$40)</f>
        <v>512134286</v>
      </c>
      <c r="AB16" s="28">
        <f>AB9*Costos_Lote!$H$43*(1+Supuestos!$G$40)</f>
        <v>512770094.4</v>
      </c>
      <c r="AC16" s="28">
        <f>AC9*Costos_Lote!$H$43*(1+Supuestos!$G$40)</f>
        <v>513406692.2</v>
      </c>
      <c r="AD16" s="28">
        <f>AD9*Costos_Lote!$H$43*(1+Supuestos!$G$40)</f>
        <v>514044080.3</v>
      </c>
      <c r="AE16" s="28">
        <f>AE9*Costos_Lote!$H$43*(1+Supuestos!$G$40)</f>
        <v>514682259.7</v>
      </c>
      <c r="AF16" s="28">
        <f>AF9*Costos_Lote!$H$43*(1+Supuestos!$G$40)</f>
        <v>515321231.4</v>
      </c>
      <c r="AG16" s="28">
        <f>AG9*Costos_Lote!$H$43*(1+Supuestos!$G$40)</f>
        <v>515960996.4</v>
      </c>
      <c r="AH16" s="28">
        <f>AH9*Costos_Lote!$H$43*(1+Supuestos!$G$40)</f>
        <v>516601555.6</v>
      </c>
      <c r="AI16" s="28">
        <f>AI9*Costos_Lote!$H$43*(1+Supuestos!$G$40)</f>
        <v>517242910.1</v>
      </c>
      <c r="AJ16" s="28">
        <f>AJ9*Costos_Lote!$H$43*(1+Supuestos!$G$40)</f>
        <v>517885060.8</v>
      </c>
      <c r="AK16" s="28">
        <f>AK9*Costos_Lote!$H$43*(1+Supuestos!$G$40)</f>
        <v>518528008.8</v>
      </c>
      <c r="AL16" s="28">
        <f>AL9*Costos_Lote!$H$43*(1+Supuestos!$G$40)</f>
        <v>519171754.9</v>
      </c>
      <c r="AM16" s="28">
        <f>AM9*Costos_Lote!$H$43*(1+Supuestos!$G$40)</f>
        <v>519816300.3</v>
      </c>
      <c r="AN16" s="28">
        <f>AN9*Costos_Lote!$H$43*(1+Supuestos!$G$40)</f>
        <v>520461645.8</v>
      </c>
      <c r="AO16" s="28">
        <f>AO9*Costos_Lote!$H$43*(1+Supuestos!$G$40)</f>
        <v>521107792.6</v>
      </c>
      <c r="AP16" s="28">
        <f>AP9*Costos_Lote!$H$43*(1+Supuestos!$G$40)</f>
        <v>521754741.5</v>
      </c>
      <c r="AQ16" s="28">
        <f>AQ9*Costos_Lote!$H$43*(1+Supuestos!$G$40)</f>
        <v>522402493.6</v>
      </c>
      <c r="AR16" s="28">
        <f>AR9*Costos_Lote!$H$43*(1+Supuestos!$G$40)</f>
        <v>523051049.9</v>
      </c>
      <c r="AS16" s="28">
        <f>AS9*Costos_Lote!$H$43*(1+Supuestos!$G$40)</f>
        <v>523700411.3</v>
      </c>
      <c r="AT16" s="28">
        <f>AT9*Costos_Lote!$H$43*(1+Supuestos!$G$40)</f>
        <v>524350578.9</v>
      </c>
      <c r="AU16" s="28">
        <f>AU9*Costos_Lote!$H$43*(1+Supuestos!$G$40)</f>
        <v>525001553.8</v>
      </c>
      <c r="AV16" s="28">
        <f>AV9*Costos_Lote!$H$43*(1+Supuestos!$G$40)</f>
        <v>525653336.7</v>
      </c>
      <c r="AW16" s="28">
        <f>AW9*Costos_Lote!$H$43*(1+Supuestos!$G$40)</f>
        <v>526305928.9</v>
      </c>
      <c r="AX16" s="28">
        <f>AX9*Costos_Lote!$H$43*(1+Supuestos!$G$40)</f>
        <v>526959331.2</v>
      </c>
      <c r="AY16" s="28">
        <f>AY9*Costos_Lote!$H$43*(1+Supuestos!$G$40)</f>
        <v>527613544.8</v>
      </c>
      <c r="AZ16" s="28">
        <f>AZ9*Costos_Lote!$H$43*(1+Supuestos!$G$40)</f>
        <v>528268570.5</v>
      </c>
      <c r="BA16" s="28">
        <f>BA9*Costos_Lote!$H$43*(1+Supuestos!$G$40)</f>
        <v>528924409.4</v>
      </c>
      <c r="BB16" s="28">
        <f>BB9*Costos_Lote!$H$43*(1+Supuestos!$G$40)</f>
        <v>529581062.6</v>
      </c>
      <c r="BC16" s="28">
        <f>BC9*Costos_Lote!$H$43*(1+Supuestos!$G$40)</f>
        <v>530238531</v>
      </c>
      <c r="BD16" s="28">
        <f>BD9*Costos_Lote!$H$43*(1+Supuestos!$G$40)</f>
        <v>530896815.6</v>
      </c>
      <c r="BE16" s="28">
        <f>BE9*Costos_Lote!$H$43*(1+Supuestos!$G$40)</f>
        <v>531555917.5</v>
      </c>
      <c r="BF16" s="28">
        <f>BF9*Costos_Lote!$H$43*(1+Supuestos!$G$40)</f>
        <v>532215837.6</v>
      </c>
      <c r="BG16" s="28">
        <f>BG9*Costos_Lote!$H$43*(1+Supuestos!$G$40)</f>
        <v>532876577.1</v>
      </c>
      <c r="BH16" s="28">
        <f>BH9*Costos_Lote!$H$43*(1+Supuestos!$G$40)</f>
        <v>533538136.8</v>
      </c>
      <c r="BI16" s="28">
        <f>BI9*Costos_Lote!$H$43*(1+Supuestos!$G$40)</f>
        <v>534200517.8</v>
      </c>
      <c r="BJ16" s="28">
        <f>BJ9*Costos_Lote!$H$43*(1+Supuestos!$G$40)</f>
        <v>534863721.2</v>
      </c>
      <c r="BK16" s="28">
        <f>BK9*Costos_Lote!$H$43*(1+Supuestos!$G$40)</f>
        <v>0</v>
      </c>
      <c r="BL16" s="28">
        <f>BL9*Costos_Lote!$H$43*(1+Supuestos!$G$40)</f>
        <v>0</v>
      </c>
      <c r="BM16" s="28">
        <f>BM9*Costos_Lote!$H$43*(1+Supuestos!$G$40)</f>
        <v>0</v>
      </c>
      <c r="BN16" s="28">
        <f>BN9*Costos_Lote!$H$43*(1+Supuestos!$G$40)</f>
        <v>0</v>
      </c>
    </row>
    <row r="17">
      <c r="A17" s="22" t="s">
        <v>180</v>
      </c>
      <c r="B17" s="22" t="s">
        <v>576</v>
      </c>
      <c r="C17" s="28">
        <f t="shared" ref="C17:BN17" si="2">SUM(C14:C16)</f>
        <v>24728675302</v>
      </c>
      <c r="D17" s="28">
        <f t="shared" si="2"/>
        <v>24759375648</v>
      </c>
      <c r="E17" s="28">
        <f t="shared" si="2"/>
        <v>24790114109</v>
      </c>
      <c r="F17" s="28">
        <f t="shared" si="2"/>
        <v>24820890731</v>
      </c>
      <c r="G17" s="28">
        <f t="shared" si="2"/>
        <v>24851705562</v>
      </c>
      <c r="H17" s="28">
        <f t="shared" si="2"/>
        <v>24882558649</v>
      </c>
      <c r="I17" s="28">
        <f t="shared" si="2"/>
        <v>24913450040</v>
      </c>
      <c r="J17" s="28">
        <f t="shared" si="2"/>
        <v>24944379783</v>
      </c>
      <c r="K17" s="28">
        <f t="shared" si="2"/>
        <v>24975347924</v>
      </c>
      <c r="L17" s="28">
        <f t="shared" si="2"/>
        <v>25006354511</v>
      </c>
      <c r="M17" s="28">
        <f t="shared" si="2"/>
        <v>25037399593</v>
      </c>
      <c r="N17" s="28">
        <f t="shared" si="2"/>
        <v>25068483217</v>
      </c>
      <c r="O17" s="28">
        <f t="shared" si="2"/>
        <v>25099605431</v>
      </c>
      <c r="P17" s="28">
        <f t="shared" si="2"/>
        <v>25130766283</v>
      </c>
      <c r="Q17" s="28">
        <f t="shared" si="2"/>
        <v>25161965821</v>
      </c>
      <c r="R17" s="28">
        <f t="shared" si="2"/>
        <v>25193204092</v>
      </c>
      <c r="S17" s="28">
        <f t="shared" si="2"/>
        <v>25224481146</v>
      </c>
      <c r="T17" s="28">
        <f t="shared" si="2"/>
        <v>25255797029</v>
      </c>
      <c r="U17" s="28">
        <f t="shared" si="2"/>
        <v>25287151791</v>
      </c>
      <c r="V17" s="28">
        <f t="shared" si="2"/>
        <v>25318545479</v>
      </c>
      <c r="W17" s="28">
        <f t="shared" si="2"/>
        <v>25349978143</v>
      </c>
      <c r="X17" s="28">
        <f t="shared" si="2"/>
        <v>25381449829</v>
      </c>
      <c r="Y17" s="28">
        <f t="shared" si="2"/>
        <v>25412960587</v>
      </c>
      <c r="Z17" s="28">
        <f t="shared" si="2"/>
        <v>25444510466</v>
      </c>
      <c r="AA17" s="28">
        <f t="shared" si="2"/>
        <v>25476099513</v>
      </c>
      <c r="AB17" s="28">
        <f t="shared" si="2"/>
        <v>25507727777</v>
      </c>
      <c r="AC17" s="28">
        <f t="shared" si="2"/>
        <v>25539395308</v>
      </c>
      <c r="AD17" s="28">
        <f t="shared" si="2"/>
        <v>25571102154</v>
      </c>
      <c r="AE17" s="28">
        <f t="shared" si="2"/>
        <v>25602848363</v>
      </c>
      <c r="AF17" s="28">
        <f t="shared" si="2"/>
        <v>25634633985</v>
      </c>
      <c r="AG17" s="28">
        <f t="shared" si="2"/>
        <v>25666459068</v>
      </c>
      <c r="AH17" s="28">
        <f t="shared" si="2"/>
        <v>25698323662</v>
      </c>
      <c r="AI17" s="28">
        <f t="shared" si="2"/>
        <v>25730227815</v>
      </c>
      <c r="AJ17" s="28">
        <f t="shared" si="2"/>
        <v>25762171576</v>
      </c>
      <c r="AK17" s="28">
        <f t="shared" si="2"/>
        <v>25794154996</v>
      </c>
      <c r="AL17" s="28">
        <f t="shared" si="2"/>
        <v>25826178123</v>
      </c>
      <c r="AM17" s="28">
        <f t="shared" si="2"/>
        <v>25858241005</v>
      </c>
      <c r="AN17" s="28">
        <f t="shared" si="2"/>
        <v>25890343694</v>
      </c>
      <c r="AO17" s="28">
        <f t="shared" si="2"/>
        <v>25922486238</v>
      </c>
      <c r="AP17" s="28">
        <f t="shared" si="2"/>
        <v>25954668686</v>
      </c>
      <c r="AQ17" s="28">
        <f t="shared" si="2"/>
        <v>25986891088</v>
      </c>
      <c r="AR17" s="28">
        <f t="shared" si="2"/>
        <v>26019153494</v>
      </c>
      <c r="AS17" s="28">
        <f t="shared" si="2"/>
        <v>26051455954</v>
      </c>
      <c r="AT17" s="28">
        <f t="shared" si="2"/>
        <v>26083798516</v>
      </c>
      <c r="AU17" s="28">
        <f t="shared" si="2"/>
        <v>26116181232</v>
      </c>
      <c r="AV17" s="28">
        <f t="shared" si="2"/>
        <v>26148604150</v>
      </c>
      <c r="AW17" s="28">
        <f t="shared" si="2"/>
        <v>26181067321</v>
      </c>
      <c r="AX17" s="28">
        <f t="shared" si="2"/>
        <v>26213570794</v>
      </c>
      <c r="AY17" s="28">
        <f t="shared" si="2"/>
        <v>26246114621</v>
      </c>
      <c r="AZ17" s="28">
        <f t="shared" si="2"/>
        <v>26278698849</v>
      </c>
      <c r="BA17" s="28">
        <f t="shared" si="2"/>
        <v>26311323531</v>
      </c>
      <c r="BB17" s="28">
        <f t="shared" si="2"/>
        <v>26343988716</v>
      </c>
      <c r="BC17" s="28">
        <f t="shared" si="2"/>
        <v>26376694455</v>
      </c>
      <c r="BD17" s="28">
        <f t="shared" si="2"/>
        <v>26409440797</v>
      </c>
      <c r="BE17" s="28">
        <f t="shared" si="2"/>
        <v>26442227793</v>
      </c>
      <c r="BF17" s="28">
        <f t="shared" si="2"/>
        <v>26475055494</v>
      </c>
      <c r="BG17" s="28">
        <f t="shared" si="2"/>
        <v>26507923950</v>
      </c>
      <c r="BH17" s="28">
        <f t="shared" si="2"/>
        <v>26540833212</v>
      </c>
      <c r="BI17" s="28">
        <f t="shared" si="2"/>
        <v>26573783331</v>
      </c>
      <c r="BJ17" s="28">
        <f t="shared" si="2"/>
        <v>26606774356</v>
      </c>
      <c r="BK17" s="28">
        <f t="shared" si="2"/>
        <v>0</v>
      </c>
      <c r="BL17" s="28">
        <f t="shared" si="2"/>
        <v>0</v>
      </c>
      <c r="BM17" s="28">
        <f t="shared" si="2"/>
        <v>0</v>
      </c>
      <c r="BN17" s="28">
        <f t="shared" si="2"/>
        <v>0</v>
      </c>
    </row>
    <row r="18">
      <c r="A18" s="22" t="s">
        <v>182</v>
      </c>
      <c r="B18" s="22" t="s">
        <v>577</v>
      </c>
      <c r="C18" s="28">
        <f t="shared" ref="C18:BN18" si="3">C13-C17</f>
        <v>30241599698</v>
      </c>
      <c r="D18" s="28">
        <f t="shared" si="3"/>
        <v>30279144273</v>
      </c>
      <c r="E18" s="28">
        <f t="shared" si="3"/>
        <v>30316735458</v>
      </c>
      <c r="F18" s="28">
        <f t="shared" si="3"/>
        <v>30354373313</v>
      </c>
      <c r="G18" s="28">
        <f t="shared" si="3"/>
        <v>30392057895</v>
      </c>
      <c r="H18" s="28">
        <f t="shared" si="3"/>
        <v>30429789261</v>
      </c>
      <c r="I18" s="28">
        <f t="shared" si="3"/>
        <v>30467567471</v>
      </c>
      <c r="J18" s="28">
        <f t="shared" si="3"/>
        <v>30505392582</v>
      </c>
      <c r="K18" s="28">
        <f t="shared" si="3"/>
        <v>30543264652</v>
      </c>
      <c r="L18" s="28">
        <f t="shared" si="3"/>
        <v>30581183740</v>
      </c>
      <c r="M18" s="28">
        <f t="shared" si="3"/>
        <v>30619149904</v>
      </c>
      <c r="N18" s="28">
        <f t="shared" si="3"/>
        <v>30657163202</v>
      </c>
      <c r="O18" s="28">
        <f t="shared" si="3"/>
        <v>30695223694</v>
      </c>
      <c r="P18" s="28">
        <f t="shared" si="3"/>
        <v>30733331437</v>
      </c>
      <c r="Q18" s="28">
        <f t="shared" si="3"/>
        <v>30771486490</v>
      </c>
      <c r="R18" s="28">
        <f t="shared" si="3"/>
        <v>30809688913</v>
      </c>
      <c r="S18" s="28">
        <f t="shared" si="3"/>
        <v>30847938763</v>
      </c>
      <c r="T18" s="28">
        <f t="shared" si="3"/>
        <v>30886236100</v>
      </c>
      <c r="U18" s="28">
        <f t="shared" si="3"/>
        <v>30924580983</v>
      </c>
      <c r="V18" s="28">
        <f t="shared" si="3"/>
        <v>30962973470</v>
      </c>
      <c r="W18" s="28">
        <f t="shared" si="3"/>
        <v>31001413622</v>
      </c>
      <c r="X18" s="28">
        <f t="shared" si="3"/>
        <v>31039901496</v>
      </c>
      <c r="Y18" s="28">
        <f t="shared" si="3"/>
        <v>31078437152</v>
      </c>
      <c r="Z18" s="28">
        <f t="shared" si="3"/>
        <v>31117020650</v>
      </c>
      <c r="AA18" s="28">
        <f t="shared" si="3"/>
        <v>31155652049</v>
      </c>
      <c r="AB18" s="28">
        <f t="shared" si="3"/>
        <v>31194331408</v>
      </c>
      <c r="AC18" s="28">
        <f t="shared" si="3"/>
        <v>31233058788</v>
      </c>
      <c r="AD18" s="28">
        <f t="shared" si="3"/>
        <v>31271834246</v>
      </c>
      <c r="AE18" s="28">
        <f t="shared" si="3"/>
        <v>31310657845</v>
      </c>
      <c r="AF18" s="28">
        <f t="shared" si="3"/>
        <v>31349529642</v>
      </c>
      <c r="AG18" s="28">
        <f t="shared" si="3"/>
        <v>31388449698</v>
      </c>
      <c r="AH18" s="28">
        <f t="shared" si="3"/>
        <v>31427418072</v>
      </c>
      <c r="AI18" s="28">
        <f t="shared" si="3"/>
        <v>31466434826</v>
      </c>
      <c r="AJ18" s="28">
        <f t="shared" si="3"/>
        <v>31505500018</v>
      </c>
      <c r="AK18" s="28">
        <f t="shared" si="3"/>
        <v>31544613709</v>
      </c>
      <c r="AL18" s="28">
        <f t="shared" si="3"/>
        <v>31583775960</v>
      </c>
      <c r="AM18" s="28">
        <f t="shared" si="3"/>
        <v>31622986830</v>
      </c>
      <c r="AN18" s="28">
        <f t="shared" si="3"/>
        <v>31662246380</v>
      </c>
      <c r="AO18" s="28">
        <f t="shared" si="3"/>
        <v>31701554669</v>
      </c>
      <c r="AP18" s="28">
        <f t="shared" si="3"/>
        <v>31740911760</v>
      </c>
      <c r="AQ18" s="28">
        <f t="shared" si="3"/>
        <v>31780317712</v>
      </c>
      <c r="AR18" s="28">
        <f t="shared" si="3"/>
        <v>31819772586</v>
      </c>
      <c r="AS18" s="28">
        <f t="shared" si="3"/>
        <v>31859276443</v>
      </c>
      <c r="AT18" s="28">
        <f t="shared" si="3"/>
        <v>31898829343</v>
      </c>
      <c r="AU18" s="28">
        <f t="shared" si="3"/>
        <v>31938431348</v>
      </c>
      <c r="AV18" s="28">
        <f t="shared" si="3"/>
        <v>31978082518</v>
      </c>
      <c r="AW18" s="28">
        <f t="shared" si="3"/>
        <v>32017782915</v>
      </c>
      <c r="AX18" s="28">
        <f t="shared" si="3"/>
        <v>32057532599</v>
      </c>
      <c r="AY18" s="28">
        <f t="shared" si="3"/>
        <v>32097331632</v>
      </c>
      <c r="AZ18" s="28">
        <f t="shared" si="3"/>
        <v>32137180075</v>
      </c>
      <c r="BA18" s="28">
        <f t="shared" si="3"/>
        <v>32177077990</v>
      </c>
      <c r="BB18" s="28">
        <f t="shared" si="3"/>
        <v>32217025437</v>
      </c>
      <c r="BC18" s="28">
        <f t="shared" si="3"/>
        <v>32257022478</v>
      </c>
      <c r="BD18" s="28">
        <f t="shared" si="3"/>
        <v>32297069175</v>
      </c>
      <c r="BE18" s="28">
        <f t="shared" si="3"/>
        <v>32337165590</v>
      </c>
      <c r="BF18" s="28">
        <f t="shared" si="3"/>
        <v>32377311784</v>
      </c>
      <c r="BG18" s="28">
        <f t="shared" si="3"/>
        <v>32417507819</v>
      </c>
      <c r="BH18" s="28">
        <f t="shared" si="3"/>
        <v>32457753756</v>
      </c>
      <c r="BI18" s="28">
        <f t="shared" si="3"/>
        <v>32498049659</v>
      </c>
      <c r="BJ18" s="28">
        <f t="shared" si="3"/>
        <v>32538395588</v>
      </c>
      <c r="BK18" s="28">
        <f t="shared" si="3"/>
        <v>0</v>
      </c>
      <c r="BL18" s="28">
        <f t="shared" si="3"/>
        <v>0</v>
      </c>
      <c r="BM18" s="28">
        <f t="shared" si="3"/>
        <v>0</v>
      </c>
      <c r="BN18" s="28">
        <f t="shared" si="3"/>
        <v>0</v>
      </c>
    </row>
    <row r="19">
      <c r="A19" s="22" t="s">
        <v>184</v>
      </c>
      <c r="B19" s="22" t="s">
        <v>578</v>
      </c>
      <c r="C19" s="28">
        <f>Personal!$G$10</f>
        <v>85915382</v>
      </c>
      <c r="D19" s="28">
        <f>Personal!$G$10</f>
        <v>85915382</v>
      </c>
      <c r="E19" s="28">
        <f>Personal!$G$10</f>
        <v>85915382</v>
      </c>
      <c r="F19" s="28">
        <f>Personal!$G$10</f>
        <v>85915382</v>
      </c>
      <c r="G19" s="28">
        <f>Personal!$G$10</f>
        <v>85915382</v>
      </c>
      <c r="H19" s="28">
        <f>Personal!$G$10</f>
        <v>85915382</v>
      </c>
      <c r="I19" s="28">
        <f>Personal!$G$10</f>
        <v>85915382</v>
      </c>
      <c r="J19" s="28">
        <f>Personal!$G$10</f>
        <v>85915382</v>
      </c>
      <c r="K19" s="28">
        <f>Personal!$G$10</f>
        <v>85915382</v>
      </c>
      <c r="L19" s="28">
        <f>Personal!$G$10</f>
        <v>85915382</v>
      </c>
      <c r="M19" s="28">
        <f>Personal!$G$10</f>
        <v>85915382</v>
      </c>
      <c r="N19" s="28">
        <f>Personal!$G$10</f>
        <v>85915382</v>
      </c>
      <c r="O19" s="28">
        <f>Personal!$G$10</f>
        <v>85915382</v>
      </c>
      <c r="P19" s="28">
        <f>Personal!$G$10</f>
        <v>85915382</v>
      </c>
      <c r="Q19" s="28">
        <f>Personal!$G$10</f>
        <v>85915382</v>
      </c>
      <c r="R19" s="28">
        <f>Personal!$G$10</f>
        <v>85915382</v>
      </c>
      <c r="S19" s="28">
        <f>Personal!$G$10</f>
        <v>85915382</v>
      </c>
      <c r="T19" s="28">
        <f>Personal!$G$10</f>
        <v>85915382</v>
      </c>
      <c r="U19" s="28">
        <f>Personal!$G$10</f>
        <v>85915382</v>
      </c>
      <c r="V19" s="28">
        <f>Personal!$G$10</f>
        <v>85915382</v>
      </c>
      <c r="W19" s="28">
        <f>Personal!$G$10</f>
        <v>85915382</v>
      </c>
      <c r="X19" s="28">
        <f>Personal!$G$10</f>
        <v>85915382</v>
      </c>
      <c r="Y19" s="28">
        <f>Personal!$G$10</f>
        <v>85915382</v>
      </c>
      <c r="Z19" s="28">
        <f>Personal!$G$10</f>
        <v>85915382</v>
      </c>
      <c r="AA19" s="28">
        <f>Personal!$G$10</f>
        <v>85915382</v>
      </c>
      <c r="AB19" s="28">
        <f>Personal!$G$10</f>
        <v>85915382</v>
      </c>
      <c r="AC19" s="28">
        <f>Personal!$G$10</f>
        <v>85915382</v>
      </c>
      <c r="AD19" s="28">
        <f>Personal!$G$10</f>
        <v>85915382</v>
      </c>
      <c r="AE19" s="28">
        <f>Personal!$G$10</f>
        <v>85915382</v>
      </c>
      <c r="AF19" s="28">
        <f>Personal!$G$10</f>
        <v>85915382</v>
      </c>
      <c r="AG19" s="28">
        <f>Personal!$G$10</f>
        <v>85915382</v>
      </c>
      <c r="AH19" s="28">
        <f>Personal!$G$10</f>
        <v>85915382</v>
      </c>
      <c r="AI19" s="28">
        <f>Personal!$G$10</f>
        <v>85915382</v>
      </c>
      <c r="AJ19" s="28">
        <f>Personal!$G$10</f>
        <v>85915382</v>
      </c>
      <c r="AK19" s="28">
        <f>Personal!$G$10</f>
        <v>85915382</v>
      </c>
      <c r="AL19" s="28">
        <f>Personal!$G$10</f>
        <v>85915382</v>
      </c>
      <c r="AM19" s="28">
        <f>Personal!$G$10</f>
        <v>85915382</v>
      </c>
      <c r="AN19" s="28">
        <f>Personal!$G$10</f>
        <v>85915382</v>
      </c>
      <c r="AO19" s="28">
        <f>Personal!$G$10</f>
        <v>85915382</v>
      </c>
      <c r="AP19" s="28">
        <f>Personal!$G$10</f>
        <v>85915382</v>
      </c>
      <c r="AQ19" s="28">
        <f>Personal!$G$10</f>
        <v>85915382</v>
      </c>
      <c r="AR19" s="28">
        <f>Personal!$G$10</f>
        <v>85915382</v>
      </c>
      <c r="AS19" s="28">
        <f>Personal!$G$10</f>
        <v>85915382</v>
      </c>
      <c r="AT19" s="28">
        <f>Personal!$G$10</f>
        <v>85915382</v>
      </c>
      <c r="AU19" s="28">
        <f>Personal!$G$10</f>
        <v>85915382</v>
      </c>
      <c r="AV19" s="28">
        <f>Personal!$G$10</f>
        <v>85915382</v>
      </c>
      <c r="AW19" s="28">
        <f>Personal!$G$10</f>
        <v>85915382</v>
      </c>
      <c r="AX19" s="28">
        <f>Personal!$G$10</f>
        <v>85915382</v>
      </c>
      <c r="AY19" s="28">
        <f>Personal!$G$10</f>
        <v>85915382</v>
      </c>
      <c r="AZ19" s="28">
        <f>Personal!$G$10</f>
        <v>85915382</v>
      </c>
      <c r="BA19" s="28">
        <f>Personal!$G$10</f>
        <v>85915382</v>
      </c>
      <c r="BB19" s="28">
        <f>Personal!$G$10</f>
        <v>85915382</v>
      </c>
      <c r="BC19" s="28">
        <f>Personal!$G$10</f>
        <v>85915382</v>
      </c>
      <c r="BD19" s="28">
        <f>Personal!$G$10</f>
        <v>85915382</v>
      </c>
      <c r="BE19" s="28">
        <f>Personal!$G$10</f>
        <v>85915382</v>
      </c>
      <c r="BF19" s="28">
        <f>Personal!$G$10</f>
        <v>85915382</v>
      </c>
      <c r="BG19" s="28">
        <f>Personal!$G$10</f>
        <v>85915382</v>
      </c>
      <c r="BH19" s="28">
        <f>Personal!$G$10</f>
        <v>85915382</v>
      </c>
      <c r="BI19" s="28">
        <f>Personal!$G$10</f>
        <v>85915382</v>
      </c>
      <c r="BJ19" s="28">
        <f>Personal!$G$10</f>
        <v>85915382</v>
      </c>
      <c r="BK19" s="28">
        <f>Personal!$G$10</f>
        <v>85915382</v>
      </c>
      <c r="BL19" s="28">
        <f>Personal!$G$10</f>
        <v>85915382</v>
      </c>
      <c r="BM19" s="28">
        <f>Personal!$G$10</f>
        <v>85915382</v>
      </c>
      <c r="BN19" s="28">
        <f>Personal!$G$10</f>
        <v>85915382</v>
      </c>
    </row>
    <row r="20">
      <c r="A20" s="22" t="s">
        <v>186</v>
      </c>
      <c r="B20" s="22" t="s">
        <v>579</v>
      </c>
      <c r="C20" s="28">
        <f>Supuestos!$G$34</f>
        <v>250000000</v>
      </c>
      <c r="D20" s="28">
        <f>Supuestos!$G$34</f>
        <v>250000000</v>
      </c>
      <c r="E20" s="28">
        <f>Supuestos!$G$34</f>
        <v>250000000</v>
      </c>
      <c r="F20" s="28">
        <f>Supuestos!$G$34</f>
        <v>250000000</v>
      </c>
      <c r="G20" s="28">
        <f>Supuestos!$G$34</f>
        <v>250000000</v>
      </c>
      <c r="H20" s="28">
        <f>Supuestos!$G$34</f>
        <v>250000000</v>
      </c>
      <c r="I20" s="28">
        <f>Supuestos!$G$34</f>
        <v>250000000</v>
      </c>
      <c r="J20" s="28">
        <f>Supuestos!$G$34</f>
        <v>250000000</v>
      </c>
      <c r="K20" s="28">
        <f>Supuestos!$G$34</f>
        <v>250000000</v>
      </c>
      <c r="L20" s="28">
        <f>Supuestos!$G$34</f>
        <v>250000000</v>
      </c>
      <c r="M20" s="28">
        <f>Supuestos!$G$34</f>
        <v>250000000</v>
      </c>
      <c r="N20" s="28">
        <f>Supuestos!$G$34</f>
        <v>250000000</v>
      </c>
      <c r="O20" s="28">
        <f>Supuestos!$G$34</f>
        <v>250000000</v>
      </c>
      <c r="P20" s="28">
        <f>Supuestos!$G$34</f>
        <v>250000000</v>
      </c>
      <c r="Q20" s="28">
        <f>Supuestos!$G$34</f>
        <v>250000000</v>
      </c>
      <c r="R20" s="28">
        <f>Supuestos!$G$34</f>
        <v>250000000</v>
      </c>
      <c r="S20" s="28">
        <f>Supuestos!$G$34</f>
        <v>250000000</v>
      </c>
      <c r="T20" s="28">
        <f>Supuestos!$G$34</f>
        <v>250000000</v>
      </c>
      <c r="U20" s="28">
        <f>Supuestos!$G$34</f>
        <v>250000000</v>
      </c>
      <c r="V20" s="28">
        <f>Supuestos!$G$34</f>
        <v>250000000</v>
      </c>
      <c r="W20" s="28">
        <f>Supuestos!$G$34</f>
        <v>250000000</v>
      </c>
      <c r="X20" s="28">
        <f>Supuestos!$G$34</f>
        <v>250000000</v>
      </c>
      <c r="Y20" s="28">
        <f>Supuestos!$G$34</f>
        <v>250000000</v>
      </c>
      <c r="Z20" s="28">
        <f>Supuestos!$G$34</f>
        <v>250000000</v>
      </c>
      <c r="AA20" s="28">
        <f>Supuestos!$G$34</f>
        <v>250000000</v>
      </c>
      <c r="AB20" s="28">
        <f>Supuestos!$G$34</f>
        <v>250000000</v>
      </c>
      <c r="AC20" s="28">
        <f>Supuestos!$G$34</f>
        <v>250000000</v>
      </c>
      <c r="AD20" s="28">
        <f>Supuestos!$G$34</f>
        <v>250000000</v>
      </c>
      <c r="AE20" s="28">
        <f>Supuestos!$G$34</f>
        <v>250000000</v>
      </c>
      <c r="AF20" s="28">
        <f>Supuestos!$G$34</f>
        <v>250000000</v>
      </c>
      <c r="AG20" s="28">
        <f>Supuestos!$G$34</f>
        <v>250000000</v>
      </c>
      <c r="AH20" s="28">
        <f>Supuestos!$G$34</f>
        <v>250000000</v>
      </c>
      <c r="AI20" s="28">
        <f>Supuestos!$G$34</f>
        <v>250000000</v>
      </c>
      <c r="AJ20" s="28">
        <f>Supuestos!$G$34</f>
        <v>250000000</v>
      </c>
      <c r="AK20" s="28">
        <f>Supuestos!$G$34</f>
        <v>250000000</v>
      </c>
      <c r="AL20" s="28">
        <f>Supuestos!$G$34</f>
        <v>250000000</v>
      </c>
      <c r="AM20" s="28">
        <f>Supuestos!$G$34</f>
        <v>250000000</v>
      </c>
      <c r="AN20" s="28">
        <f>Supuestos!$G$34</f>
        <v>250000000</v>
      </c>
      <c r="AO20" s="28">
        <f>Supuestos!$G$34</f>
        <v>250000000</v>
      </c>
      <c r="AP20" s="28">
        <f>Supuestos!$G$34</f>
        <v>250000000</v>
      </c>
      <c r="AQ20" s="28">
        <f>Supuestos!$G$34</f>
        <v>250000000</v>
      </c>
      <c r="AR20" s="28">
        <f>Supuestos!$G$34</f>
        <v>250000000</v>
      </c>
      <c r="AS20" s="28">
        <f>Supuestos!$G$34</f>
        <v>250000000</v>
      </c>
      <c r="AT20" s="28">
        <f>Supuestos!$G$34</f>
        <v>250000000</v>
      </c>
      <c r="AU20" s="28">
        <f>Supuestos!$G$34</f>
        <v>250000000</v>
      </c>
      <c r="AV20" s="28">
        <f>Supuestos!$G$34</f>
        <v>250000000</v>
      </c>
      <c r="AW20" s="28">
        <f>Supuestos!$G$34</f>
        <v>250000000</v>
      </c>
      <c r="AX20" s="28">
        <f>Supuestos!$G$34</f>
        <v>250000000</v>
      </c>
      <c r="AY20" s="28">
        <f>Supuestos!$G$34</f>
        <v>250000000</v>
      </c>
      <c r="AZ20" s="28">
        <f>Supuestos!$G$34</f>
        <v>250000000</v>
      </c>
      <c r="BA20" s="28">
        <f>Supuestos!$G$34</f>
        <v>250000000</v>
      </c>
      <c r="BB20" s="28">
        <f>Supuestos!$G$34</f>
        <v>250000000</v>
      </c>
      <c r="BC20" s="28">
        <f>Supuestos!$G$34</f>
        <v>250000000</v>
      </c>
      <c r="BD20" s="28">
        <f>Supuestos!$G$34</f>
        <v>250000000</v>
      </c>
      <c r="BE20" s="28">
        <f>Supuestos!$G$34</f>
        <v>250000000</v>
      </c>
      <c r="BF20" s="28">
        <f>Supuestos!$G$34</f>
        <v>250000000</v>
      </c>
      <c r="BG20" s="28">
        <f>Supuestos!$G$34</f>
        <v>250000000</v>
      </c>
      <c r="BH20" s="28">
        <f>Supuestos!$G$34</f>
        <v>250000000</v>
      </c>
      <c r="BI20" s="28">
        <f>Supuestos!$G$34</f>
        <v>250000000</v>
      </c>
      <c r="BJ20" s="28">
        <f>Supuestos!$G$34</f>
        <v>250000000</v>
      </c>
      <c r="BK20" s="28">
        <f>Supuestos!$G$34</f>
        <v>250000000</v>
      </c>
      <c r="BL20" s="28">
        <f>Supuestos!$G$34</f>
        <v>250000000</v>
      </c>
      <c r="BM20" s="28">
        <f>Supuestos!$G$34</f>
        <v>250000000</v>
      </c>
      <c r="BN20" s="28">
        <f>Supuestos!$G$34</f>
        <v>250000000</v>
      </c>
    </row>
    <row r="21" ht="15.75" customHeight="1">
      <c r="A21" s="22" t="s">
        <v>188</v>
      </c>
      <c r="B21" s="22" t="s">
        <v>580</v>
      </c>
      <c r="C21" s="52">
        <f t="shared" ref="C21:BJ21" si="4">C18-C19-C20</f>
        <v>29905684316</v>
      </c>
      <c r="D21" s="52">
        <f t="shared" si="4"/>
        <v>29943228891</v>
      </c>
      <c r="E21" s="52">
        <f t="shared" si="4"/>
        <v>29980820076</v>
      </c>
      <c r="F21" s="52">
        <f t="shared" si="4"/>
        <v>30018457931</v>
      </c>
      <c r="G21" s="52">
        <f t="shared" si="4"/>
        <v>30056142513</v>
      </c>
      <c r="H21" s="52">
        <f t="shared" si="4"/>
        <v>30093873879</v>
      </c>
      <c r="I21" s="52">
        <f t="shared" si="4"/>
        <v>30131652089</v>
      </c>
      <c r="J21" s="52">
        <f t="shared" si="4"/>
        <v>30169477200</v>
      </c>
      <c r="K21" s="52">
        <f t="shared" si="4"/>
        <v>30207349270</v>
      </c>
      <c r="L21" s="52">
        <f t="shared" si="4"/>
        <v>30245268358</v>
      </c>
      <c r="M21" s="52">
        <f t="shared" si="4"/>
        <v>30283234522</v>
      </c>
      <c r="N21" s="52">
        <f t="shared" si="4"/>
        <v>30321247820</v>
      </c>
      <c r="O21" s="52">
        <f t="shared" si="4"/>
        <v>30359308312</v>
      </c>
      <c r="P21" s="52">
        <f t="shared" si="4"/>
        <v>30397416055</v>
      </c>
      <c r="Q21" s="52">
        <f t="shared" si="4"/>
        <v>30435571108</v>
      </c>
      <c r="R21" s="52">
        <f t="shared" si="4"/>
        <v>30473773531</v>
      </c>
      <c r="S21" s="52">
        <f t="shared" si="4"/>
        <v>30512023381</v>
      </c>
      <c r="T21" s="52">
        <f t="shared" si="4"/>
        <v>30550320718</v>
      </c>
      <c r="U21" s="52">
        <f t="shared" si="4"/>
        <v>30588665601</v>
      </c>
      <c r="V21" s="52">
        <f t="shared" si="4"/>
        <v>30627058088</v>
      </c>
      <c r="W21" s="52">
        <f t="shared" si="4"/>
        <v>30665498240</v>
      </c>
      <c r="X21" s="52">
        <f t="shared" si="4"/>
        <v>30703986114</v>
      </c>
      <c r="Y21" s="52">
        <f t="shared" si="4"/>
        <v>30742521770</v>
      </c>
      <c r="Z21" s="52">
        <f t="shared" si="4"/>
        <v>30781105268</v>
      </c>
      <c r="AA21" s="52">
        <f t="shared" si="4"/>
        <v>30819736667</v>
      </c>
      <c r="AB21" s="52">
        <f t="shared" si="4"/>
        <v>30858416026</v>
      </c>
      <c r="AC21" s="52">
        <f t="shared" si="4"/>
        <v>30897143406</v>
      </c>
      <c r="AD21" s="52">
        <f t="shared" si="4"/>
        <v>30935918864</v>
      </c>
      <c r="AE21" s="52">
        <f t="shared" si="4"/>
        <v>30974742463</v>
      </c>
      <c r="AF21" s="52">
        <f t="shared" si="4"/>
        <v>31013614260</v>
      </c>
      <c r="AG21" s="52">
        <f t="shared" si="4"/>
        <v>31052534316</v>
      </c>
      <c r="AH21" s="52">
        <f t="shared" si="4"/>
        <v>31091502690</v>
      </c>
      <c r="AI21" s="52">
        <f t="shared" si="4"/>
        <v>31130519444</v>
      </c>
      <c r="AJ21" s="52">
        <f t="shared" si="4"/>
        <v>31169584636</v>
      </c>
      <c r="AK21" s="52">
        <f t="shared" si="4"/>
        <v>31208698327</v>
      </c>
      <c r="AL21" s="52">
        <f t="shared" si="4"/>
        <v>31247860578</v>
      </c>
      <c r="AM21" s="52">
        <f t="shared" si="4"/>
        <v>31287071448</v>
      </c>
      <c r="AN21" s="52">
        <f t="shared" si="4"/>
        <v>31326330998</v>
      </c>
      <c r="AO21" s="52">
        <f t="shared" si="4"/>
        <v>31365639287</v>
      </c>
      <c r="AP21" s="52">
        <f t="shared" si="4"/>
        <v>31404996378</v>
      </c>
      <c r="AQ21" s="52">
        <f t="shared" si="4"/>
        <v>31444402330</v>
      </c>
      <c r="AR21" s="52">
        <f t="shared" si="4"/>
        <v>31483857204</v>
      </c>
      <c r="AS21" s="52">
        <f t="shared" si="4"/>
        <v>31523361061</v>
      </c>
      <c r="AT21" s="52">
        <f t="shared" si="4"/>
        <v>31562913961</v>
      </c>
      <c r="AU21" s="52">
        <f t="shared" si="4"/>
        <v>31602515966</v>
      </c>
      <c r="AV21" s="52">
        <f t="shared" si="4"/>
        <v>31642167136</v>
      </c>
      <c r="AW21" s="52">
        <f t="shared" si="4"/>
        <v>31681867533</v>
      </c>
      <c r="AX21" s="52">
        <f t="shared" si="4"/>
        <v>31721617217</v>
      </c>
      <c r="AY21" s="52">
        <f t="shared" si="4"/>
        <v>31761416250</v>
      </c>
      <c r="AZ21" s="52">
        <f t="shared" si="4"/>
        <v>31801264693</v>
      </c>
      <c r="BA21" s="52">
        <f t="shared" si="4"/>
        <v>31841162608</v>
      </c>
      <c r="BB21" s="52">
        <f t="shared" si="4"/>
        <v>31881110055</v>
      </c>
      <c r="BC21" s="52">
        <f t="shared" si="4"/>
        <v>31921107096</v>
      </c>
      <c r="BD21" s="52">
        <f t="shared" si="4"/>
        <v>31961153793</v>
      </c>
      <c r="BE21" s="52">
        <f t="shared" si="4"/>
        <v>32001250208</v>
      </c>
      <c r="BF21" s="52">
        <f t="shared" si="4"/>
        <v>32041396402</v>
      </c>
      <c r="BG21" s="52">
        <f t="shared" si="4"/>
        <v>32081592437</v>
      </c>
      <c r="BH21" s="52">
        <f t="shared" si="4"/>
        <v>32121838374</v>
      </c>
      <c r="BI21" s="52">
        <f t="shared" si="4"/>
        <v>32162134277</v>
      </c>
      <c r="BJ21" s="52">
        <f t="shared" si="4"/>
        <v>32202480206</v>
      </c>
    </row>
    <row r="22" ht="15.75" customHeight="1"/>
    <row r="23" ht="15.75" customHeight="1">
      <c r="A23" s="4" t="s">
        <v>192</v>
      </c>
      <c r="B23" s="4" t="s">
        <v>581</v>
      </c>
    </row>
    <row r="24" ht="15.75" customHeight="1">
      <c r="A24" s="22" t="s">
        <v>194</v>
      </c>
      <c r="B24" s="22" t="s">
        <v>563</v>
      </c>
      <c r="C24" s="28">
        <f>Demanda_Capacidad!C34</f>
        <v>18068181.82</v>
      </c>
      <c r="D24" s="28">
        <f>Demanda_Capacidad!D34</f>
        <v>18090613.24</v>
      </c>
      <c r="E24" s="28">
        <f>Demanda_Capacidad!E34</f>
        <v>18393825.14</v>
      </c>
      <c r="F24" s="28">
        <f>Demanda_Capacidad!F34</f>
        <v>18585321.56</v>
      </c>
      <c r="G24" s="28">
        <f>Demanda_Capacidad!G34</f>
        <v>18720975.07</v>
      </c>
      <c r="H24" s="28">
        <f>Demanda_Capacidad!H34</f>
        <v>18744216.93</v>
      </c>
      <c r="I24" s="28">
        <f>Demanda_Capacidad!I34</f>
        <v>18767487.64</v>
      </c>
      <c r="J24" s="28">
        <f>Demanda_Capacidad!J34</f>
        <v>18790787.25</v>
      </c>
      <c r="K24" s="28">
        <f>Demanda_Capacidad!K34</f>
        <v>18814115.78</v>
      </c>
      <c r="L24" s="28">
        <f>Demanda_Capacidad!L34</f>
        <v>18837473.27</v>
      </c>
      <c r="M24" s="28">
        <f>Demanda_Capacidad!M34</f>
        <v>18860859.76</v>
      </c>
      <c r="N24" s="28">
        <f>Demanda_Capacidad!N34</f>
        <v>18884275.29</v>
      </c>
      <c r="O24" s="28">
        <f>Demanda_Capacidad!O34</f>
        <v>18907719.89</v>
      </c>
      <c r="P24" s="28">
        <f>Demanda_Capacidad!P34</f>
        <v>18931193.59</v>
      </c>
      <c r="Q24" s="28">
        <f>Demanda_Capacidad!Q34</f>
        <v>18954696.43</v>
      </c>
      <c r="R24" s="28">
        <f>Demanda_Capacidad!R34</f>
        <v>18978228.46</v>
      </c>
      <c r="S24" s="28">
        <f>Demanda_Capacidad!S34</f>
        <v>19001789.69</v>
      </c>
      <c r="T24" s="28">
        <f>Demanda_Capacidad!T34</f>
        <v>19025380.18</v>
      </c>
      <c r="U24" s="28">
        <f>Demanda_Capacidad!U34</f>
        <v>19048999.96</v>
      </c>
      <c r="V24" s="28">
        <f>Demanda_Capacidad!V34</f>
        <v>19072649.06</v>
      </c>
      <c r="W24" s="28">
        <f>Demanda_Capacidad!W34</f>
        <v>19096327.52</v>
      </c>
      <c r="X24" s="28">
        <f>Demanda_Capacidad!X34</f>
        <v>19120035.37</v>
      </c>
      <c r="Y24" s="28">
        <f>Demanda_Capacidad!Y34</f>
        <v>19143772.66</v>
      </c>
      <c r="Z24" s="28">
        <f>Demanda_Capacidad!Z34</f>
        <v>19167539.42</v>
      </c>
      <c r="AA24" s="28">
        <f>Demanda_Capacidad!AA34</f>
        <v>19191335.68</v>
      </c>
      <c r="AB24" s="28">
        <f>Demanda_Capacidad!AB34</f>
        <v>19215161.49</v>
      </c>
      <c r="AC24" s="28">
        <f>Demanda_Capacidad!AC34</f>
        <v>19239016.88</v>
      </c>
      <c r="AD24" s="28">
        <f>Demanda_Capacidad!AD34</f>
        <v>19262901.88</v>
      </c>
      <c r="AE24" s="28">
        <f>Demanda_Capacidad!AE34</f>
        <v>19286816.54</v>
      </c>
      <c r="AF24" s="28">
        <f>Demanda_Capacidad!AF34</f>
        <v>19310760.88</v>
      </c>
      <c r="AG24" s="28">
        <f>Demanda_Capacidad!AG34</f>
        <v>19334734.96</v>
      </c>
      <c r="AH24" s="28">
        <f>Demanda_Capacidad!AH34</f>
        <v>19358738.79</v>
      </c>
      <c r="AI24" s="28">
        <f>Demanda_Capacidad!AI34</f>
        <v>19382772.43</v>
      </c>
      <c r="AJ24" s="28">
        <f>Demanda_Capacidad!AJ34</f>
        <v>19406835.9</v>
      </c>
      <c r="AK24" s="28">
        <f>Demanda_Capacidad!AK34</f>
        <v>19430929.25</v>
      </c>
      <c r="AL24" s="28">
        <f>Demanda_Capacidad!AL34</f>
        <v>19455052.51</v>
      </c>
      <c r="AM24" s="28">
        <f>Demanda_Capacidad!AM34</f>
        <v>19479205.72</v>
      </c>
      <c r="AN24" s="28">
        <f>Demanda_Capacidad!AN34</f>
        <v>19503388.91</v>
      </c>
      <c r="AO24" s="28">
        <f>Demanda_Capacidad!AO34</f>
        <v>19527602.13</v>
      </c>
      <c r="AP24" s="28">
        <f>Demanda_Capacidad!AP34</f>
        <v>19551845.41</v>
      </c>
      <c r="AQ24" s="28">
        <f>Demanda_Capacidad!AQ34</f>
        <v>19576118.79</v>
      </c>
      <c r="AR24" s="28">
        <f>Demanda_Capacidad!AR34</f>
        <v>19600422.3</v>
      </c>
      <c r="AS24" s="28">
        <f>Demanda_Capacidad!AS34</f>
        <v>19624755.98</v>
      </c>
      <c r="AT24" s="28">
        <f>Demanda_Capacidad!AT34</f>
        <v>19649119.87</v>
      </c>
      <c r="AU24" s="28">
        <f>Demanda_Capacidad!AU34</f>
        <v>19673514.02</v>
      </c>
      <c r="AV24" s="28">
        <f>Demanda_Capacidad!AV34</f>
        <v>19697938.44</v>
      </c>
      <c r="AW24" s="28">
        <f>Demanda_Capacidad!AW34</f>
        <v>19722393.19</v>
      </c>
      <c r="AX24" s="28">
        <f>Demanda_Capacidad!AX34</f>
        <v>19746878.3</v>
      </c>
      <c r="AY24" s="28">
        <f>Demanda_Capacidad!AY34</f>
        <v>19771393.81</v>
      </c>
      <c r="AZ24" s="28">
        <f>Demanda_Capacidad!AZ34</f>
        <v>19795939.75</v>
      </c>
      <c r="BA24" s="28">
        <f>Demanda_Capacidad!BA34</f>
        <v>19820516.16</v>
      </c>
      <c r="BB24" s="28">
        <f>Demanda_Capacidad!BB34</f>
        <v>19845123.09</v>
      </c>
      <c r="BC24" s="28">
        <f>Demanda_Capacidad!BC34</f>
        <v>19869760.57</v>
      </c>
      <c r="BD24" s="28">
        <f>Demanda_Capacidad!BD34</f>
        <v>19894428.63</v>
      </c>
      <c r="BE24" s="28">
        <f>Demanda_Capacidad!BE34</f>
        <v>19919127.32</v>
      </c>
      <c r="BF24" s="28">
        <f>Demanda_Capacidad!BF34</f>
        <v>19943856.67</v>
      </c>
      <c r="BG24" s="28">
        <f>Demanda_Capacidad!BG34</f>
        <v>19968616.73</v>
      </c>
      <c r="BH24" s="28">
        <f>Demanda_Capacidad!BH34</f>
        <v>19993407.52</v>
      </c>
      <c r="BI24" s="28">
        <f>Demanda_Capacidad!BI34</f>
        <v>20018229.09</v>
      </c>
      <c r="BJ24" s="28">
        <f>Demanda_Capacidad!BJ34</f>
        <v>20043081.47</v>
      </c>
      <c r="BK24" s="28" t="str">
        <f>Demanda_Capacidad!BK34</f>
        <v/>
      </c>
      <c r="BL24" s="28" t="str">
        <f>Demanda_Capacidad!BL34</f>
        <v/>
      </c>
      <c r="BM24" s="28" t="str">
        <f>Demanda_Capacidad!BM34</f>
        <v/>
      </c>
      <c r="BN24" s="28" t="str">
        <f>Demanda_Capacidad!BN34</f>
        <v/>
      </c>
    </row>
    <row r="25" ht="15.75" customHeight="1">
      <c r="A25" s="22" t="s">
        <v>196</v>
      </c>
      <c r="B25" s="22" t="s">
        <v>565</v>
      </c>
      <c r="C25" s="28">
        <f>Demanda_Capacidad!C35</f>
        <v>2782500</v>
      </c>
      <c r="D25" s="28">
        <f>Demanda_Capacidad!D35</f>
        <v>2785954.44</v>
      </c>
      <c r="E25" s="28">
        <f>Demanda_Capacidad!E35</f>
        <v>2832649.072</v>
      </c>
      <c r="F25" s="28">
        <f>Demanda_Capacidad!F35</f>
        <v>2862139.519</v>
      </c>
      <c r="G25" s="28">
        <f>Demanda_Capacidad!G35</f>
        <v>2883030.16</v>
      </c>
      <c r="H25" s="28">
        <f>Demanda_Capacidad!H35</f>
        <v>2886609.407</v>
      </c>
      <c r="I25" s="28">
        <f>Demanda_Capacidad!I35</f>
        <v>2890193.097</v>
      </c>
      <c r="J25" s="28">
        <f>Demanda_Capacidad!J35</f>
        <v>2893781.236</v>
      </c>
      <c r="K25" s="28">
        <f>Demanda_Capacidad!K35</f>
        <v>2897373.83</v>
      </c>
      <c r="L25" s="28">
        <f>Demanda_Capacidad!L35</f>
        <v>2900970.884</v>
      </c>
      <c r="M25" s="28">
        <f>Demanda_Capacidad!M35</f>
        <v>2904572.404</v>
      </c>
      <c r="N25" s="28">
        <f>Demanda_Capacidad!N35</f>
        <v>2908178.395</v>
      </c>
      <c r="O25" s="28">
        <f>Demanda_Capacidad!O35</f>
        <v>2911788.863</v>
      </c>
      <c r="P25" s="28">
        <f>Demanda_Capacidad!P35</f>
        <v>2915403.813</v>
      </c>
      <c r="Q25" s="28">
        <f>Demanda_Capacidad!Q35</f>
        <v>2919023.251</v>
      </c>
      <c r="R25" s="28">
        <f>Demanda_Capacidad!R35</f>
        <v>2922647.182</v>
      </c>
      <c r="S25" s="28">
        <f>Demanda_Capacidad!S35</f>
        <v>2926275.613</v>
      </c>
      <c r="T25" s="28">
        <f>Demanda_Capacidad!T35</f>
        <v>2929908.548</v>
      </c>
      <c r="U25" s="28">
        <f>Demanda_Capacidad!U35</f>
        <v>2933545.993</v>
      </c>
      <c r="V25" s="28">
        <f>Demanda_Capacidad!V35</f>
        <v>2937187.955</v>
      </c>
      <c r="W25" s="28">
        <f>Demanda_Capacidad!W35</f>
        <v>2940834.437</v>
      </c>
      <c r="X25" s="28">
        <f>Demanda_Capacidad!X35</f>
        <v>2944485.447</v>
      </c>
      <c r="Y25" s="28">
        <f>Demanda_Capacidad!Y35</f>
        <v>2948140.99</v>
      </c>
      <c r="Z25" s="28">
        <f>Demanda_Capacidad!Z35</f>
        <v>2951801.071</v>
      </c>
      <c r="AA25" s="28">
        <f>Demanda_Capacidad!AA35</f>
        <v>2955465.695</v>
      </c>
      <c r="AB25" s="28">
        <f>Demanda_Capacidad!AB35</f>
        <v>2959134.87</v>
      </c>
      <c r="AC25" s="28">
        <f>Demanda_Capacidad!AC35</f>
        <v>2962808.599</v>
      </c>
      <c r="AD25" s="28">
        <f>Demanda_Capacidad!AD35</f>
        <v>2966486.89</v>
      </c>
      <c r="AE25" s="28">
        <f>Demanda_Capacidad!AE35</f>
        <v>2970169.747</v>
      </c>
      <c r="AF25" s="28">
        <f>Demanda_Capacidad!AF35</f>
        <v>2973857.176</v>
      </c>
      <c r="AG25" s="28">
        <f>Demanda_Capacidad!AG35</f>
        <v>2977549.183</v>
      </c>
      <c r="AH25" s="28">
        <f>Demanda_Capacidad!AH35</f>
        <v>2981245.774</v>
      </c>
      <c r="AI25" s="28">
        <f>Demanda_Capacidad!AI35</f>
        <v>2984946.954</v>
      </c>
      <c r="AJ25" s="28">
        <f>Demanda_Capacidad!AJ35</f>
        <v>2988652.729</v>
      </c>
      <c r="AK25" s="28">
        <f>Demanda_Capacidad!AK35</f>
        <v>2992363.105</v>
      </c>
      <c r="AL25" s="28">
        <f>Demanda_Capacidad!AL35</f>
        <v>2996078.087</v>
      </c>
      <c r="AM25" s="28">
        <f>Demanda_Capacidad!AM35</f>
        <v>2999797.681</v>
      </c>
      <c r="AN25" s="28">
        <f>Demanda_Capacidad!AN35</f>
        <v>3003521.893</v>
      </c>
      <c r="AO25" s="28">
        <f>Demanda_Capacidad!AO35</f>
        <v>3007250.728</v>
      </c>
      <c r="AP25" s="28">
        <f>Demanda_Capacidad!AP35</f>
        <v>3010984.193</v>
      </c>
      <c r="AQ25" s="28">
        <f>Demanda_Capacidad!AQ35</f>
        <v>3014722.293</v>
      </c>
      <c r="AR25" s="28">
        <f>Demanda_Capacidad!AR35</f>
        <v>3018465.034</v>
      </c>
      <c r="AS25" s="28">
        <f>Demanda_Capacidad!AS35</f>
        <v>3022212.421</v>
      </c>
      <c r="AT25" s="28">
        <f>Demanda_Capacidad!AT35</f>
        <v>3025964.461</v>
      </c>
      <c r="AU25" s="28">
        <f>Demanda_Capacidad!AU35</f>
        <v>3029721.158</v>
      </c>
      <c r="AV25" s="28">
        <f>Demanda_Capacidad!AV35</f>
        <v>3033482.52</v>
      </c>
      <c r="AW25" s="28">
        <f>Demanda_Capacidad!AW35</f>
        <v>3037248.551</v>
      </c>
      <c r="AX25" s="28">
        <f>Demanda_Capacidad!AX35</f>
        <v>3041019.258</v>
      </c>
      <c r="AY25" s="28">
        <f>Demanda_Capacidad!AY35</f>
        <v>3044794.646</v>
      </c>
      <c r="AZ25" s="28">
        <f>Demanda_Capacidad!AZ35</f>
        <v>3048574.721</v>
      </c>
      <c r="BA25" s="28">
        <f>Demanda_Capacidad!BA35</f>
        <v>3052359.489</v>
      </c>
      <c r="BB25" s="28">
        <f>Demanda_Capacidad!BB35</f>
        <v>3056148.956</v>
      </c>
      <c r="BC25" s="28">
        <f>Demanda_Capacidad!BC35</f>
        <v>3059943.128</v>
      </c>
      <c r="BD25" s="28">
        <f>Demanda_Capacidad!BD35</f>
        <v>3063742.009</v>
      </c>
      <c r="BE25" s="28">
        <f>Demanda_Capacidad!BE35</f>
        <v>3067545.607</v>
      </c>
      <c r="BF25" s="28">
        <f>Demanda_Capacidad!BF35</f>
        <v>3071353.928</v>
      </c>
      <c r="BG25" s="28">
        <f>Demanda_Capacidad!BG35</f>
        <v>3075166.976</v>
      </c>
      <c r="BH25" s="28">
        <f>Demanda_Capacidad!BH35</f>
        <v>3078984.758</v>
      </c>
      <c r="BI25" s="28">
        <f>Demanda_Capacidad!BI35</f>
        <v>3082807.28</v>
      </c>
      <c r="BJ25" s="28">
        <f>Demanda_Capacidad!BJ35</f>
        <v>3086634.547</v>
      </c>
      <c r="BK25" s="28" t="str">
        <f>Demanda_Capacidad!BK35</f>
        <v/>
      </c>
      <c r="BL25" s="28" t="str">
        <f>Demanda_Capacidad!BL35</f>
        <v/>
      </c>
      <c r="BM25" s="28" t="str">
        <f>Demanda_Capacidad!BM35</f>
        <v/>
      </c>
      <c r="BN25" s="28" t="str">
        <f>Demanda_Capacidad!BN35</f>
        <v/>
      </c>
    </row>
    <row r="26" ht="15.75" customHeight="1">
      <c r="A26" s="22" t="s">
        <v>198</v>
      </c>
      <c r="B26" s="22" t="s">
        <v>567</v>
      </c>
      <c r="C26" s="28">
        <f>Demanda_Capacidad!C36</f>
        <v>71550</v>
      </c>
      <c r="D26" s="28">
        <f>Demanda_Capacidad!D36</f>
        <v>71638.82845</v>
      </c>
      <c r="E26" s="28">
        <f>Demanda_Capacidad!E36</f>
        <v>72839.54756</v>
      </c>
      <c r="F26" s="28">
        <f>Demanda_Capacidad!F36</f>
        <v>73597.87336</v>
      </c>
      <c r="G26" s="28">
        <f>Demanda_Capacidad!G36</f>
        <v>74135.06127</v>
      </c>
      <c r="H26" s="28">
        <f>Demanda_Capacidad!H36</f>
        <v>74227.09903</v>
      </c>
      <c r="I26" s="28">
        <f>Demanda_Capacidad!I36</f>
        <v>74319.25106</v>
      </c>
      <c r="J26" s="28">
        <f>Demanda_Capacidad!J36</f>
        <v>74411.5175</v>
      </c>
      <c r="K26" s="28">
        <f>Demanda_Capacidad!K36</f>
        <v>74503.89849</v>
      </c>
      <c r="L26" s="28">
        <f>Demanda_Capacidad!L36</f>
        <v>74596.39416</v>
      </c>
      <c r="M26" s="28">
        <f>Demanda_Capacidad!M36</f>
        <v>74689.00467</v>
      </c>
      <c r="N26" s="28">
        <f>Demanda_Capacidad!N36</f>
        <v>74781.73015</v>
      </c>
      <c r="O26" s="28">
        <f>Demanda_Capacidad!O36</f>
        <v>74874.57075</v>
      </c>
      <c r="P26" s="28">
        <f>Demanda_Capacidad!P36</f>
        <v>74967.52661</v>
      </c>
      <c r="Q26" s="28">
        <f>Demanda_Capacidad!Q36</f>
        <v>75060.59787</v>
      </c>
      <c r="R26" s="28">
        <f>Demanda_Capacidad!R36</f>
        <v>75153.78468</v>
      </c>
      <c r="S26" s="28">
        <f>Demanda_Capacidad!S36</f>
        <v>75247.08718</v>
      </c>
      <c r="T26" s="28">
        <f>Demanda_Capacidad!T36</f>
        <v>75340.50552</v>
      </c>
      <c r="U26" s="28">
        <f>Demanda_Capacidad!U36</f>
        <v>75434.03983</v>
      </c>
      <c r="V26" s="28">
        <f>Demanda_Capacidad!V36</f>
        <v>75527.69026</v>
      </c>
      <c r="W26" s="28">
        <f>Demanda_Capacidad!W36</f>
        <v>75621.45696</v>
      </c>
      <c r="X26" s="28">
        <f>Demanda_Capacidad!X36</f>
        <v>75715.34007</v>
      </c>
      <c r="Y26" s="28">
        <f>Demanda_Capacidad!Y36</f>
        <v>75809.33974</v>
      </c>
      <c r="Z26" s="28">
        <f>Demanda_Capacidad!Z36</f>
        <v>75903.4561</v>
      </c>
      <c r="AA26" s="28">
        <f>Demanda_Capacidad!AA36</f>
        <v>75997.68931</v>
      </c>
      <c r="AB26" s="28">
        <f>Demanda_Capacidad!AB36</f>
        <v>76092.03951</v>
      </c>
      <c r="AC26" s="28">
        <f>Demanda_Capacidad!AC36</f>
        <v>76186.50684</v>
      </c>
      <c r="AD26" s="28">
        <f>Demanda_Capacidad!AD36</f>
        <v>76281.09145</v>
      </c>
      <c r="AE26" s="28">
        <f>Demanda_Capacidad!AE36</f>
        <v>76375.79349</v>
      </c>
      <c r="AF26" s="28">
        <f>Demanda_Capacidad!AF36</f>
        <v>76470.6131</v>
      </c>
      <c r="AG26" s="28">
        <f>Demanda_Capacidad!AG36</f>
        <v>76565.55043</v>
      </c>
      <c r="AH26" s="28">
        <f>Demanda_Capacidad!AH36</f>
        <v>76660.60562</v>
      </c>
      <c r="AI26" s="28">
        <f>Demanda_Capacidad!AI36</f>
        <v>76755.77882</v>
      </c>
      <c r="AJ26" s="28">
        <f>Demanda_Capacidad!AJ36</f>
        <v>76851.07018</v>
      </c>
      <c r="AK26" s="28">
        <f>Demanda_Capacidad!AK36</f>
        <v>76946.47983</v>
      </c>
      <c r="AL26" s="28">
        <f>Demanda_Capacidad!AL36</f>
        <v>77042.00794</v>
      </c>
      <c r="AM26" s="28">
        <f>Demanda_Capacidad!AM36</f>
        <v>77137.65465</v>
      </c>
      <c r="AN26" s="28">
        <f>Demanda_Capacidad!AN36</f>
        <v>77233.4201</v>
      </c>
      <c r="AO26" s="28">
        <f>Demanda_Capacidad!AO36</f>
        <v>77329.30444</v>
      </c>
      <c r="AP26" s="28">
        <f>Demanda_Capacidad!AP36</f>
        <v>77425.30783</v>
      </c>
      <c r="AQ26" s="28">
        <f>Demanda_Capacidad!AQ36</f>
        <v>77521.43039</v>
      </c>
      <c r="AR26" s="28">
        <f>Demanda_Capacidad!AR36</f>
        <v>77617.6723</v>
      </c>
      <c r="AS26" s="28">
        <f>Demanda_Capacidad!AS36</f>
        <v>77714.03368</v>
      </c>
      <c r="AT26" s="28">
        <f>Demanda_Capacidad!AT36</f>
        <v>77810.5147</v>
      </c>
      <c r="AU26" s="28">
        <f>Demanda_Capacidad!AU36</f>
        <v>77907.1155</v>
      </c>
      <c r="AV26" s="28">
        <f>Demanda_Capacidad!AV36</f>
        <v>78003.83623</v>
      </c>
      <c r="AW26" s="28">
        <f>Demanda_Capacidad!AW36</f>
        <v>78100.67703</v>
      </c>
      <c r="AX26" s="28">
        <f>Demanda_Capacidad!AX36</f>
        <v>78197.63806</v>
      </c>
      <c r="AY26" s="28">
        <f>Demanda_Capacidad!AY36</f>
        <v>78294.71947</v>
      </c>
      <c r="AZ26" s="28">
        <f>Demanda_Capacidad!AZ36</f>
        <v>78391.9214</v>
      </c>
      <c r="BA26" s="28">
        <f>Demanda_Capacidad!BA36</f>
        <v>78489.24401</v>
      </c>
      <c r="BB26" s="28">
        <f>Demanda_Capacidad!BB36</f>
        <v>78586.68744</v>
      </c>
      <c r="BC26" s="28">
        <f>Demanda_Capacidad!BC36</f>
        <v>78684.25185</v>
      </c>
      <c r="BD26" s="28">
        <f>Demanda_Capacidad!BD36</f>
        <v>78781.93738</v>
      </c>
      <c r="BE26" s="28">
        <f>Demanda_Capacidad!BE36</f>
        <v>78879.74419</v>
      </c>
      <c r="BF26" s="28">
        <f>Demanda_Capacidad!BF36</f>
        <v>78977.67242</v>
      </c>
      <c r="BG26" s="28">
        <f>Demanda_Capacidad!BG36</f>
        <v>79075.72223</v>
      </c>
      <c r="BH26" s="28">
        <f>Demanda_Capacidad!BH36</f>
        <v>79173.89377</v>
      </c>
      <c r="BI26" s="28">
        <f>Demanda_Capacidad!BI36</f>
        <v>79272.18719</v>
      </c>
      <c r="BJ26" s="28">
        <f>Demanda_Capacidad!BJ36</f>
        <v>79370.60263</v>
      </c>
      <c r="BK26" s="28" t="str">
        <f>Demanda_Capacidad!BK36</f>
        <v/>
      </c>
      <c r="BL26" s="28" t="str">
        <f>Demanda_Capacidad!BL36</f>
        <v/>
      </c>
      <c r="BM26" s="28" t="str">
        <f>Demanda_Capacidad!BM36</f>
        <v/>
      </c>
      <c r="BN26" s="28" t="str">
        <f>Demanda_Capacidad!BN36</f>
        <v/>
      </c>
    </row>
    <row r="27" ht="15.75" customHeight="1">
      <c r="A27" s="22" t="s">
        <v>200</v>
      </c>
      <c r="B27" s="22" t="s">
        <v>569</v>
      </c>
      <c r="C27" s="28">
        <f>C24*Supuestos!$D$28</f>
        <v>39750000000</v>
      </c>
      <c r="D27" s="28">
        <f>D24*Supuestos!$D$28</f>
        <v>39799349137</v>
      </c>
      <c r="E27" s="28">
        <f>E24*Supuestos!$D$28</f>
        <v>40466415313</v>
      </c>
      <c r="F27" s="28">
        <f>F24*Supuestos!$D$28</f>
        <v>40887707421</v>
      </c>
      <c r="G27" s="28">
        <f>G24*Supuestos!$D$28</f>
        <v>41186145147</v>
      </c>
      <c r="H27" s="28">
        <f>H24*Supuestos!$D$28</f>
        <v>41237277241</v>
      </c>
      <c r="I27" s="28">
        <f>I24*Supuestos!$D$28</f>
        <v>41288472814</v>
      </c>
      <c r="J27" s="28">
        <f>J24*Supuestos!$D$28</f>
        <v>41339731946</v>
      </c>
      <c r="K27" s="28">
        <f>K24*Supuestos!$D$28</f>
        <v>41391054715</v>
      </c>
      <c r="L27" s="28">
        <f>L24*Supuestos!$D$28</f>
        <v>41442441201</v>
      </c>
      <c r="M27" s="28">
        <f>M24*Supuestos!$D$28</f>
        <v>41493891483</v>
      </c>
      <c r="N27" s="28">
        <f>N24*Supuestos!$D$28</f>
        <v>41545405639</v>
      </c>
      <c r="O27" s="28">
        <f>O24*Supuestos!$D$28</f>
        <v>41596983750</v>
      </c>
      <c r="P27" s="28">
        <f>P24*Supuestos!$D$28</f>
        <v>41648625894</v>
      </c>
      <c r="Q27" s="28">
        <f>Q24*Supuestos!$D$28</f>
        <v>41700332152</v>
      </c>
      <c r="R27" s="28">
        <f>R24*Supuestos!$D$28</f>
        <v>41752102602</v>
      </c>
      <c r="S27" s="28">
        <f>S24*Supuestos!$D$28</f>
        <v>41803937324</v>
      </c>
      <c r="T27" s="28">
        <f>T24*Supuestos!$D$28</f>
        <v>41855836399</v>
      </c>
      <c r="U27" s="28">
        <f>U24*Supuestos!$D$28</f>
        <v>41907799906</v>
      </c>
      <c r="V27" s="28">
        <f>V24*Supuestos!$D$28</f>
        <v>41959827925</v>
      </c>
      <c r="W27" s="28">
        <f>W24*Supuestos!$D$28</f>
        <v>42011920536</v>
      </c>
      <c r="X27" s="28">
        <f>X24*Supuestos!$D$28</f>
        <v>42064077819</v>
      </c>
      <c r="Y27" s="28">
        <f>Y24*Supuestos!$D$28</f>
        <v>42116299855</v>
      </c>
      <c r="Z27" s="28">
        <f>Z24*Supuestos!$D$28</f>
        <v>42168586724</v>
      </c>
      <c r="AA27" s="28">
        <f>AA24*Supuestos!$D$28</f>
        <v>42220938506</v>
      </c>
      <c r="AB27" s="28">
        <f>AB24*Supuestos!$D$28</f>
        <v>42273355283</v>
      </c>
      <c r="AC27" s="28">
        <f>AC24*Supuestos!$D$28</f>
        <v>42325837134</v>
      </c>
      <c r="AD27" s="28">
        <f>AD24*Supuestos!$D$28</f>
        <v>42378384141</v>
      </c>
      <c r="AE27" s="28">
        <f>AE24*Supuestos!$D$28</f>
        <v>42430996384</v>
      </c>
      <c r="AF27" s="28">
        <f>AF24*Supuestos!$D$28</f>
        <v>42483673945</v>
      </c>
      <c r="AG27" s="28">
        <f>AG24*Supuestos!$D$28</f>
        <v>42536416905</v>
      </c>
      <c r="AH27" s="28">
        <f>AH24*Supuestos!$D$28</f>
        <v>42589225344</v>
      </c>
      <c r="AI27" s="28">
        <f>AI24*Supuestos!$D$28</f>
        <v>42642099344</v>
      </c>
      <c r="AJ27" s="28">
        <f>AJ24*Supuestos!$D$28</f>
        <v>42695038986</v>
      </c>
      <c r="AK27" s="28">
        <f>AK24*Supuestos!$D$28</f>
        <v>42748044353</v>
      </c>
      <c r="AL27" s="28">
        <f>AL24*Supuestos!$D$28</f>
        <v>42801115525</v>
      </c>
      <c r="AM27" s="28">
        <f>AM24*Supuestos!$D$28</f>
        <v>42854252584</v>
      </c>
      <c r="AN27" s="28">
        <f>AN24*Supuestos!$D$28</f>
        <v>42907455612</v>
      </c>
      <c r="AO27" s="28">
        <f>AO24*Supuestos!$D$28</f>
        <v>42960724691</v>
      </c>
      <c r="AP27" s="28">
        <f>AP24*Supuestos!$D$28</f>
        <v>43014059903</v>
      </c>
      <c r="AQ27" s="28">
        <f>AQ24*Supuestos!$D$28</f>
        <v>43067461330</v>
      </c>
      <c r="AR27" s="28">
        <f>AR24*Supuestos!$D$28</f>
        <v>43120929054</v>
      </c>
      <c r="AS27" s="28">
        <f>AS24*Supuestos!$D$28</f>
        <v>43174463158</v>
      </c>
      <c r="AT27" s="28">
        <f>AT24*Supuestos!$D$28</f>
        <v>43228063724</v>
      </c>
      <c r="AU27" s="28">
        <f>AU24*Supuestos!$D$28</f>
        <v>43281730834</v>
      </c>
      <c r="AV27" s="28">
        <f>AV24*Supuestos!$D$28</f>
        <v>43335464571</v>
      </c>
      <c r="AW27" s="28">
        <f>AW24*Supuestos!$D$28</f>
        <v>43389265018</v>
      </c>
      <c r="AX27" s="28">
        <f>AX24*Supuestos!$D$28</f>
        <v>43443132258</v>
      </c>
      <c r="AY27" s="28">
        <f>AY24*Supuestos!$D$28</f>
        <v>43497066373</v>
      </c>
      <c r="AZ27" s="28">
        <f>AZ24*Supuestos!$D$28</f>
        <v>43551067446</v>
      </c>
      <c r="BA27" s="28">
        <f>BA24*Supuestos!$D$28</f>
        <v>43605135561</v>
      </c>
      <c r="BB27" s="28">
        <f>BB24*Supuestos!$D$28</f>
        <v>43659270802</v>
      </c>
      <c r="BC27" s="28">
        <f>BC24*Supuestos!$D$28</f>
        <v>43713473250</v>
      </c>
      <c r="BD27" s="28">
        <f>BD24*Supuestos!$D$28</f>
        <v>43767742990</v>
      </c>
      <c r="BE27" s="28">
        <f>BE24*Supuestos!$D$28</f>
        <v>43822080105</v>
      </c>
      <c r="BF27" s="28">
        <f>BF24*Supuestos!$D$28</f>
        <v>43876484680</v>
      </c>
      <c r="BG27" s="28">
        <f>BG24*Supuestos!$D$28</f>
        <v>43930956796</v>
      </c>
      <c r="BH27" s="28">
        <f>BH24*Supuestos!$D$28</f>
        <v>43985496540</v>
      </c>
      <c r="BI27" s="28">
        <f>BI24*Supuestos!$D$28</f>
        <v>44040103993</v>
      </c>
      <c r="BJ27" s="28">
        <f>BJ24*Supuestos!$D$28</f>
        <v>44094779241</v>
      </c>
      <c r="BK27" s="28">
        <f>BK24*Supuestos!$D$28</f>
        <v>0</v>
      </c>
      <c r="BL27" s="28">
        <f>BL24*Supuestos!$D$28</f>
        <v>0</v>
      </c>
      <c r="BM27" s="28">
        <f>BM24*Supuestos!$D$28</f>
        <v>0</v>
      </c>
      <c r="BN27" s="28">
        <f>BN24*Supuestos!$D$28</f>
        <v>0</v>
      </c>
    </row>
    <row r="28" ht="15.75" customHeight="1">
      <c r="A28" s="22" t="s">
        <v>202</v>
      </c>
      <c r="B28" s="22" t="s">
        <v>570</v>
      </c>
      <c r="C28" s="28">
        <f>C25*Supuestos!$D$29</f>
        <v>14469000000</v>
      </c>
      <c r="D28" s="28">
        <f>D25*Supuestos!$D$29</f>
        <v>14486963086</v>
      </c>
      <c r="E28" s="28">
        <f>E25*Supuestos!$D$29</f>
        <v>14729775174</v>
      </c>
      <c r="F28" s="28">
        <f>F25*Supuestos!$D$29</f>
        <v>14883125501</v>
      </c>
      <c r="G28" s="28">
        <f>G25*Supuestos!$D$29</f>
        <v>14991756834</v>
      </c>
      <c r="H28" s="28">
        <f>H25*Supuestos!$D$29</f>
        <v>15010368916</v>
      </c>
      <c r="I28" s="28">
        <f>I25*Supuestos!$D$29</f>
        <v>15029004104</v>
      </c>
      <c r="J28" s="28">
        <f>J25*Supuestos!$D$29</f>
        <v>15047662428</v>
      </c>
      <c r="K28" s="28">
        <f>K25*Supuestos!$D$29</f>
        <v>15066343916</v>
      </c>
      <c r="L28" s="28">
        <f>L25*Supuestos!$D$29</f>
        <v>15085048597</v>
      </c>
      <c r="M28" s="28">
        <f>M25*Supuestos!$D$29</f>
        <v>15103776500</v>
      </c>
      <c r="N28" s="28">
        <f>N25*Supuestos!$D$29</f>
        <v>15122527653</v>
      </c>
      <c r="O28" s="28">
        <f>O25*Supuestos!$D$29</f>
        <v>15141302085</v>
      </c>
      <c r="P28" s="28">
        <f>P25*Supuestos!$D$29</f>
        <v>15160099826</v>
      </c>
      <c r="Q28" s="28">
        <f>Q25*Supuestos!$D$29</f>
        <v>15178920903</v>
      </c>
      <c r="R28" s="28">
        <f>R25*Supuestos!$D$29</f>
        <v>15197765347</v>
      </c>
      <c r="S28" s="28">
        <f>S25*Supuestos!$D$29</f>
        <v>15216633186</v>
      </c>
      <c r="T28" s="28">
        <f>T25*Supuestos!$D$29</f>
        <v>15235524449</v>
      </c>
      <c r="U28" s="28">
        <f>U25*Supuestos!$D$29</f>
        <v>15254439166</v>
      </c>
      <c r="V28" s="28">
        <f>V25*Supuestos!$D$29</f>
        <v>15273377365</v>
      </c>
      <c r="W28" s="28">
        <f>W25*Supuestos!$D$29</f>
        <v>15292339075</v>
      </c>
      <c r="X28" s="28">
        <f>X25*Supuestos!$D$29</f>
        <v>15311324326</v>
      </c>
      <c r="Y28" s="28">
        <f>Y25*Supuestos!$D$29</f>
        <v>15330333147</v>
      </c>
      <c r="Z28" s="28">
        <f>Z25*Supuestos!$D$29</f>
        <v>15349365567</v>
      </c>
      <c r="AA28" s="28">
        <f>AA25*Supuestos!$D$29</f>
        <v>15368421616</v>
      </c>
      <c r="AB28" s="28">
        <f>AB25*Supuestos!$D$29</f>
        <v>15387501323</v>
      </c>
      <c r="AC28" s="28">
        <f>AC25*Supuestos!$D$29</f>
        <v>15406604717</v>
      </c>
      <c r="AD28" s="28">
        <f>AD25*Supuestos!$D$29</f>
        <v>15425731827</v>
      </c>
      <c r="AE28" s="28">
        <f>AE25*Supuestos!$D$29</f>
        <v>15444882684</v>
      </c>
      <c r="AF28" s="28">
        <f>AF25*Supuestos!$D$29</f>
        <v>15464057316</v>
      </c>
      <c r="AG28" s="28">
        <f>AG25*Supuestos!$D$29</f>
        <v>15483255753</v>
      </c>
      <c r="AH28" s="28">
        <f>AH25*Supuestos!$D$29</f>
        <v>15502478025</v>
      </c>
      <c r="AI28" s="28">
        <f>AI25*Supuestos!$D$29</f>
        <v>15521724161</v>
      </c>
      <c r="AJ28" s="28">
        <f>AJ25*Supuestos!$D$29</f>
        <v>15540994191</v>
      </c>
      <c r="AK28" s="28">
        <f>AK25*Supuestos!$D$29</f>
        <v>15560288144</v>
      </c>
      <c r="AL28" s="28">
        <f>AL25*Supuestos!$D$29</f>
        <v>15579606051</v>
      </c>
      <c r="AM28" s="28">
        <f>AM25*Supuestos!$D$29</f>
        <v>15598947941</v>
      </c>
      <c r="AN28" s="28">
        <f>AN25*Supuestos!$D$29</f>
        <v>15618313843</v>
      </c>
      <c r="AO28" s="28">
        <f>AO25*Supuestos!$D$29</f>
        <v>15637703788</v>
      </c>
      <c r="AP28" s="28">
        <f>AP25*Supuestos!$D$29</f>
        <v>15657117805</v>
      </c>
      <c r="AQ28" s="28">
        <f>AQ25*Supuestos!$D$29</f>
        <v>15676555924</v>
      </c>
      <c r="AR28" s="28">
        <f>AR25*Supuestos!$D$29</f>
        <v>15696018176</v>
      </c>
      <c r="AS28" s="28">
        <f>AS25*Supuestos!$D$29</f>
        <v>15715504590</v>
      </c>
      <c r="AT28" s="28">
        <f>AT25*Supuestos!$D$29</f>
        <v>15735015195</v>
      </c>
      <c r="AU28" s="28">
        <f>AU25*Supuestos!$D$29</f>
        <v>15754550024</v>
      </c>
      <c r="AV28" s="28">
        <f>AV25*Supuestos!$D$29</f>
        <v>15774109104</v>
      </c>
      <c r="AW28" s="28">
        <f>AW25*Supuestos!$D$29</f>
        <v>15793692467</v>
      </c>
      <c r="AX28" s="28">
        <f>AX25*Supuestos!$D$29</f>
        <v>15813300142</v>
      </c>
      <c r="AY28" s="28">
        <f>AY25*Supuestos!$D$29</f>
        <v>15832932160</v>
      </c>
      <c r="AZ28" s="28">
        <f>AZ25*Supuestos!$D$29</f>
        <v>15852588550</v>
      </c>
      <c r="BA28" s="28">
        <f>BA25*Supuestos!$D$29</f>
        <v>15872269344</v>
      </c>
      <c r="BB28" s="28">
        <f>BB25*Supuestos!$D$29</f>
        <v>15891974572</v>
      </c>
      <c r="BC28" s="28">
        <f>BC25*Supuestos!$D$29</f>
        <v>15911704263</v>
      </c>
      <c r="BD28" s="28">
        <f>BD25*Supuestos!$D$29</f>
        <v>15931458448</v>
      </c>
      <c r="BE28" s="28">
        <f>BE25*Supuestos!$D$29</f>
        <v>15951237158</v>
      </c>
      <c r="BF28" s="28">
        <f>BF25*Supuestos!$D$29</f>
        <v>15971040423</v>
      </c>
      <c r="BG28" s="28">
        <f>BG25*Supuestos!$D$29</f>
        <v>15990868274</v>
      </c>
      <c r="BH28" s="28">
        <f>BH25*Supuestos!$D$29</f>
        <v>16010720740</v>
      </c>
      <c r="BI28" s="28">
        <f>BI25*Supuestos!$D$29</f>
        <v>16030597854</v>
      </c>
      <c r="BJ28" s="28">
        <f>BJ25*Supuestos!$D$29</f>
        <v>16050499644</v>
      </c>
      <c r="BK28" s="28">
        <f>BK25*Supuestos!$D$29</f>
        <v>0</v>
      </c>
      <c r="BL28" s="28">
        <f>BL25*Supuestos!$D$29</f>
        <v>0</v>
      </c>
      <c r="BM28" s="28">
        <f>BM25*Supuestos!$D$29</f>
        <v>0</v>
      </c>
      <c r="BN28" s="28">
        <f>BN25*Supuestos!$D$29</f>
        <v>0</v>
      </c>
    </row>
    <row r="29" ht="15.75" customHeight="1">
      <c r="A29" s="22" t="s">
        <v>204</v>
      </c>
      <c r="B29" s="22" t="s">
        <v>571</v>
      </c>
      <c r="C29" s="28">
        <f>C26*Supuestos!$D$30</f>
        <v>751275000</v>
      </c>
      <c r="D29" s="28">
        <f>D26*Supuestos!$D$30</f>
        <v>752207698.7</v>
      </c>
      <c r="E29" s="28">
        <f>E26*Supuestos!$D$30</f>
        <v>764815249.4</v>
      </c>
      <c r="F29" s="28">
        <f>F26*Supuestos!$D$30</f>
        <v>772777670.3</v>
      </c>
      <c r="G29" s="28">
        <f>G26*Supuestos!$D$30</f>
        <v>778418143.3</v>
      </c>
      <c r="H29" s="28">
        <f>H26*Supuestos!$D$30</f>
        <v>779384539.8</v>
      </c>
      <c r="I29" s="28">
        <f>I26*Supuestos!$D$30</f>
        <v>780352136.2</v>
      </c>
      <c r="J29" s="28">
        <f>J26*Supuestos!$D$30</f>
        <v>781320933.8</v>
      </c>
      <c r="K29" s="28">
        <f>K26*Supuestos!$D$30</f>
        <v>782290934.1</v>
      </c>
      <c r="L29" s="28">
        <f>L26*Supuestos!$D$30</f>
        <v>783262138.7</v>
      </c>
      <c r="M29" s="28">
        <f>M26*Supuestos!$D$30</f>
        <v>784234549</v>
      </c>
      <c r="N29" s="28">
        <f>N26*Supuestos!$D$30</f>
        <v>785208166.6</v>
      </c>
      <c r="O29" s="28">
        <f>O26*Supuestos!$D$30</f>
        <v>786182992.9</v>
      </c>
      <c r="P29" s="28">
        <f>P26*Supuestos!$D$30</f>
        <v>787159029.4</v>
      </c>
      <c r="Q29" s="28">
        <f>Q26*Supuestos!$D$30</f>
        <v>788136277.7</v>
      </c>
      <c r="R29" s="28">
        <f>R26*Supuestos!$D$30</f>
        <v>789114739.2</v>
      </c>
      <c r="S29" s="28">
        <f>S26*Supuestos!$D$30</f>
        <v>790094415.4</v>
      </c>
      <c r="T29" s="28">
        <f>T26*Supuestos!$D$30</f>
        <v>791075307.9</v>
      </c>
      <c r="U29" s="28">
        <f>U26*Supuestos!$D$30</f>
        <v>792057418.2</v>
      </c>
      <c r="V29" s="28">
        <f>V26*Supuestos!$D$30</f>
        <v>793040747.8</v>
      </c>
      <c r="W29" s="28">
        <f>W26*Supuestos!$D$30</f>
        <v>794025298.1</v>
      </c>
      <c r="X29" s="28">
        <f>X26*Supuestos!$D$30</f>
        <v>795011070.8</v>
      </c>
      <c r="Y29" s="28">
        <f>Y26*Supuestos!$D$30</f>
        <v>795998067.3</v>
      </c>
      <c r="Z29" s="28">
        <f>Z26*Supuestos!$D$30</f>
        <v>796986289.1</v>
      </c>
      <c r="AA29" s="28">
        <f>AA26*Supuestos!$D$30</f>
        <v>797975737.8</v>
      </c>
      <c r="AB29" s="28">
        <f>AB26*Supuestos!$D$30</f>
        <v>798966414.8</v>
      </c>
      <c r="AC29" s="28">
        <f>AC26*Supuestos!$D$30</f>
        <v>799958321.8</v>
      </c>
      <c r="AD29" s="28">
        <f>AD26*Supuestos!$D$30</f>
        <v>800951460.3</v>
      </c>
      <c r="AE29" s="28">
        <f>AE26*Supuestos!$D$30</f>
        <v>801945831.7</v>
      </c>
      <c r="AF29" s="28">
        <f>AF26*Supuestos!$D$30</f>
        <v>802941437.6</v>
      </c>
      <c r="AG29" s="28">
        <f>AG26*Supuestos!$D$30</f>
        <v>803938279.5</v>
      </c>
      <c r="AH29" s="28">
        <f>AH26*Supuestos!$D$30</f>
        <v>804936359</v>
      </c>
      <c r="AI29" s="28">
        <f>AI26*Supuestos!$D$30</f>
        <v>805935677.6</v>
      </c>
      <c r="AJ29" s="28">
        <f>AJ26*Supuestos!$D$30</f>
        <v>806936236.8</v>
      </c>
      <c r="AK29" s="28">
        <f>AK26*Supuestos!$D$30</f>
        <v>807938038.3</v>
      </c>
      <c r="AL29" s="28">
        <f>AL26*Supuestos!$D$30</f>
        <v>808941083.4</v>
      </c>
      <c r="AM29" s="28">
        <f>AM26*Supuestos!$D$30</f>
        <v>809945373.8</v>
      </c>
      <c r="AN29" s="28">
        <f>AN26*Supuestos!$D$30</f>
        <v>810950911.1</v>
      </c>
      <c r="AO29" s="28">
        <f>AO26*Supuestos!$D$30</f>
        <v>811957696.7</v>
      </c>
      <c r="AP29" s="28">
        <f>AP26*Supuestos!$D$30</f>
        <v>812965732.2</v>
      </c>
      <c r="AQ29" s="28">
        <f>AQ26*Supuestos!$D$30</f>
        <v>813975019.1</v>
      </c>
      <c r="AR29" s="28">
        <f>AR26*Supuestos!$D$30</f>
        <v>814985559.1</v>
      </c>
      <c r="AS29" s="28">
        <f>AS26*Supuestos!$D$30</f>
        <v>815997353.7</v>
      </c>
      <c r="AT29" s="28">
        <f>AT26*Supuestos!$D$30</f>
        <v>817010404.4</v>
      </c>
      <c r="AU29" s="28">
        <f>AU26*Supuestos!$D$30</f>
        <v>818024712.8</v>
      </c>
      <c r="AV29" s="28">
        <f>AV26*Supuestos!$D$30</f>
        <v>819040280.4</v>
      </c>
      <c r="AW29" s="28">
        <f>AW26*Supuestos!$D$30</f>
        <v>820057108.8</v>
      </c>
      <c r="AX29" s="28">
        <f>AX26*Supuestos!$D$30</f>
        <v>821075199.7</v>
      </c>
      <c r="AY29" s="28">
        <f>AY26*Supuestos!$D$30</f>
        <v>822094554.4</v>
      </c>
      <c r="AZ29" s="28">
        <f>AZ26*Supuestos!$D$30</f>
        <v>823115174.7</v>
      </c>
      <c r="BA29" s="28">
        <f>BA26*Supuestos!$D$30</f>
        <v>824137062.1</v>
      </c>
      <c r="BB29" s="28">
        <f>BB26*Supuestos!$D$30</f>
        <v>825160218.2</v>
      </c>
      <c r="BC29" s="28">
        <f>BC26*Supuestos!$D$30</f>
        <v>826184644.4</v>
      </c>
      <c r="BD29" s="28">
        <f>BD26*Supuestos!$D$30</f>
        <v>827210342.5</v>
      </c>
      <c r="BE29" s="28">
        <f>BE26*Supuestos!$D$30</f>
        <v>828237314</v>
      </c>
      <c r="BF29" s="28">
        <f>BF26*Supuestos!$D$30</f>
        <v>829265560.4</v>
      </c>
      <c r="BG29" s="28">
        <f>BG26*Supuestos!$D$30</f>
        <v>830295083.5</v>
      </c>
      <c r="BH29" s="28">
        <f>BH26*Supuestos!$D$30</f>
        <v>831325884.6</v>
      </c>
      <c r="BI29" s="28">
        <f>BI26*Supuestos!$D$30</f>
        <v>832357965.5</v>
      </c>
      <c r="BJ29" s="28">
        <f>BJ26*Supuestos!$D$30</f>
        <v>833391327.7</v>
      </c>
      <c r="BK29" s="28">
        <f>BK26*Supuestos!$D$30</f>
        <v>0</v>
      </c>
      <c r="BL29" s="28">
        <f>BL26*Supuestos!$D$30</f>
        <v>0</v>
      </c>
      <c r="BM29" s="28">
        <f>BM26*Supuestos!$D$30</f>
        <v>0</v>
      </c>
      <c r="BN29" s="28">
        <f>BN26*Supuestos!$D$30</f>
        <v>0</v>
      </c>
    </row>
    <row r="30" ht="15.75" customHeight="1">
      <c r="A30" s="22" t="s">
        <v>206</v>
      </c>
      <c r="B30" s="22" t="s">
        <v>582</v>
      </c>
      <c r="C30" s="28">
        <f t="shared" ref="C30:BN30" si="5">SUM(C27:C29)</f>
        <v>54970275000</v>
      </c>
      <c r="D30" s="28">
        <f t="shared" si="5"/>
        <v>55038519921</v>
      </c>
      <c r="E30" s="28">
        <f t="shared" si="5"/>
        <v>55961005736</v>
      </c>
      <c r="F30" s="28">
        <f t="shared" si="5"/>
        <v>56543610593</v>
      </c>
      <c r="G30" s="28">
        <f t="shared" si="5"/>
        <v>56956320124</v>
      </c>
      <c r="H30" s="28">
        <f t="shared" si="5"/>
        <v>57027030696</v>
      </c>
      <c r="I30" s="28">
        <f t="shared" si="5"/>
        <v>57097829054</v>
      </c>
      <c r="J30" s="28">
        <f t="shared" si="5"/>
        <v>57168715307</v>
      </c>
      <c r="K30" s="28">
        <f t="shared" si="5"/>
        <v>57239689565</v>
      </c>
      <c r="L30" s="28">
        <f t="shared" si="5"/>
        <v>57310751937</v>
      </c>
      <c r="M30" s="28">
        <f t="shared" si="5"/>
        <v>57381902531</v>
      </c>
      <c r="N30" s="28">
        <f t="shared" si="5"/>
        <v>57453141458</v>
      </c>
      <c r="O30" s="28">
        <f t="shared" si="5"/>
        <v>57524468828</v>
      </c>
      <c r="P30" s="28">
        <f t="shared" si="5"/>
        <v>57595884749</v>
      </c>
      <c r="Q30" s="28">
        <f t="shared" si="5"/>
        <v>57667389333</v>
      </c>
      <c r="R30" s="28">
        <f t="shared" si="5"/>
        <v>57738982688</v>
      </c>
      <c r="S30" s="28">
        <f t="shared" si="5"/>
        <v>57810664926</v>
      </c>
      <c r="T30" s="28">
        <f t="shared" si="5"/>
        <v>57882436156</v>
      </c>
      <c r="U30" s="28">
        <f t="shared" si="5"/>
        <v>57954296490</v>
      </c>
      <c r="V30" s="28">
        <f t="shared" si="5"/>
        <v>58026246037</v>
      </c>
      <c r="W30" s="28">
        <f t="shared" si="5"/>
        <v>58098284909</v>
      </c>
      <c r="X30" s="28">
        <f t="shared" si="5"/>
        <v>58170413216</v>
      </c>
      <c r="Y30" s="28">
        <f t="shared" si="5"/>
        <v>58242631069</v>
      </c>
      <c r="Z30" s="28">
        <f t="shared" si="5"/>
        <v>58314938580</v>
      </c>
      <c r="AA30" s="28">
        <f t="shared" si="5"/>
        <v>58387335860</v>
      </c>
      <c r="AB30" s="28">
        <f t="shared" si="5"/>
        <v>58459823021</v>
      </c>
      <c r="AC30" s="28">
        <f t="shared" si="5"/>
        <v>58532400173</v>
      </c>
      <c r="AD30" s="28">
        <f t="shared" si="5"/>
        <v>58605067429</v>
      </c>
      <c r="AE30" s="28">
        <f t="shared" si="5"/>
        <v>58677824900</v>
      </c>
      <c r="AF30" s="28">
        <f t="shared" si="5"/>
        <v>58750672699</v>
      </c>
      <c r="AG30" s="28">
        <f t="shared" si="5"/>
        <v>58823610937</v>
      </c>
      <c r="AH30" s="28">
        <f t="shared" si="5"/>
        <v>58896639728</v>
      </c>
      <c r="AI30" s="28">
        <f t="shared" si="5"/>
        <v>58969759182</v>
      </c>
      <c r="AJ30" s="28">
        <f t="shared" si="5"/>
        <v>59042969414</v>
      </c>
      <c r="AK30" s="28">
        <f t="shared" si="5"/>
        <v>59116270535</v>
      </c>
      <c r="AL30" s="28">
        <f t="shared" si="5"/>
        <v>59189662659</v>
      </c>
      <c r="AM30" s="28">
        <f t="shared" si="5"/>
        <v>59263145898</v>
      </c>
      <c r="AN30" s="28">
        <f t="shared" si="5"/>
        <v>59336720366</v>
      </c>
      <c r="AO30" s="28">
        <f t="shared" si="5"/>
        <v>59410386175</v>
      </c>
      <c r="AP30" s="28">
        <f t="shared" si="5"/>
        <v>59484143440</v>
      </c>
      <c r="AQ30" s="28">
        <f t="shared" si="5"/>
        <v>59557992273</v>
      </c>
      <c r="AR30" s="28">
        <f t="shared" si="5"/>
        <v>59631932789</v>
      </c>
      <c r="AS30" s="28">
        <f t="shared" si="5"/>
        <v>59705965101</v>
      </c>
      <c r="AT30" s="28">
        <f t="shared" si="5"/>
        <v>59780089324</v>
      </c>
      <c r="AU30" s="28">
        <f t="shared" si="5"/>
        <v>59854305570</v>
      </c>
      <c r="AV30" s="28">
        <f t="shared" si="5"/>
        <v>59928613955</v>
      </c>
      <c r="AW30" s="28">
        <f t="shared" si="5"/>
        <v>60003014593</v>
      </c>
      <c r="AX30" s="28">
        <f t="shared" si="5"/>
        <v>60077507599</v>
      </c>
      <c r="AY30" s="28">
        <f t="shared" si="5"/>
        <v>60152093087</v>
      </c>
      <c r="AZ30" s="28">
        <f t="shared" si="5"/>
        <v>60226771171</v>
      </c>
      <c r="BA30" s="28">
        <f t="shared" si="5"/>
        <v>60301541968</v>
      </c>
      <c r="BB30" s="28">
        <f t="shared" si="5"/>
        <v>60376405592</v>
      </c>
      <c r="BC30" s="28">
        <f t="shared" si="5"/>
        <v>60451362158</v>
      </c>
      <c r="BD30" s="28">
        <f t="shared" si="5"/>
        <v>60526411781</v>
      </c>
      <c r="BE30" s="28">
        <f t="shared" si="5"/>
        <v>60601554578</v>
      </c>
      <c r="BF30" s="28">
        <f t="shared" si="5"/>
        <v>60676790663</v>
      </c>
      <c r="BG30" s="28">
        <f t="shared" si="5"/>
        <v>60752120154</v>
      </c>
      <c r="BH30" s="28">
        <f t="shared" si="5"/>
        <v>60827543165</v>
      </c>
      <c r="BI30" s="28">
        <f t="shared" si="5"/>
        <v>60903059812</v>
      </c>
      <c r="BJ30" s="28">
        <f t="shared" si="5"/>
        <v>60978670213</v>
      </c>
      <c r="BK30" s="28">
        <f t="shared" si="5"/>
        <v>0</v>
      </c>
      <c r="BL30" s="28">
        <f t="shared" si="5"/>
        <v>0</v>
      </c>
      <c r="BM30" s="28">
        <f t="shared" si="5"/>
        <v>0</v>
      </c>
      <c r="BN30" s="28">
        <f t="shared" si="5"/>
        <v>0</v>
      </c>
    </row>
    <row r="31" ht="15.75" customHeight="1">
      <c r="A31" s="22" t="s">
        <v>208</v>
      </c>
      <c r="B31" s="22" t="s">
        <v>573</v>
      </c>
      <c r="C31" s="28">
        <f>C24*Costos_Lote!$H$15*(1+MAX(0,Supuestos!$G$40-Supuestos!$G$38))</f>
        <v>16790376511</v>
      </c>
      <c r="D31" s="28">
        <f>D24*Costos_Lote!$H$15*(1+MAX(0,Supuestos!$G$40-Supuestos!$G$38))</f>
        <v>16811221558</v>
      </c>
      <c r="E31" s="28">
        <f>E24*Costos_Lote!$H$15*(1+MAX(0,Supuestos!$G$40-Supuestos!$G$38))</f>
        <v>17092989916</v>
      </c>
      <c r="F31" s="28">
        <f>F24*Costos_Lote!$H$15*(1+MAX(0,Supuestos!$G$40-Supuestos!$G$38))</f>
        <v>17270943454</v>
      </c>
      <c r="G31" s="28">
        <f>G24*Costos_Lote!$H$15*(1+MAX(0,Supuestos!$G$40-Supuestos!$G$38))</f>
        <v>17397003373</v>
      </c>
      <c r="H31" s="28">
        <f>H24*Costos_Lote!$H$15*(1+MAX(0,Supuestos!$G$40-Supuestos!$G$38))</f>
        <v>17418601539</v>
      </c>
      <c r="I31" s="28">
        <f>I24*Costos_Lote!$H$15*(1+MAX(0,Supuestos!$G$40-Supuestos!$G$38))</f>
        <v>17440226519</v>
      </c>
      <c r="J31" s="28">
        <f>J24*Costos_Lote!$H$15*(1+MAX(0,Supuestos!$G$40-Supuestos!$G$38))</f>
        <v>17461878346</v>
      </c>
      <c r="K31" s="28">
        <f>K24*Costos_Lote!$H$15*(1+MAX(0,Supuestos!$G$40-Supuestos!$G$38))</f>
        <v>17483557053</v>
      </c>
      <c r="L31" s="28">
        <f>L24*Costos_Lote!$H$15*(1+MAX(0,Supuestos!$G$40-Supuestos!$G$38))</f>
        <v>17505262675</v>
      </c>
      <c r="M31" s="28">
        <f>M24*Costos_Lote!$H$15*(1+MAX(0,Supuestos!$G$40-Supuestos!$G$38))</f>
        <v>17526995243</v>
      </c>
      <c r="N31" s="28">
        <f>N24*Costos_Lote!$H$15*(1+MAX(0,Supuestos!$G$40-Supuestos!$G$38))</f>
        <v>17548754792</v>
      </c>
      <c r="O31" s="28">
        <f>O24*Costos_Lote!$H$15*(1+MAX(0,Supuestos!$G$40-Supuestos!$G$38))</f>
        <v>17570541356</v>
      </c>
      <c r="P31" s="28">
        <f>P24*Costos_Lote!$H$15*(1+MAX(0,Supuestos!$G$40-Supuestos!$G$38))</f>
        <v>17592354967</v>
      </c>
      <c r="Q31" s="28">
        <f>Q24*Costos_Lote!$H$15*(1+MAX(0,Supuestos!$G$40-Supuestos!$G$38))</f>
        <v>17614195660</v>
      </c>
      <c r="R31" s="28">
        <f>R24*Costos_Lote!$H$15*(1+MAX(0,Supuestos!$G$40-Supuestos!$G$38))</f>
        <v>17636063467</v>
      </c>
      <c r="S31" s="28">
        <f>S24*Costos_Lote!$H$15*(1+MAX(0,Supuestos!$G$40-Supuestos!$G$38))</f>
        <v>17657958424</v>
      </c>
      <c r="T31" s="28">
        <f>T24*Costos_Lote!$H$15*(1+MAX(0,Supuestos!$G$40-Supuestos!$G$38))</f>
        <v>17679880562</v>
      </c>
      <c r="U31" s="28">
        <f>U24*Costos_Lote!$H$15*(1+MAX(0,Supuestos!$G$40-Supuestos!$G$38))</f>
        <v>17701829917</v>
      </c>
      <c r="V31" s="28">
        <f>V24*Costos_Lote!$H$15*(1+MAX(0,Supuestos!$G$40-Supuestos!$G$38))</f>
        <v>17723806521</v>
      </c>
      <c r="W31" s="28">
        <f>W24*Costos_Lote!$H$15*(1+MAX(0,Supuestos!$G$40-Supuestos!$G$38))</f>
        <v>17745810409</v>
      </c>
      <c r="X31" s="28">
        <f>X24*Costos_Lote!$H$15*(1+MAX(0,Supuestos!$G$40-Supuestos!$G$38))</f>
        <v>17767841615</v>
      </c>
      <c r="Y31" s="28">
        <f>Y24*Costos_Lote!$H$15*(1+MAX(0,Supuestos!$G$40-Supuestos!$G$38))</f>
        <v>17789900172</v>
      </c>
      <c r="Z31" s="28">
        <f>Z24*Costos_Lote!$H$15*(1+MAX(0,Supuestos!$G$40-Supuestos!$G$38))</f>
        <v>17811986114</v>
      </c>
      <c r="AA31" s="28">
        <f>AA24*Costos_Lote!$H$15*(1+MAX(0,Supuestos!$G$40-Supuestos!$G$38))</f>
        <v>17834099476</v>
      </c>
      <c r="AB31" s="28">
        <f>AB24*Costos_Lote!$H$15*(1+MAX(0,Supuestos!$G$40-Supuestos!$G$38))</f>
        <v>17856240292</v>
      </c>
      <c r="AC31" s="28">
        <f>AC24*Costos_Lote!$H$15*(1+MAX(0,Supuestos!$G$40-Supuestos!$G$38))</f>
        <v>17878408595</v>
      </c>
      <c r="AD31" s="28">
        <f>AD24*Costos_Lote!$H$15*(1+MAX(0,Supuestos!$G$40-Supuestos!$G$38))</f>
        <v>17900604419</v>
      </c>
      <c r="AE31" s="28">
        <f>AE24*Costos_Lote!$H$15*(1+MAX(0,Supuestos!$G$40-Supuestos!$G$38))</f>
        <v>17922827800</v>
      </c>
      <c r="AF31" s="28">
        <f>AF24*Costos_Lote!$H$15*(1+MAX(0,Supuestos!$G$40-Supuestos!$G$38))</f>
        <v>17945078770</v>
      </c>
      <c r="AG31" s="28">
        <f>AG24*Costos_Lote!$H$15*(1+MAX(0,Supuestos!$G$40-Supuestos!$G$38))</f>
        <v>17967357365</v>
      </c>
      <c r="AH31" s="28">
        <f>AH24*Costos_Lote!$H$15*(1+MAX(0,Supuestos!$G$40-Supuestos!$G$38))</f>
        <v>17989663619</v>
      </c>
      <c r="AI31" s="28">
        <f>AI24*Costos_Lote!$H$15*(1+MAX(0,Supuestos!$G$40-Supuestos!$G$38))</f>
        <v>18011997565</v>
      </c>
      <c r="AJ31" s="28">
        <f>AJ24*Costos_Lote!$H$15*(1+MAX(0,Supuestos!$G$40-Supuestos!$G$38))</f>
        <v>18034359239</v>
      </c>
      <c r="AK31" s="28">
        <f>AK24*Costos_Lote!$H$15*(1+MAX(0,Supuestos!$G$40-Supuestos!$G$38))</f>
        <v>18056748674</v>
      </c>
      <c r="AL31" s="28">
        <f>AL24*Costos_Lote!$H$15*(1+MAX(0,Supuestos!$G$40-Supuestos!$G$38))</f>
        <v>18079165906</v>
      </c>
      <c r="AM31" s="28">
        <f>AM24*Costos_Lote!$H$15*(1+MAX(0,Supuestos!$G$40-Supuestos!$G$38))</f>
        <v>18101610968</v>
      </c>
      <c r="AN31" s="28">
        <f>AN24*Costos_Lote!$H$15*(1+MAX(0,Supuestos!$G$40-Supuestos!$G$38))</f>
        <v>18124083896</v>
      </c>
      <c r="AO31" s="28">
        <f>AO24*Costos_Lote!$H$15*(1+MAX(0,Supuestos!$G$40-Supuestos!$G$38))</f>
        <v>18146584724</v>
      </c>
      <c r="AP31" s="28">
        <f>AP24*Costos_Lote!$H$15*(1+MAX(0,Supuestos!$G$40-Supuestos!$G$38))</f>
        <v>18169113486</v>
      </c>
      <c r="AQ31" s="28">
        <f>AQ24*Costos_Lote!$H$15*(1+MAX(0,Supuestos!$G$40-Supuestos!$G$38))</f>
        <v>18191670217</v>
      </c>
      <c r="AR31" s="28">
        <f>AR24*Costos_Lote!$H$15*(1+MAX(0,Supuestos!$G$40-Supuestos!$G$38))</f>
        <v>18214254952</v>
      </c>
      <c r="AS31" s="28">
        <f>AS24*Costos_Lote!$H$15*(1+MAX(0,Supuestos!$G$40-Supuestos!$G$38))</f>
        <v>18236867726</v>
      </c>
      <c r="AT31" s="28">
        <f>AT24*Costos_Lote!$H$15*(1+MAX(0,Supuestos!$G$40-Supuestos!$G$38))</f>
        <v>18259508573</v>
      </c>
      <c r="AU31" s="28">
        <f>AU24*Costos_Lote!$H$15*(1+MAX(0,Supuestos!$G$40-Supuestos!$G$38))</f>
        <v>18282177529</v>
      </c>
      <c r="AV31" s="28">
        <f>AV24*Costos_Lote!$H$15*(1+MAX(0,Supuestos!$G$40-Supuestos!$G$38))</f>
        <v>18304874627</v>
      </c>
      <c r="AW31" s="28">
        <f>AW24*Costos_Lote!$H$15*(1+MAX(0,Supuestos!$G$40-Supuestos!$G$38))</f>
        <v>18327599904</v>
      </c>
      <c r="AX31" s="28">
        <f>AX24*Costos_Lote!$H$15*(1+MAX(0,Supuestos!$G$40-Supuestos!$G$38))</f>
        <v>18350353395</v>
      </c>
      <c r="AY31" s="28">
        <f>AY24*Costos_Lote!$H$15*(1+MAX(0,Supuestos!$G$40-Supuestos!$G$38))</f>
        <v>18373135133</v>
      </c>
      <c r="AZ31" s="28">
        <f>AZ24*Costos_Lote!$H$15*(1+MAX(0,Supuestos!$G$40-Supuestos!$G$38))</f>
        <v>18395945155</v>
      </c>
      <c r="BA31" s="28">
        <f>BA24*Costos_Lote!$H$15*(1+MAX(0,Supuestos!$G$40-Supuestos!$G$38))</f>
        <v>18418783494</v>
      </c>
      <c r="BB31" s="28">
        <f>BB24*Costos_Lote!$H$15*(1+MAX(0,Supuestos!$G$40-Supuestos!$G$38))</f>
        <v>18441650188</v>
      </c>
      <c r="BC31" s="28">
        <f>BC24*Costos_Lote!$H$15*(1+MAX(0,Supuestos!$G$40-Supuestos!$G$38))</f>
        <v>18464545270</v>
      </c>
      <c r="BD31" s="28">
        <f>BD24*Costos_Lote!$H$15*(1+MAX(0,Supuestos!$G$40-Supuestos!$G$38))</f>
        <v>18487468776</v>
      </c>
      <c r="BE31" s="28">
        <f>BE24*Costos_Lote!$H$15*(1+MAX(0,Supuestos!$G$40-Supuestos!$G$38))</f>
        <v>18510420742</v>
      </c>
      <c r="BF31" s="28">
        <f>BF24*Costos_Lote!$H$15*(1+MAX(0,Supuestos!$G$40-Supuestos!$G$38))</f>
        <v>18533401202</v>
      </c>
      <c r="BG31" s="28">
        <f>BG24*Costos_Lote!$H$15*(1+MAX(0,Supuestos!$G$40-Supuestos!$G$38))</f>
        <v>18556410192</v>
      </c>
      <c r="BH31" s="28">
        <f>BH24*Costos_Lote!$H$15*(1+MAX(0,Supuestos!$G$40-Supuestos!$G$38))</f>
        <v>18579447747</v>
      </c>
      <c r="BI31" s="28">
        <f>BI24*Costos_Lote!$H$15*(1+MAX(0,Supuestos!$G$40-Supuestos!$G$38))</f>
        <v>18602513903</v>
      </c>
      <c r="BJ31" s="28">
        <f>BJ24*Costos_Lote!$H$15*(1+MAX(0,Supuestos!$G$40-Supuestos!$G$38))</f>
        <v>18625608696</v>
      </c>
      <c r="BK31" s="28">
        <f>BK24*Costos_Lote!$H$15*(1+MAX(0,Supuestos!$G$40-Supuestos!$G$38))</f>
        <v>0</v>
      </c>
      <c r="BL31" s="28">
        <f>BL24*Costos_Lote!$H$15*(1+MAX(0,Supuestos!$G$40-Supuestos!$G$38))</f>
        <v>0</v>
      </c>
      <c r="BM31" s="28">
        <f>BM24*Costos_Lote!$H$15*(1+MAX(0,Supuestos!$G$40-Supuestos!$G$38))</f>
        <v>0</v>
      </c>
      <c r="BN31" s="28">
        <f>BN24*Costos_Lote!$H$15*(1+MAX(0,Supuestos!$G$40-Supuestos!$G$38))</f>
        <v>0</v>
      </c>
    </row>
    <row r="32" ht="15.75" customHeight="1">
      <c r="A32" s="22" t="s">
        <v>210</v>
      </c>
      <c r="B32" s="22" t="s">
        <v>574</v>
      </c>
      <c r="C32" s="28">
        <f>C25*Costos_Lote!$H$30*(1+MAX(0,Supuestos!$G$40-Supuestos!$G$38))</f>
        <v>7431503783</v>
      </c>
      <c r="D32" s="28">
        <f>D25*Costos_Lote!$H$30*(1+MAX(0,Supuestos!$G$40-Supuestos!$G$38))</f>
        <v>7440729903</v>
      </c>
      <c r="E32" s="28">
        <f>E25*Costos_Lote!$H$30*(1+MAX(0,Supuestos!$G$40-Supuestos!$G$38))</f>
        <v>7565441974</v>
      </c>
      <c r="F32" s="28">
        <f>F25*Costos_Lote!$H$30*(1+MAX(0,Supuestos!$G$40-Supuestos!$G$38))</f>
        <v>7644205091</v>
      </c>
      <c r="G32" s="28">
        <f>G25*Costos_Lote!$H$30*(1+MAX(0,Supuestos!$G$40-Supuestos!$G$38))</f>
        <v>7699999835</v>
      </c>
      <c r="H32" s="28">
        <f>H25*Costos_Lote!$H$30*(1+MAX(0,Supuestos!$G$40-Supuestos!$G$38))</f>
        <v>7709559290</v>
      </c>
      <c r="I32" s="28">
        <f>I25*Costos_Lote!$H$30*(1+MAX(0,Supuestos!$G$40-Supuestos!$G$38))</f>
        <v>7719130614</v>
      </c>
      <c r="J32" s="28">
        <f>J25*Costos_Lote!$H$30*(1+MAX(0,Supuestos!$G$40-Supuestos!$G$38))</f>
        <v>7728713819</v>
      </c>
      <c r="K32" s="28">
        <f>K25*Costos_Lote!$H$30*(1+MAX(0,Supuestos!$G$40-Supuestos!$G$38))</f>
        <v>7738308923</v>
      </c>
      <c r="L32" s="28">
        <f>L25*Costos_Lote!$H$30*(1+MAX(0,Supuestos!$G$40-Supuestos!$G$38))</f>
        <v>7747915938</v>
      </c>
      <c r="M32" s="28">
        <f>M25*Costos_Lote!$H$30*(1+MAX(0,Supuestos!$G$40-Supuestos!$G$38))</f>
        <v>7757534881</v>
      </c>
      <c r="N32" s="28">
        <f>N25*Costos_Lote!$H$30*(1+MAX(0,Supuestos!$G$40-Supuestos!$G$38))</f>
        <v>7767165765</v>
      </c>
      <c r="O32" s="28">
        <f>O25*Costos_Lote!$H$30*(1+MAX(0,Supuestos!$G$40-Supuestos!$G$38))</f>
        <v>7776808606</v>
      </c>
      <c r="P32" s="28">
        <f>P25*Costos_Lote!$H$30*(1+MAX(0,Supuestos!$G$40-Supuestos!$G$38))</f>
        <v>7786463418</v>
      </c>
      <c r="Q32" s="28">
        <f>Q25*Costos_Lote!$H$30*(1+MAX(0,Supuestos!$G$40-Supuestos!$G$38))</f>
        <v>7796130217</v>
      </c>
      <c r="R32" s="28">
        <f>R25*Costos_Lote!$H$30*(1+MAX(0,Supuestos!$G$40-Supuestos!$G$38))</f>
        <v>7805809017</v>
      </c>
      <c r="S32" s="28">
        <f>S25*Costos_Lote!$H$30*(1+MAX(0,Supuestos!$G$40-Supuestos!$G$38))</f>
        <v>7815499833</v>
      </c>
      <c r="T32" s="28">
        <f>T25*Costos_Lote!$H$30*(1+MAX(0,Supuestos!$G$40-Supuestos!$G$38))</f>
        <v>7825202680</v>
      </c>
      <c r="U32" s="28">
        <f>U25*Costos_Lote!$H$30*(1+MAX(0,Supuestos!$G$40-Supuestos!$G$38))</f>
        <v>7834917573</v>
      </c>
      <c r="V32" s="28">
        <f>V25*Costos_Lote!$H$30*(1+MAX(0,Supuestos!$G$40-Supuestos!$G$38))</f>
        <v>7844644527</v>
      </c>
      <c r="W32" s="28">
        <f>W25*Costos_Lote!$H$30*(1+MAX(0,Supuestos!$G$40-Supuestos!$G$38))</f>
        <v>7854383557</v>
      </c>
      <c r="X32" s="28">
        <f>X25*Costos_Lote!$H$30*(1+MAX(0,Supuestos!$G$40-Supuestos!$G$38))</f>
        <v>7864134677</v>
      </c>
      <c r="Y32" s="28">
        <f>Y25*Costos_Lote!$H$30*(1+MAX(0,Supuestos!$G$40-Supuestos!$G$38))</f>
        <v>7873897904</v>
      </c>
      <c r="Z32" s="28">
        <f>Z25*Costos_Lote!$H$30*(1+MAX(0,Supuestos!$G$40-Supuestos!$G$38))</f>
        <v>7883673251</v>
      </c>
      <c r="AA32" s="28">
        <f>AA25*Costos_Lote!$H$30*(1+MAX(0,Supuestos!$G$40-Supuestos!$G$38))</f>
        <v>7893460735</v>
      </c>
      <c r="AB32" s="28">
        <f>AB25*Costos_Lote!$H$30*(1+MAX(0,Supuestos!$G$40-Supuestos!$G$38))</f>
        <v>7903260369</v>
      </c>
      <c r="AC32" s="28">
        <f>AC25*Costos_Lote!$H$30*(1+MAX(0,Supuestos!$G$40-Supuestos!$G$38))</f>
        <v>7913072170</v>
      </c>
      <c r="AD32" s="28">
        <f>AD25*Costos_Lote!$H$30*(1+MAX(0,Supuestos!$G$40-Supuestos!$G$38))</f>
        <v>7922896152</v>
      </c>
      <c r="AE32" s="28">
        <f>AE25*Costos_Lote!$H$30*(1+MAX(0,Supuestos!$G$40-Supuestos!$G$38))</f>
        <v>7932732330</v>
      </c>
      <c r="AF32" s="28">
        <f>AF25*Costos_Lote!$H$30*(1+MAX(0,Supuestos!$G$40-Supuestos!$G$38))</f>
        <v>7942580720</v>
      </c>
      <c r="AG32" s="28">
        <f>AG25*Costos_Lote!$H$30*(1+MAX(0,Supuestos!$G$40-Supuestos!$G$38))</f>
        <v>7952441336</v>
      </c>
      <c r="AH32" s="28">
        <f>AH25*Costos_Lote!$H$30*(1+MAX(0,Supuestos!$G$40-Supuestos!$G$38))</f>
        <v>7962314195</v>
      </c>
      <c r="AI32" s="28">
        <f>AI25*Costos_Lote!$H$30*(1+MAX(0,Supuestos!$G$40-Supuestos!$G$38))</f>
        <v>7972199310</v>
      </c>
      <c r="AJ32" s="28">
        <f>AJ25*Costos_Lote!$H$30*(1+MAX(0,Supuestos!$G$40-Supuestos!$G$38))</f>
        <v>7982096697</v>
      </c>
      <c r="AK32" s="28">
        <f>AK25*Costos_Lote!$H$30*(1+MAX(0,Supuestos!$G$40-Supuestos!$G$38))</f>
        <v>7992006372</v>
      </c>
      <c r="AL32" s="28">
        <f>AL25*Costos_Lote!$H$30*(1+MAX(0,Supuestos!$G$40-Supuestos!$G$38))</f>
        <v>8001928350</v>
      </c>
      <c r="AM32" s="28">
        <f>AM25*Costos_Lote!$H$30*(1+MAX(0,Supuestos!$G$40-Supuestos!$G$38))</f>
        <v>8011862646</v>
      </c>
      <c r="AN32" s="28">
        <f>AN25*Costos_Lote!$H$30*(1+MAX(0,Supuestos!$G$40-Supuestos!$G$38))</f>
        <v>8021809275</v>
      </c>
      <c r="AO32" s="28">
        <f>AO25*Costos_Lote!$H$30*(1+MAX(0,Supuestos!$G$40-Supuestos!$G$38))</f>
        <v>8031768253</v>
      </c>
      <c r="AP32" s="28">
        <f>AP25*Costos_Lote!$H$30*(1+MAX(0,Supuestos!$G$40-Supuestos!$G$38))</f>
        <v>8041739594</v>
      </c>
      <c r="AQ32" s="28">
        <f>AQ25*Costos_Lote!$H$30*(1+MAX(0,Supuestos!$G$40-Supuestos!$G$38))</f>
        <v>8051723315</v>
      </c>
      <c r="AR32" s="28">
        <f>AR25*Costos_Lote!$H$30*(1+MAX(0,Supuestos!$G$40-Supuestos!$G$38))</f>
        <v>8061719431</v>
      </c>
      <c r="AS32" s="28">
        <f>AS25*Costos_Lote!$H$30*(1+MAX(0,Supuestos!$G$40-Supuestos!$G$38))</f>
        <v>8071727956</v>
      </c>
      <c r="AT32" s="28">
        <f>AT25*Costos_Lote!$H$30*(1+MAX(0,Supuestos!$G$40-Supuestos!$G$38))</f>
        <v>8081748908</v>
      </c>
      <c r="AU32" s="28">
        <f>AU25*Costos_Lote!$H$30*(1+MAX(0,Supuestos!$G$40-Supuestos!$G$38))</f>
        <v>8091782299</v>
      </c>
      <c r="AV32" s="28">
        <f>AV25*Costos_Lote!$H$30*(1+MAX(0,Supuestos!$G$40-Supuestos!$G$38))</f>
        <v>8101828148</v>
      </c>
      <c r="AW32" s="28">
        <f>AW25*Costos_Lote!$H$30*(1+MAX(0,Supuestos!$G$40-Supuestos!$G$38))</f>
        <v>8111886468</v>
      </c>
      <c r="AX32" s="28">
        <f>AX25*Costos_Lote!$H$30*(1+MAX(0,Supuestos!$G$40-Supuestos!$G$38))</f>
        <v>8121957275</v>
      </c>
      <c r="AY32" s="28">
        <f>AY25*Costos_Lote!$H$30*(1+MAX(0,Supuestos!$G$40-Supuestos!$G$38))</f>
        <v>8132040586</v>
      </c>
      <c r="AZ32" s="28">
        <f>AZ25*Costos_Lote!$H$30*(1+MAX(0,Supuestos!$G$40-Supuestos!$G$38))</f>
        <v>8142136414</v>
      </c>
      <c r="BA32" s="28">
        <f>BA25*Costos_Lote!$H$30*(1+MAX(0,Supuestos!$G$40-Supuestos!$G$38))</f>
        <v>8152244776</v>
      </c>
      <c r="BB32" s="28">
        <f>BB25*Costos_Lote!$H$30*(1+MAX(0,Supuestos!$G$40-Supuestos!$G$38))</f>
        <v>8162365688</v>
      </c>
      <c r="BC32" s="28">
        <f>BC25*Costos_Lote!$H$30*(1+MAX(0,Supuestos!$G$40-Supuestos!$G$38))</f>
        <v>8172499165</v>
      </c>
      <c r="BD32" s="28">
        <f>BD25*Costos_Lote!$H$30*(1+MAX(0,Supuestos!$G$40-Supuestos!$G$38))</f>
        <v>8182645222</v>
      </c>
      <c r="BE32" s="28">
        <f>BE25*Costos_Lote!$H$30*(1+MAX(0,Supuestos!$G$40-Supuestos!$G$38))</f>
        <v>8192803876</v>
      </c>
      <c r="BF32" s="28">
        <f>BF25*Costos_Lote!$H$30*(1+MAX(0,Supuestos!$G$40-Supuestos!$G$38))</f>
        <v>8202975141</v>
      </c>
      <c r="BG32" s="28">
        <f>BG25*Costos_Lote!$H$30*(1+MAX(0,Supuestos!$G$40-Supuestos!$G$38))</f>
        <v>8213159034</v>
      </c>
      <c r="BH32" s="28">
        <f>BH25*Costos_Lote!$H$30*(1+MAX(0,Supuestos!$G$40-Supuestos!$G$38))</f>
        <v>8223355570</v>
      </c>
      <c r="BI32" s="28">
        <f>BI25*Costos_Lote!$H$30*(1+MAX(0,Supuestos!$G$40-Supuestos!$G$38))</f>
        <v>8233564765</v>
      </c>
      <c r="BJ32" s="28">
        <f>BJ25*Costos_Lote!$H$30*(1+MAX(0,Supuestos!$G$40-Supuestos!$G$38))</f>
        <v>8243786634</v>
      </c>
      <c r="BK32" s="28">
        <f>BK25*Costos_Lote!$H$30*(1+MAX(0,Supuestos!$G$40-Supuestos!$G$38))</f>
        <v>0</v>
      </c>
      <c r="BL32" s="28">
        <f>BL25*Costos_Lote!$H$30*(1+MAX(0,Supuestos!$G$40-Supuestos!$G$38))</f>
        <v>0</v>
      </c>
      <c r="BM32" s="28">
        <f>BM25*Costos_Lote!$H$30*(1+MAX(0,Supuestos!$G$40-Supuestos!$G$38))</f>
        <v>0</v>
      </c>
      <c r="BN32" s="28">
        <f>BN25*Costos_Lote!$H$30*(1+MAX(0,Supuestos!$G$40-Supuestos!$G$38))</f>
        <v>0</v>
      </c>
    </row>
    <row r="33" ht="15.75" customHeight="1">
      <c r="A33" s="22" t="s">
        <v>212</v>
      </c>
      <c r="B33" s="22" t="s">
        <v>575</v>
      </c>
      <c r="C33" s="28">
        <f>C26*Costos_Lote!$H$43*(1+MAX(0,Supuestos!$G$40-Supuestos!$G$38))</f>
        <v>496910457</v>
      </c>
      <c r="D33" s="28">
        <f>D26*Costos_Lote!$H$43*(1+MAX(0,Supuestos!$G$40-Supuestos!$G$38))</f>
        <v>497527365.2</v>
      </c>
      <c r="E33" s="28">
        <f>E26*Costos_Lote!$H$43*(1+MAX(0,Supuestos!$G$40-Supuestos!$G$38))</f>
        <v>505866287.5</v>
      </c>
      <c r="F33" s="28">
        <f>F26*Costos_Lote!$H$43*(1+MAX(0,Supuestos!$G$40-Supuestos!$G$38))</f>
        <v>511132814.6</v>
      </c>
      <c r="G33" s="28">
        <f>G26*Costos_Lote!$H$43*(1+MAX(0,Supuestos!$G$40-Supuestos!$G$38))</f>
        <v>514863552.4</v>
      </c>
      <c r="H33" s="28">
        <f>H26*Costos_Lote!$H$43*(1+MAX(0,Supuestos!$G$40-Supuestos!$G$38))</f>
        <v>515502749.2</v>
      </c>
      <c r="I33" s="28">
        <f>I26*Costos_Lote!$H$43*(1+MAX(0,Supuestos!$G$40-Supuestos!$G$38))</f>
        <v>516142739.5</v>
      </c>
      <c r="J33" s="28">
        <f>J26*Costos_Lote!$H$43*(1+MAX(0,Supuestos!$G$40-Supuestos!$G$38))</f>
        <v>516783524.4</v>
      </c>
      <c r="K33" s="28">
        <f>K26*Costos_Lote!$H$43*(1+MAX(0,Supuestos!$G$40-Supuestos!$G$38))</f>
        <v>517425104.8</v>
      </c>
      <c r="L33" s="28">
        <f>L26*Costos_Lote!$H$43*(1+MAX(0,Supuestos!$G$40-Supuestos!$G$38))</f>
        <v>518067481.7</v>
      </c>
      <c r="M33" s="28">
        <f>M26*Costos_Lote!$H$43*(1+MAX(0,Supuestos!$G$40-Supuestos!$G$38))</f>
        <v>518710656.1</v>
      </c>
      <c r="N33" s="28">
        <f>N26*Costos_Lote!$H$43*(1+MAX(0,Supuestos!$G$40-Supuestos!$G$38))</f>
        <v>519354629</v>
      </c>
      <c r="O33" s="28">
        <f>O26*Costos_Lote!$H$43*(1+MAX(0,Supuestos!$G$40-Supuestos!$G$38))</f>
        <v>519999401.4</v>
      </c>
      <c r="P33" s="28">
        <f>P26*Costos_Lote!$H$43*(1+MAX(0,Supuestos!$G$40-Supuestos!$G$38))</f>
        <v>520644974.3</v>
      </c>
      <c r="Q33" s="28">
        <f>Q26*Costos_Lote!$H$43*(1+MAX(0,Supuestos!$G$40-Supuestos!$G$38))</f>
        <v>521291348.6</v>
      </c>
      <c r="R33" s="28">
        <f>R26*Costos_Lote!$H$43*(1+MAX(0,Supuestos!$G$40-Supuestos!$G$38))</f>
        <v>521938525.4</v>
      </c>
      <c r="S33" s="28">
        <f>S26*Costos_Lote!$H$43*(1+MAX(0,Supuestos!$G$40-Supuestos!$G$38))</f>
        <v>522586505.7</v>
      </c>
      <c r="T33" s="28">
        <f>T26*Costos_Lote!$H$43*(1+MAX(0,Supuestos!$G$40-Supuestos!$G$38))</f>
        <v>523235290.4</v>
      </c>
      <c r="U33" s="28">
        <f>U26*Costos_Lote!$H$43*(1+MAX(0,Supuestos!$G$40-Supuestos!$G$38))</f>
        <v>523884880.6</v>
      </c>
      <c r="V33" s="28">
        <f>V26*Costos_Lote!$H$43*(1+MAX(0,Supuestos!$G$40-Supuestos!$G$38))</f>
        <v>524535277.2</v>
      </c>
      <c r="W33" s="28">
        <f>W26*Costos_Lote!$H$43*(1+MAX(0,Supuestos!$G$40-Supuestos!$G$38))</f>
        <v>525186481.3</v>
      </c>
      <c r="X33" s="28">
        <f>X26*Costos_Lote!$H$43*(1+MAX(0,Supuestos!$G$40-Supuestos!$G$38))</f>
        <v>525838493.9</v>
      </c>
      <c r="Y33" s="28">
        <f>Y26*Costos_Lote!$H$43*(1+MAX(0,Supuestos!$G$40-Supuestos!$G$38))</f>
        <v>526491315.9</v>
      </c>
      <c r="Z33" s="28">
        <f>Z26*Costos_Lote!$H$43*(1+MAX(0,Supuestos!$G$40-Supuestos!$G$38))</f>
        <v>527144948.4</v>
      </c>
      <c r="AA33" s="28">
        <f>AA26*Costos_Lote!$H$43*(1+MAX(0,Supuestos!$G$40-Supuestos!$G$38))</f>
        <v>527799392.4</v>
      </c>
      <c r="AB33" s="28">
        <f>AB26*Costos_Lote!$H$43*(1+MAX(0,Supuestos!$G$40-Supuestos!$G$38))</f>
        <v>528454648.9</v>
      </c>
      <c r="AC33" s="28">
        <f>AC26*Costos_Lote!$H$43*(1+MAX(0,Supuestos!$G$40-Supuestos!$G$38))</f>
        <v>529110718.8</v>
      </c>
      <c r="AD33" s="28">
        <f>AD26*Costos_Lote!$H$43*(1+MAX(0,Supuestos!$G$40-Supuestos!$G$38))</f>
        <v>529767603.3</v>
      </c>
      <c r="AE33" s="28">
        <f>AE26*Costos_Lote!$H$43*(1+MAX(0,Supuestos!$G$40-Supuestos!$G$38))</f>
        <v>530425303.3</v>
      </c>
      <c r="AF33" s="28">
        <f>AF26*Costos_Lote!$H$43*(1+MAX(0,Supuestos!$G$40-Supuestos!$G$38))</f>
        <v>531083819.8</v>
      </c>
      <c r="AG33" s="28">
        <f>AG26*Costos_Lote!$H$43*(1+MAX(0,Supuestos!$G$40-Supuestos!$G$38))</f>
        <v>531743153.8</v>
      </c>
      <c r="AH33" s="28">
        <f>AH26*Costos_Lote!$H$43*(1+MAX(0,Supuestos!$G$40-Supuestos!$G$38))</f>
        <v>532403306.4</v>
      </c>
      <c r="AI33" s="28">
        <f>AI26*Costos_Lote!$H$43*(1+MAX(0,Supuestos!$G$40-Supuestos!$G$38))</f>
        <v>533064278.5</v>
      </c>
      <c r="AJ33" s="28">
        <f>AJ26*Costos_Lote!$H$43*(1+MAX(0,Supuestos!$G$40-Supuestos!$G$38))</f>
        <v>533726071.3</v>
      </c>
      <c r="AK33" s="28">
        <f>AK26*Costos_Lote!$H$43*(1+MAX(0,Supuestos!$G$40-Supuestos!$G$38))</f>
        <v>534388685.7</v>
      </c>
      <c r="AL33" s="28">
        <f>AL26*Costos_Lote!$H$43*(1+MAX(0,Supuestos!$G$40-Supuestos!$G$38))</f>
        <v>535052122.7</v>
      </c>
      <c r="AM33" s="28">
        <f>AM26*Costos_Lote!$H$43*(1+MAX(0,Supuestos!$G$40-Supuestos!$G$38))</f>
        <v>535716383.3</v>
      </c>
      <c r="AN33" s="28">
        <f>AN26*Costos_Lote!$H$43*(1+MAX(0,Supuestos!$G$40-Supuestos!$G$38))</f>
        <v>536381468.6</v>
      </c>
      <c r="AO33" s="28">
        <f>AO26*Costos_Lote!$H$43*(1+MAX(0,Supuestos!$G$40-Supuestos!$G$38))</f>
        <v>537047379.6</v>
      </c>
      <c r="AP33" s="28">
        <f>AP26*Costos_Lote!$H$43*(1+MAX(0,Supuestos!$G$40-Supuestos!$G$38))</f>
        <v>537714117.3</v>
      </c>
      <c r="AQ33" s="28">
        <f>AQ26*Costos_Lote!$H$43*(1+MAX(0,Supuestos!$G$40-Supuestos!$G$38))</f>
        <v>538381682.8</v>
      </c>
      <c r="AR33" s="28">
        <f>AR26*Costos_Lote!$H$43*(1+MAX(0,Supuestos!$G$40-Supuestos!$G$38))</f>
        <v>539050077</v>
      </c>
      <c r="AS33" s="28">
        <f>AS26*Costos_Lote!$H$43*(1+MAX(0,Supuestos!$G$40-Supuestos!$G$38))</f>
        <v>539719301.1</v>
      </c>
      <c r="AT33" s="28">
        <f>AT26*Costos_Lote!$H$43*(1+MAX(0,Supuestos!$G$40-Supuestos!$G$38))</f>
        <v>540389356</v>
      </c>
      <c r="AU33" s="28">
        <f>AU26*Costos_Lote!$H$43*(1+MAX(0,Supuestos!$G$40-Supuestos!$G$38))</f>
        <v>541060242.7</v>
      </c>
      <c r="AV33" s="28">
        <f>AV26*Costos_Lote!$H$43*(1+MAX(0,Supuestos!$G$40-Supuestos!$G$38))</f>
        <v>541731962.4</v>
      </c>
      <c r="AW33" s="28">
        <f>AW26*Costos_Lote!$H$43*(1+MAX(0,Supuestos!$G$40-Supuestos!$G$38))</f>
        <v>542404515.9</v>
      </c>
      <c r="AX33" s="28">
        <f>AX26*Costos_Lote!$H$43*(1+MAX(0,Supuestos!$G$40-Supuestos!$G$38))</f>
        <v>543077904.5</v>
      </c>
      <c r="AY33" s="28">
        <f>AY26*Costos_Lote!$H$43*(1+MAX(0,Supuestos!$G$40-Supuestos!$G$38))</f>
        <v>543752129</v>
      </c>
      <c r="AZ33" s="28">
        <f>AZ26*Costos_Lote!$H$43*(1+MAX(0,Supuestos!$G$40-Supuestos!$G$38))</f>
        <v>544427190.6</v>
      </c>
      <c r="BA33" s="28">
        <f>BA26*Costos_Lote!$H$43*(1+MAX(0,Supuestos!$G$40-Supuestos!$G$38))</f>
        <v>545103090.3</v>
      </c>
      <c r="BB33" s="28">
        <f>BB26*Costos_Lote!$H$43*(1+MAX(0,Supuestos!$G$40-Supuestos!$G$38))</f>
        <v>545779829.1</v>
      </c>
      <c r="BC33" s="28">
        <f>BC26*Costos_Lote!$H$43*(1+MAX(0,Supuestos!$G$40-Supuestos!$G$38))</f>
        <v>546457408</v>
      </c>
      <c r="BD33" s="28">
        <f>BD26*Costos_Lote!$H$43*(1+MAX(0,Supuestos!$G$40-Supuestos!$G$38))</f>
        <v>547135828.2</v>
      </c>
      <c r="BE33" s="28">
        <f>BE26*Costos_Lote!$H$43*(1+MAX(0,Supuestos!$G$40-Supuestos!$G$38))</f>
        <v>547815090.6</v>
      </c>
      <c r="BF33" s="28">
        <f>BF26*Costos_Lote!$H$43*(1+MAX(0,Supuestos!$G$40-Supuestos!$G$38))</f>
        <v>548495196.3</v>
      </c>
      <c r="BG33" s="28">
        <f>BG26*Costos_Lote!$H$43*(1+MAX(0,Supuestos!$G$40-Supuestos!$G$38))</f>
        <v>549176146.4</v>
      </c>
      <c r="BH33" s="28">
        <f>BH26*Costos_Lote!$H$43*(1+MAX(0,Supuestos!$G$40-Supuestos!$G$38))</f>
        <v>549857941.8</v>
      </c>
      <c r="BI33" s="28">
        <f>BI26*Costos_Lote!$H$43*(1+MAX(0,Supuestos!$G$40-Supuestos!$G$38))</f>
        <v>550540583.7</v>
      </c>
      <c r="BJ33" s="28">
        <f>BJ26*Costos_Lote!$H$43*(1+MAX(0,Supuestos!$G$40-Supuestos!$G$38))</f>
        <v>551224073.1</v>
      </c>
      <c r="BK33" s="28">
        <f>BK26*Costos_Lote!$H$43*(1+MAX(0,Supuestos!$G$40-Supuestos!$G$38))</f>
        <v>0</v>
      </c>
      <c r="BL33" s="28">
        <f>BL26*Costos_Lote!$H$43*(1+MAX(0,Supuestos!$G$40-Supuestos!$G$38))</f>
        <v>0</v>
      </c>
      <c r="BM33" s="28">
        <f>BM26*Costos_Lote!$H$43*(1+MAX(0,Supuestos!$G$40-Supuestos!$G$38))</f>
        <v>0</v>
      </c>
      <c r="BN33" s="28">
        <f>BN26*Costos_Lote!$H$43*(1+MAX(0,Supuestos!$G$40-Supuestos!$G$38))</f>
        <v>0</v>
      </c>
    </row>
    <row r="34" ht="15.75" customHeight="1">
      <c r="A34" s="22" t="s">
        <v>214</v>
      </c>
      <c r="B34" s="22" t="s">
        <v>583</v>
      </c>
      <c r="C34" s="28">
        <f t="shared" ref="C34:BN34" si="6">SUM(C31:C33)</f>
        <v>24718790751</v>
      </c>
      <c r="D34" s="28">
        <f t="shared" si="6"/>
        <v>24749478826</v>
      </c>
      <c r="E34" s="28">
        <f t="shared" si="6"/>
        <v>25164298177</v>
      </c>
      <c r="F34" s="28">
        <f t="shared" si="6"/>
        <v>25426281359</v>
      </c>
      <c r="G34" s="28">
        <f t="shared" si="6"/>
        <v>25611866761</v>
      </c>
      <c r="H34" s="28">
        <f t="shared" si="6"/>
        <v>25643663578</v>
      </c>
      <c r="I34" s="28">
        <f t="shared" si="6"/>
        <v>25675499872</v>
      </c>
      <c r="J34" s="28">
        <f t="shared" si="6"/>
        <v>25707375690</v>
      </c>
      <c r="K34" s="28">
        <f t="shared" si="6"/>
        <v>25739291081</v>
      </c>
      <c r="L34" s="28">
        <f t="shared" si="6"/>
        <v>25771246094</v>
      </c>
      <c r="M34" s="28">
        <f t="shared" si="6"/>
        <v>25803240780</v>
      </c>
      <c r="N34" s="28">
        <f t="shared" si="6"/>
        <v>25835275186</v>
      </c>
      <c r="O34" s="28">
        <f t="shared" si="6"/>
        <v>25867349363</v>
      </c>
      <c r="P34" s="28">
        <f t="shared" si="6"/>
        <v>25899463360</v>
      </c>
      <c r="Q34" s="28">
        <f t="shared" si="6"/>
        <v>25931617225</v>
      </c>
      <c r="R34" s="28">
        <f t="shared" si="6"/>
        <v>25963811009</v>
      </c>
      <c r="S34" s="28">
        <f t="shared" si="6"/>
        <v>25996044762</v>
      </c>
      <c r="T34" s="28">
        <f t="shared" si="6"/>
        <v>26028318532</v>
      </c>
      <c r="U34" s="28">
        <f t="shared" si="6"/>
        <v>26060632370</v>
      </c>
      <c r="V34" s="28">
        <f t="shared" si="6"/>
        <v>26092986325</v>
      </c>
      <c r="W34" s="28">
        <f t="shared" si="6"/>
        <v>26125380447</v>
      </c>
      <c r="X34" s="28">
        <f t="shared" si="6"/>
        <v>26157814786</v>
      </c>
      <c r="Y34" s="28">
        <f t="shared" si="6"/>
        <v>26190289392</v>
      </c>
      <c r="Z34" s="28">
        <f t="shared" si="6"/>
        <v>26222804314</v>
      </c>
      <c r="AA34" s="28">
        <f t="shared" si="6"/>
        <v>26255359604</v>
      </c>
      <c r="AB34" s="28">
        <f t="shared" si="6"/>
        <v>26287955310</v>
      </c>
      <c r="AC34" s="28">
        <f t="shared" si="6"/>
        <v>26320591484</v>
      </c>
      <c r="AD34" s="28">
        <f t="shared" si="6"/>
        <v>26353268175</v>
      </c>
      <c r="AE34" s="28">
        <f t="shared" si="6"/>
        <v>26385985433</v>
      </c>
      <c r="AF34" s="28">
        <f t="shared" si="6"/>
        <v>26418743310</v>
      </c>
      <c r="AG34" s="28">
        <f t="shared" si="6"/>
        <v>26451541855</v>
      </c>
      <c r="AH34" s="28">
        <f t="shared" si="6"/>
        <v>26484381120</v>
      </c>
      <c r="AI34" s="28">
        <f t="shared" si="6"/>
        <v>26517261154</v>
      </c>
      <c r="AJ34" s="28">
        <f t="shared" si="6"/>
        <v>26550182008</v>
      </c>
      <c r="AK34" s="28">
        <f t="shared" si="6"/>
        <v>26583143732</v>
      </c>
      <c r="AL34" s="28">
        <f t="shared" si="6"/>
        <v>26616146379</v>
      </c>
      <c r="AM34" s="28">
        <f t="shared" si="6"/>
        <v>26649189998</v>
      </c>
      <c r="AN34" s="28">
        <f t="shared" si="6"/>
        <v>26682274640</v>
      </c>
      <c r="AO34" s="28">
        <f t="shared" si="6"/>
        <v>26715400356</v>
      </c>
      <c r="AP34" s="28">
        <f t="shared" si="6"/>
        <v>26748567197</v>
      </c>
      <c r="AQ34" s="28">
        <f t="shared" si="6"/>
        <v>26781775215</v>
      </c>
      <c r="AR34" s="28">
        <f t="shared" si="6"/>
        <v>26815024460</v>
      </c>
      <c r="AS34" s="28">
        <f t="shared" si="6"/>
        <v>26848314983</v>
      </c>
      <c r="AT34" s="28">
        <f t="shared" si="6"/>
        <v>26881646837</v>
      </c>
      <c r="AU34" s="28">
        <f t="shared" si="6"/>
        <v>26915020071</v>
      </c>
      <c r="AV34" s="28">
        <f t="shared" si="6"/>
        <v>26948434738</v>
      </c>
      <c r="AW34" s="28">
        <f t="shared" si="6"/>
        <v>26981890888</v>
      </c>
      <c r="AX34" s="28">
        <f t="shared" si="6"/>
        <v>27015388574</v>
      </c>
      <c r="AY34" s="28">
        <f t="shared" si="6"/>
        <v>27048927848</v>
      </c>
      <c r="AZ34" s="28">
        <f t="shared" si="6"/>
        <v>27082508759</v>
      </c>
      <c r="BA34" s="28">
        <f t="shared" si="6"/>
        <v>27116131361</v>
      </c>
      <c r="BB34" s="28">
        <f t="shared" si="6"/>
        <v>27149795705</v>
      </c>
      <c r="BC34" s="28">
        <f t="shared" si="6"/>
        <v>27183501843</v>
      </c>
      <c r="BD34" s="28">
        <f t="shared" si="6"/>
        <v>27217249827</v>
      </c>
      <c r="BE34" s="28">
        <f t="shared" si="6"/>
        <v>27251039708</v>
      </c>
      <c r="BF34" s="28">
        <f t="shared" si="6"/>
        <v>27284871539</v>
      </c>
      <c r="BG34" s="28">
        <f t="shared" si="6"/>
        <v>27318745372</v>
      </c>
      <c r="BH34" s="28">
        <f t="shared" si="6"/>
        <v>27352661259</v>
      </c>
      <c r="BI34" s="28">
        <f t="shared" si="6"/>
        <v>27386619252</v>
      </c>
      <c r="BJ34" s="28">
        <f t="shared" si="6"/>
        <v>27420619403</v>
      </c>
      <c r="BK34" s="28">
        <f t="shared" si="6"/>
        <v>0</v>
      </c>
      <c r="BL34" s="28">
        <f t="shared" si="6"/>
        <v>0</v>
      </c>
      <c r="BM34" s="28">
        <f t="shared" si="6"/>
        <v>0</v>
      </c>
      <c r="BN34" s="28">
        <f t="shared" si="6"/>
        <v>0</v>
      </c>
    </row>
    <row r="35" ht="15.75" customHeight="1">
      <c r="A35" s="22" t="s">
        <v>216</v>
      </c>
      <c r="B35" s="22" t="s">
        <v>584</v>
      </c>
      <c r="C35" s="28">
        <f t="shared" ref="C35:BN35" si="7">C30-C34</f>
        <v>30251484249</v>
      </c>
      <c r="D35" s="28">
        <f t="shared" si="7"/>
        <v>30289041095</v>
      </c>
      <c r="E35" s="28">
        <f t="shared" si="7"/>
        <v>30796707558</v>
      </c>
      <c r="F35" s="28">
        <f t="shared" si="7"/>
        <v>31117329234</v>
      </c>
      <c r="G35" s="28">
        <f t="shared" si="7"/>
        <v>31344453364</v>
      </c>
      <c r="H35" s="28">
        <f t="shared" si="7"/>
        <v>31383367117</v>
      </c>
      <c r="I35" s="28">
        <f t="shared" si="7"/>
        <v>31422329182</v>
      </c>
      <c r="J35" s="28">
        <f t="shared" si="7"/>
        <v>31461339618</v>
      </c>
      <c r="K35" s="28">
        <f t="shared" si="7"/>
        <v>31500398485</v>
      </c>
      <c r="L35" s="28">
        <f t="shared" si="7"/>
        <v>31539505842</v>
      </c>
      <c r="M35" s="28">
        <f t="shared" si="7"/>
        <v>31578661752</v>
      </c>
      <c r="N35" s="28">
        <f t="shared" si="7"/>
        <v>31617866272</v>
      </c>
      <c r="O35" s="28">
        <f t="shared" si="7"/>
        <v>31657119465</v>
      </c>
      <c r="P35" s="28">
        <f t="shared" si="7"/>
        <v>31696421390</v>
      </c>
      <c r="Q35" s="28">
        <f t="shared" si="7"/>
        <v>31735772108</v>
      </c>
      <c r="R35" s="28">
        <f t="shared" si="7"/>
        <v>31775171679</v>
      </c>
      <c r="S35" s="28">
        <f t="shared" si="7"/>
        <v>31814620164</v>
      </c>
      <c r="T35" s="28">
        <f t="shared" si="7"/>
        <v>31854117624</v>
      </c>
      <c r="U35" s="28">
        <f t="shared" si="7"/>
        <v>31893664120</v>
      </c>
      <c r="V35" s="28">
        <f t="shared" si="7"/>
        <v>31933259712</v>
      </c>
      <c r="W35" s="28">
        <f t="shared" si="7"/>
        <v>31972904462</v>
      </c>
      <c r="X35" s="28">
        <f t="shared" si="7"/>
        <v>32012598430</v>
      </c>
      <c r="Y35" s="28">
        <f t="shared" si="7"/>
        <v>32052341678</v>
      </c>
      <c r="Z35" s="28">
        <f t="shared" si="7"/>
        <v>32092134266</v>
      </c>
      <c r="AA35" s="28">
        <f t="shared" si="7"/>
        <v>32131976257</v>
      </c>
      <c r="AB35" s="28">
        <f t="shared" si="7"/>
        <v>32171867711</v>
      </c>
      <c r="AC35" s="28">
        <f t="shared" si="7"/>
        <v>32211808689</v>
      </c>
      <c r="AD35" s="28">
        <f t="shared" si="7"/>
        <v>32251799254</v>
      </c>
      <c r="AE35" s="28">
        <f t="shared" si="7"/>
        <v>32291839467</v>
      </c>
      <c r="AF35" s="28">
        <f t="shared" si="7"/>
        <v>32331929389</v>
      </c>
      <c r="AG35" s="28">
        <f t="shared" si="7"/>
        <v>32372069082</v>
      </c>
      <c r="AH35" s="28">
        <f t="shared" si="7"/>
        <v>32412258608</v>
      </c>
      <c r="AI35" s="28">
        <f t="shared" si="7"/>
        <v>32452498029</v>
      </c>
      <c r="AJ35" s="28">
        <f t="shared" si="7"/>
        <v>32492787407</v>
      </c>
      <c r="AK35" s="28">
        <f t="shared" si="7"/>
        <v>32533126803</v>
      </c>
      <c r="AL35" s="28">
        <f t="shared" si="7"/>
        <v>32573516280</v>
      </c>
      <c r="AM35" s="28">
        <f t="shared" si="7"/>
        <v>32613955901</v>
      </c>
      <c r="AN35" s="28">
        <f t="shared" si="7"/>
        <v>32654445726</v>
      </c>
      <c r="AO35" s="28">
        <f t="shared" si="7"/>
        <v>32694985819</v>
      </c>
      <c r="AP35" s="28">
        <f t="shared" si="7"/>
        <v>32735576243</v>
      </c>
      <c r="AQ35" s="28">
        <f t="shared" si="7"/>
        <v>32776217059</v>
      </c>
      <c r="AR35" s="28">
        <f t="shared" si="7"/>
        <v>32816908329</v>
      </c>
      <c r="AS35" s="28">
        <f t="shared" si="7"/>
        <v>32857650118</v>
      </c>
      <c r="AT35" s="28">
        <f t="shared" si="7"/>
        <v>32898442487</v>
      </c>
      <c r="AU35" s="28">
        <f t="shared" si="7"/>
        <v>32939285499</v>
      </c>
      <c r="AV35" s="28">
        <f t="shared" si="7"/>
        <v>32980179218</v>
      </c>
      <c r="AW35" s="28">
        <f t="shared" si="7"/>
        <v>33021123705</v>
      </c>
      <c r="AX35" s="28">
        <f t="shared" si="7"/>
        <v>33062119024</v>
      </c>
      <c r="AY35" s="28">
        <f t="shared" si="7"/>
        <v>33103165239</v>
      </c>
      <c r="AZ35" s="28">
        <f t="shared" si="7"/>
        <v>33144262412</v>
      </c>
      <c r="BA35" s="28">
        <f t="shared" si="7"/>
        <v>33185410607</v>
      </c>
      <c r="BB35" s="28">
        <f t="shared" si="7"/>
        <v>33226609886</v>
      </c>
      <c r="BC35" s="28">
        <f t="shared" si="7"/>
        <v>33267860314</v>
      </c>
      <c r="BD35" s="28">
        <f t="shared" si="7"/>
        <v>33309161954</v>
      </c>
      <c r="BE35" s="28">
        <f t="shared" si="7"/>
        <v>33350514870</v>
      </c>
      <c r="BF35" s="28">
        <f t="shared" si="7"/>
        <v>33391919124</v>
      </c>
      <c r="BG35" s="28">
        <f t="shared" si="7"/>
        <v>33433374782</v>
      </c>
      <c r="BH35" s="28">
        <f t="shared" si="7"/>
        <v>33474881906</v>
      </c>
      <c r="BI35" s="28">
        <f t="shared" si="7"/>
        <v>33516440561</v>
      </c>
      <c r="BJ35" s="28">
        <f t="shared" si="7"/>
        <v>33558050810</v>
      </c>
      <c r="BK35" s="28">
        <f t="shared" si="7"/>
        <v>0</v>
      </c>
      <c r="BL35" s="28">
        <f t="shared" si="7"/>
        <v>0</v>
      </c>
      <c r="BM35" s="28">
        <f t="shared" si="7"/>
        <v>0</v>
      </c>
      <c r="BN35" s="28">
        <f t="shared" si="7"/>
        <v>0</v>
      </c>
    </row>
    <row r="36" ht="15.75" customHeight="1">
      <c r="A36" s="22" t="s">
        <v>218</v>
      </c>
      <c r="B36" s="22" t="s">
        <v>585</v>
      </c>
      <c r="C36" s="28">
        <f>Personal!$G$10</f>
        <v>85915382</v>
      </c>
      <c r="D36" s="28">
        <f>Personal!$G$10</f>
        <v>85915382</v>
      </c>
      <c r="E36" s="28">
        <f>Personal!$G$10</f>
        <v>85915382</v>
      </c>
      <c r="F36" s="28">
        <f>Personal!$G$10</f>
        <v>85915382</v>
      </c>
      <c r="G36" s="28">
        <f>Personal!$G$10</f>
        <v>85915382</v>
      </c>
      <c r="H36" s="28">
        <f>Personal!$G$10</f>
        <v>85915382</v>
      </c>
      <c r="I36" s="28">
        <f>Personal!$G$10</f>
        <v>85915382</v>
      </c>
      <c r="J36" s="28">
        <f>Personal!$G$10</f>
        <v>85915382</v>
      </c>
      <c r="K36" s="28">
        <f>Personal!$G$10</f>
        <v>85915382</v>
      </c>
      <c r="L36" s="28">
        <f>Personal!$G$10</f>
        <v>85915382</v>
      </c>
      <c r="M36" s="28">
        <f>Personal!$G$10</f>
        <v>85915382</v>
      </c>
      <c r="N36" s="28">
        <f>Personal!$G$10</f>
        <v>85915382</v>
      </c>
      <c r="O36" s="28">
        <f>Personal!$G$10</f>
        <v>85915382</v>
      </c>
      <c r="P36" s="28">
        <f>Personal!$G$10</f>
        <v>85915382</v>
      </c>
      <c r="Q36" s="28">
        <f>Personal!$G$10</f>
        <v>85915382</v>
      </c>
      <c r="R36" s="28">
        <f>Personal!$G$10</f>
        <v>85915382</v>
      </c>
      <c r="S36" s="28">
        <f>Personal!$G$10</f>
        <v>85915382</v>
      </c>
      <c r="T36" s="28">
        <f>Personal!$G$10</f>
        <v>85915382</v>
      </c>
      <c r="U36" s="28">
        <f>Personal!$G$10</f>
        <v>85915382</v>
      </c>
      <c r="V36" s="28">
        <f>Personal!$G$10</f>
        <v>85915382</v>
      </c>
      <c r="W36" s="28">
        <f>Personal!$G$10</f>
        <v>85915382</v>
      </c>
      <c r="X36" s="28">
        <f>Personal!$G$10</f>
        <v>85915382</v>
      </c>
      <c r="Y36" s="28">
        <f>Personal!$G$10</f>
        <v>85915382</v>
      </c>
      <c r="Z36" s="28">
        <f>Personal!$G$10</f>
        <v>85915382</v>
      </c>
      <c r="AA36" s="28">
        <f>Personal!$G$10</f>
        <v>85915382</v>
      </c>
      <c r="AB36" s="28">
        <f>Personal!$G$10</f>
        <v>85915382</v>
      </c>
      <c r="AC36" s="28">
        <f>Personal!$G$10</f>
        <v>85915382</v>
      </c>
      <c r="AD36" s="28">
        <f>Personal!$G$10</f>
        <v>85915382</v>
      </c>
      <c r="AE36" s="28">
        <f>Personal!$G$10</f>
        <v>85915382</v>
      </c>
      <c r="AF36" s="28">
        <f>Personal!$G$10</f>
        <v>85915382</v>
      </c>
      <c r="AG36" s="28">
        <f>Personal!$G$10</f>
        <v>85915382</v>
      </c>
      <c r="AH36" s="28">
        <f>Personal!$G$10</f>
        <v>85915382</v>
      </c>
      <c r="AI36" s="28">
        <f>Personal!$G$10</f>
        <v>85915382</v>
      </c>
      <c r="AJ36" s="28">
        <f>Personal!$G$10</f>
        <v>85915382</v>
      </c>
      <c r="AK36" s="28">
        <f>Personal!$G$10</f>
        <v>85915382</v>
      </c>
      <c r="AL36" s="28">
        <f>Personal!$G$10</f>
        <v>85915382</v>
      </c>
      <c r="AM36" s="28">
        <f>Personal!$G$10</f>
        <v>85915382</v>
      </c>
      <c r="AN36" s="28">
        <f>Personal!$G$10</f>
        <v>85915382</v>
      </c>
      <c r="AO36" s="28">
        <f>Personal!$G$10</f>
        <v>85915382</v>
      </c>
      <c r="AP36" s="28">
        <f>Personal!$G$10</f>
        <v>85915382</v>
      </c>
      <c r="AQ36" s="28">
        <f>Personal!$G$10</f>
        <v>85915382</v>
      </c>
      <c r="AR36" s="28">
        <f>Personal!$G$10</f>
        <v>85915382</v>
      </c>
      <c r="AS36" s="28">
        <f>Personal!$G$10</f>
        <v>85915382</v>
      </c>
      <c r="AT36" s="28">
        <f>Personal!$G$10</f>
        <v>85915382</v>
      </c>
      <c r="AU36" s="28">
        <f>Personal!$G$10</f>
        <v>85915382</v>
      </c>
      <c r="AV36" s="28">
        <f>Personal!$G$10</f>
        <v>85915382</v>
      </c>
      <c r="AW36" s="28">
        <f>Personal!$G$10</f>
        <v>85915382</v>
      </c>
      <c r="AX36" s="28">
        <f>Personal!$G$10</f>
        <v>85915382</v>
      </c>
      <c r="AY36" s="28">
        <f>Personal!$G$10</f>
        <v>85915382</v>
      </c>
      <c r="AZ36" s="28">
        <f>Personal!$G$10</f>
        <v>85915382</v>
      </c>
      <c r="BA36" s="28">
        <f>Personal!$G$10</f>
        <v>85915382</v>
      </c>
      <c r="BB36" s="28">
        <f>Personal!$G$10</f>
        <v>85915382</v>
      </c>
      <c r="BC36" s="28">
        <f>Personal!$G$10</f>
        <v>85915382</v>
      </c>
      <c r="BD36" s="28">
        <f>Personal!$G$10</f>
        <v>85915382</v>
      </c>
      <c r="BE36" s="28">
        <f>Personal!$G$10</f>
        <v>85915382</v>
      </c>
      <c r="BF36" s="28">
        <f>Personal!$G$10</f>
        <v>85915382</v>
      </c>
      <c r="BG36" s="28">
        <f>Personal!$G$10</f>
        <v>85915382</v>
      </c>
      <c r="BH36" s="28">
        <f>Personal!$G$10</f>
        <v>85915382</v>
      </c>
      <c r="BI36" s="28">
        <f>Personal!$G$10</f>
        <v>85915382</v>
      </c>
      <c r="BJ36" s="28">
        <f>Personal!$G$10</f>
        <v>85915382</v>
      </c>
      <c r="BK36" s="28">
        <f>Personal!$G$10</f>
        <v>85915382</v>
      </c>
      <c r="BL36" s="28">
        <f>Personal!$G$10</f>
        <v>85915382</v>
      </c>
      <c r="BM36" s="28">
        <f>Personal!$G$10</f>
        <v>85915382</v>
      </c>
      <c r="BN36" s="28">
        <f>Personal!$G$10</f>
        <v>85915382</v>
      </c>
    </row>
    <row r="37" ht="15.75" customHeight="1">
      <c r="A37" s="22" t="s">
        <v>586</v>
      </c>
      <c r="B37" s="22" t="s">
        <v>587</v>
      </c>
      <c r="C37" s="28">
        <f>Supuestos!$G$35</f>
        <v>280000000</v>
      </c>
      <c r="D37" s="28">
        <f>Supuestos!$G$35</f>
        <v>280000000</v>
      </c>
      <c r="E37" s="28">
        <f>Supuestos!$G$35</f>
        <v>280000000</v>
      </c>
      <c r="F37" s="28">
        <f>Supuestos!$G$35</f>
        <v>280000000</v>
      </c>
      <c r="G37" s="28">
        <f>Supuestos!$G$35</f>
        <v>280000000</v>
      </c>
      <c r="H37" s="28">
        <f>Supuestos!$G$35</f>
        <v>280000000</v>
      </c>
      <c r="I37" s="28">
        <f>Supuestos!$G$35</f>
        <v>280000000</v>
      </c>
      <c r="J37" s="28">
        <f>Supuestos!$G$35</f>
        <v>280000000</v>
      </c>
      <c r="K37" s="28">
        <f>Supuestos!$G$35</f>
        <v>280000000</v>
      </c>
      <c r="L37" s="28">
        <f>Supuestos!$G$35</f>
        <v>280000000</v>
      </c>
      <c r="M37" s="28">
        <f>Supuestos!$G$35</f>
        <v>280000000</v>
      </c>
      <c r="N37" s="28">
        <f>Supuestos!$G$35</f>
        <v>280000000</v>
      </c>
      <c r="O37" s="28">
        <f>Supuestos!$G$35</f>
        <v>280000000</v>
      </c>
      <c r="P37" s="28">
        <f>Supuestos!$G$35</f>
        <v>280000000</v>
      </c>
      <c r="Q37" s="28">
        <f>Supuestos!$G$35</f>
        <v>280000000</v>
      </c>
      <c r="R37" s="28">
        <f>Supuestos!$G$35</f>
        <v>280000000</v>
      </c>
      <c r="S37" s="28">
        <f>Supuestos!$G$35</f>
        <v>280000000</v>
      </c>
      <c r="T37" s="28">
        <f>Supuestos!$G$35</f>
        <v>280000000</v>
      </c>
      <c r="U37" s="28">
        <f>Supuestos!$G$35</f>
        <v>280000000</v>
      </c>
      <c r="V37" s="28">
        <f>Supuestos!$G$35</f>
        <v>280000000</v>
      </c>
      <c r="W37" s="28">
        <f>Supuestos!$G$35</f>
        <v>280000000</v>
      </c>
      <c r="X37" s="28">
        <f>Supuestos!$G$35</f>
        <v>280000000</v>
      </c>
      <c r="Y37" s="28">
        <f>Supuestos!$G$35</f>
        <v>280000000</v>
      </c>
      <c r="Z37" s="28">
        <f>Supuestos!$G$35</f>
        <v>280000000</v>
      </c>
      <c r="AA37" s="28">
        <f>Supuestos!$G$35</f>
        <v>280000000</v>
      </c>
      <c r="AB37" s="28">
        <f>Supuestos!$G$35</f>
        <v>280000000</v>
      </c>
      <c r="AC37" s="28">
        <f>Supuestos!$G$35</f>
        <v>280000000</v>
      </c>
      <c r="AD37" s="28">
        <f>Supuestos!$G$35</f>
        <v>280000000</v>
      </c>
      <c r="AE37" s="28">
        <f>Supuestos!$G$35</f>
        <v>280000000</v>
      </c>
      <c r="AF37" s="28">
        <f>Supuestos!$G$35</f>
        <v>280000000</v>
      </c>
      <c r="AG37" s="28">
        <f>Supuestos!$G$35</f>
        <v>280000000</v>
      </c>
      <c r="AH37" s="28">
        <f>Supuestos!$G$35</f>
        <v>280000000</v>
      </c>
      <c r="AI37" s="28">
        <f>Supuestos!$G$35</f>
        <v>280000000</v>
      </c>
      <c r="AJ37" s="28">
        <f>Supuestos!$G$35</f>
        <v>280000000</v>
      </c>
      <c r="AK37" s="28">
        <f>Supuestos!$G$35</f>
        <v>280000000</v>
      </c>
      <c r="AL37" s="28">
        <f>Supuestos!$G$35</f>
        <v>280000000</v>
      </c>
      <c r="AM37" s="28">
        <f>Supuestos!$G$35</f>
        <v>280000000</v>
      </c>
      <c r="AN37" s="28">
        <f>Supuestos!$G$35</f>
        <v>280000000</v>
      </c>
      <c r="AO37" s="28">
        <f>Supuestos!$G$35</f>
        <v>280000000</v>
      </c>
      <c r="AP37" s="28">
        <f>Supuestos!$G$35</f>
        <v>280000000</v>
      </c>
      <c r="AQ37" s="28">
        <f>Supuestos!$G$35</f>
        <v>280000000</v>
      </c>
      <c r="AR37" s="28">
        <f>Supuestos!$G$35</f>
        <v>280000000</v>
      </c>
      <c r="AS37" s="28">
        <f>Supuestos!$G$35</f>
        <v>280000000</v>
      </c>
      <c r="AT37" s="28">
        <f>Supuestos!$G$35</f>
        <v>280000000</v>
      </c>
      <c r="AU37" s="28">
        <f>Supuestos!$G$35</f>
        <v>280000000</v>
      </c>
      <c r="AV37" s="28">
        <f>Supuestos!$G$35</f>
        <v>280000000</v>
      </c>
      <c r="AW37" s="28">
        <f>Supuestos!$G$35</f>
        <v>280000000</v>
      </c>
      <c r="AX37" s="28">
        <f>Supuestos!$G$35</f>
        <v>280000000</v>
      </c>
      <c r="AY37" s="28">
        <f>Supuestos!$G$35</f>
        <v>280000000</v>
      </c>
      <c r="AZ37" s="28">
        <f>Supuestos!$G$35</f>
        <v>280000000</v>
      </c>
      <c r="BA37" s="28">
        <f>Supuestos!$G$35</f>
        <v>280000000</v>
      </c>
      <c r="BB37" s="28">
        <f>Supuestos!$G$35</f>
        <v>280000000</v>
      </c>
      <c r="BC37" s="28">
        <f>Supuestos!$G$35</f>
        <v>280000000</v>
      </c>
      <c r="BD37" s="28">
        <f>Supuestos!$G$35</f>
        <v>280000000</v>
      </c>
      <c r="BE37" s="28">
        <f>Supuestos!$G$35</f>
        <v>280000000</v>
      </c>
      <c r="BF37" s="28">
        <f>Supuestos!$G$35</f>
        <v>280000000</v>
      </c>
      <c r="BG37" s="28">
        <f>Supuestos!$G$35</f>
        <v>280000000</v>
      </c>
      <c r="BH37" s="28">
        <f>Supuestos!$G$35</f>
        <v>280000000</v>
      </c>
      <c r="BI37" s="28">
        <f>Supuestos!$G$35</f>
        <v>280000000</v>
      </c>
      <c r="BJ37" s="28">
        <f>Supuestos!$G$35</f>
        <v>280000000</v>
      </c>
      <c r="BK37" s="28">
        <f>Supuestos!$G$35</f>
        <v>280000000</v>
      </c>
      <c r="BL37" s="28">
        <f>Supuestos!$G$35</f>
        <v>280000000</v>
      </c>
      <c r="BM37" s="28">
        <f>Supuestos!$G$35</f>
        <v>280000000</v>
      </c>
      <c r="BN37" s="28">
        <f>Supuestos!$G$35</f>
        <v>280000000</v>
      </c>
    </row>
    <row r="38" ht="15.75" customHeight="1">
      <c r="A38" s="22" t="s">
        <v>588</v>
      </c>
      <c r="B38" s="22" t="s">
        <v>589</v>
      </c>
      <c r="C38" s="28">
        <f>Licencias!$I$14</f>
        <v>14180736.67</v>
      </c>
      <c r="D38" s="28">
        <f>Licencias!$I$14</f>
        <v>14180736.67</v>
      </c>
      <c r="E38" s="28">
        <f>Licencias!$I$14</f>
        <v>14180736.67</v>
      </c>
      <c r="F38" s="28">
        <f>Licencias!$I$14</f>
        <v>14180736.67</v>
      </c>
      <c r="G38" s="28">
        <f>Licencias!$I$14</f>
        <v>14180736.67</v>
      </c>
      <c r="H38" s="28">
        <f>Licencias!$I$14</f>
        <v>14180736.67</v>
      </c>
      <c r="I38" s="28">
        <f>Licencias!$I$14</f>
        <v>14180736.67</v>
      </c>
      <c r="J38" s="28">
        <f>Licencias!$I$14</f>
        <v>14180736.67</v>
      </c>
      <c r="K38" s="28">
        <f>Licencias!$I$14</f>
        <v>14180736.67</v>
      </c>
      <c r="L38" s="28">
        <f>Licencias!$I$14</f>
        <v>14180736.67</v>
      </c>
      <c r="M38" s="28">
        <f>Licencias!$I$14</f>
        <v>14180736.67</v>
      </c>
      <c r="N38" s="28">
        <f>Licencias!$I$14</f>
        <v>14180736.67</v>
      </c>
      <c r="O38" s="28">
        <f>Licencias!$I$14</f>
        <v>14180736.67</v>
      </c>
      <c r="P38" s="28">
        <f>Licencias!$I$14</f>
        <v>14180736.67</v>
      </c>
      <c r="Q38" s="28">
        <f>Licencias!$I$14</f>
        <v>14180736.67</v>
      </c>
      <c r="R38" s="28">
        <f>Licencias!$I$14</f>
        <v>14180736.67</v>
      </c>
      <c r="S38" s="28">
        <f>Licencias!$I$14</f>
        <v>14180736.67</v>
      </c>
      <c r="T38" s="28">
        <f>Licencias!$I$14</f>
        <v>14180736.67</v>
      </c>
      <c r="U38" s="28">
        <f>Licencias!$I$14</f>
        <v>14180736.67</v>
      </c>
      <c r="V38" s="28">
        <f>Licencias!$I$14</f>
        <v>14180736.67</v>
      </c>
      <c r="W38" s="28">
        <f>Licencias!$I$14</f>
        <v>14180736.67</v>
      </c>
      <c r="X38" s="28">
        <f>Licencias!$I$14</f>
        <v>14180736.67</v>
      </c>
      <c r="Y38" s="28">
        <f>Licencias!$I$14</f>
        <v>14180736.67</v>
      </c>
      <c r="Z38" s="28">
        <f>Licencias!$I$14</f>
        <v>14180736.67</v>
      </c>
      <c r="AA38" s="28">
        <f>Licencias!$I$14</f>
        <v>14180736.67</v>
      </c>
      <c r="AB38" s="28">
        <f>Licencias!$I$14</f>
        <v>14180736.67</v>
      </c>
      <c r="AC38" s="28">
        <f>Licencias!$I$14</f>
        <v>14180736.67</v>
      </c>
      <c r="AD38" s="28">
        <f>Licencias!$I$14</f>
        <v>14180736.67</v>
      </c>
      <c r="AE38" s="28">
        <f>Licencias!$I$14</f>
        <v>14180736.67</v>
      </c>
      <c r="AF38" s="28">
        <f>Licencias!$I$14</f>
        <v>14180736.67</v>
      </c>
      <c r="AG38" s="28">
        <f>Licencias!$I$14</f>
        <v>14180736.67</v>
      </c>
      <c r="AH38" s="28">
        <f>Licencias!$I$14</f>
        <v>14180736.67</v>
      </c>
      <c r="AI38" s="28">
        <f>Licencias!$I$14</f>
        <v>14180736.67</v>
      </c>
      <c r="AJ38" s="28">
        <f>Licencias!$I$14</f>
        <v>14180736.67</v>
      </c>
      <c r="AK38" s="28">
        <f>Licencias!$I$14</f>
        <v>14180736.67</v>
      </c>
      <c r="AL38" s="28">
        <f>Licencias!$I$14</f>
        <v>14180736.67</v>
      </c>
      <c r="AM38" s="28">
        <f>Licencias!$I$14</f>
        <v>14180736.67</v>
      </c>
      <c r="AN38" s="28">
        <f>Licencias!$I$14</f>
        <v>14180736.67</v>
      </c>
      <c r="AO38" s="28">
        <f>Licencias!$I$14</f>
        <v>14180736.67</v>
      </c>
      <c r="AP38" s="28">
        <f>Licencias!$I$14</f>
        <v>14180736.67</v>
      </c>
      <c r="AQ38" s="28">
        <f>Licencias!$I$14</f>
        <v>14180736.67</v>
      </c>
      <c r="AR38" s="28">
        <f>Licencias!$I$14</f>
        <v>14180736.67</v>
      </c>
      <c r="AS38" s="28">
        <f>Licencias!$I$14</f>
        <v>14180736.67</v>
      </c>
      <c r="AT38" s="28">
        <f>Licencias!$I$14</f>
        <v>14180736.67</v>
      </c>
      <c r="AU38" s="28">
        <f>Licencias!$I$14</f>
        <v>14180736.67</v>
      </c>
      <c r="AV38" s="28">
        <f>Licencias!$I$14</f>
        <v>14180736.67</v>
      </c>
      <c r="AW38" s="28">
        <f>Licencias!$I$14</f>
        <v>14180736.67</v>
      </c>
      <c r="AX38" s="28">
        <f>Licencias!$I$14</f>
        <v>14180736.67</v>
      </c>
      <c r="AY38" s="28">
        <f>Licencias!$I$14</f>
        <v>14180736.67</v>
      </c>
      <c r="AZ38" s="28">
        <f>Licencias!$I$14</f>
        <v>14180736.67</v>
      </c>
      <c r="BA38" s="28">
        <f>Licencias!$I$14</f>
        <v>14180736.67</v>
      </c>
      <c r="BB38" s="28">
        <f>Licencias!$I$14</f>
        <v>14180736.67</v>
      </c>
      <c r="BC38" s="28">
        <f>Licencias!$I$14</f>
        <v>14180736.67</v>
      </c>
      <c r="BD38" s="28">
        <f>Licencias!$I$14</f>
        <v>14180736.67</v>
      </c>
      <c r="BE38" s="28">
        <f>Licencias!$I$14</f>
        <v>14180736.67</v>
      </c>
      <c r="BF38" s="28">
        <f>Licencias!$I$14</f>
        <v>14180736.67</v>
      </c>
      <c r="BG38" s="28">
        <f>Licencias!$I$14</f>
        <v>14180736.67</v>
      </c>
      <c r="BH38" s="28">
        <f>Licencias!$I$14</f>
        <v>14180736.67</v>
      </c>
      <c r="BI38" s="28">
        <f>Licencias!$I$14</f>
        <v>14180736.67</v>
      </c>
      <c r="BJ38" s="28">
        <f>Licencias!$I$14</f>
        <v>14180736.67</v>
      </c>
      <c r="BK38" s="28">
        <f>Licencias!$I$14</f>
        <v>14180736.67</v>
      </c>
      <c r="BL38" s="28">
        <f>Licencias!$I$14</f>
        <v>14180736.67</v>
      </c>
      <c r="BM38" s="28">
        <f>Licencias!$I$14</f>
        <v>14180736.67</v>
      </c>
      <c r="BN38" s="28">
        <f>Licencias!$I$14</f>
        <v>14180736.67</v>
      </c>
    </row>
    <row r="39" ht="15.75" customHeight="1">
      <c r="A39" s="22" t="s">
        <v>590</v>
      </c>
      <c r="B39" s="22" t="s">
        <v>591</v>
      </c>
      <c r="C39" s="28">
        <f>CAPEX_Benchmark!$J$31*Supuestos!$G$33/12</f>
        <v>27581621.7</v>
      </c>
      <c r="D39" s="28">
        <f>CAPEX_Benchmark!$J$31*Supuestos!$G$33/12</f>
        <v>27581621.7</v>
      </c>
      <c r="E39" s="28">
        <f>CAPEX_Benchmark!$J$31*Supuestos!$G$33/12</f>
        <v>27581621.7</v>
      </c>
      <c r="F39" s="28">
        <f>CAPEX_Benchmark!$J$31*Supuestos!$G$33/12</f>
        <v>27581621.7</v>
      </c>
      <c r="G39" s="28">
        <f>CAPEX_Benchmark!$J$31*Supuestos!$G$33/12</f>
        <v>27581621.7</v>
      </c>
      <c r="H39" s="28">
        <f>CAPEX_Benchmark!$J$31*Supuestos!$G$33/12</f>
        <v>27581621.7</v>
      </c>
      <c r="I39" s="28">
        <f>CAPEX_Benchmark!$J$31*Supuestos!$G$33/12</f>
        <v>27581621.7</v>
      </c>
      <c r="J39" s="28">
        <f>CAPEX_Benchmark!$J$31*Supuestos!$G$33/12</f>
        <v>27581621.7</v>
      </c>
      <c r="K39" s="28">
        <f>CAPEX_Benchmark!$J$31*Supuestos!$G$33/12</f>
        <v>27581621.7</v>
      </c>
      <c r="L39" s="28">
        <f>CAPEX_Benchmark!$J$31*Supuestos!$G$33/12</f>
        <v>27581621.7</v>
      </c>
      <c r="M39" s="28">
        <f>CAPEX_Benchmark!$J$31*Supuestos!$G$33/12</f>
        <v>27581621.7</v>
      </c>
      <c r="N39" s="28">
        <f>CAPEX_Benchmark!$J$31*Supuestos!$G$33/12</f>
        <v>27581621.7</v>
      </c>
      <c r="O39" s="28">
        <f>CAPEX_Benchmark!$J$31*Supuestos!$G$33/12</f>
        <v>27581621.7</v>
      </c>
      <c r="P39" s="28">
        <f>CAPEX_Benchmark!$J$31*Supuestos!$G$33/12</f>
        <v>27581621.7</v>
      </c>
      <c r="Q39" s="28">
        <f>CAPEX_Benchmark!$J$31*Supuestos!$G$33/12</f>
        <v>27581621.7</v>
      </c>
      <c r="R39" s="28">
        <f>CAPEX_Benchmark!$J$31*Supuestos!$G$33/12</f>
        <v>27581621.7</v>
      </c>
      <c r="S39" s="28">
        <f>CAPEX_Benchmark!$J$31*Supuestos!$G$33/12</f>
        <v>27581621.7</v>
      </c>
      <c r="T39" s="28">
        <f>CAPEX_Benchmark!$J$31*Supuestos!$G$33/12</f>
        <v>27581621.7</v>
      </c>
      <c r="U39" s="28">
        <f>CAPEX_Benchmark!$J$31*Supuestos!$G$33/12</f>
        <v>27581621.7</v>
      </c>
      <c r="V39" s="28">
        <f>CAPEX_Benchmark!$J$31*Supuestos!$G$33/12</f>
        <v>27581621.7</v>
      </c>
      <c r="W39" s="28">
        <f>CAPEX_Benchmark!$J$31*Supuestos!$G$33/12</f>
        <v>27581621.7</v>
      </c>
      <c r="X39" s="28">
        <f>CAPEX_Benchmark!$J$31*Supuestos!$G$33/12</f>
        <v>27581621.7</v>
      </c>
      <c r="Y39" s="28">
        <f>CAPEX_Benchmark!$J$31*Supuestos!$G$33/12</f>
        <v>27581621.7</v>
      </c>
      <c r="Z39" s="28">
        <f>CAPEX_Benchmark!$J$31*Supuestos!$G$33/12</f>
        <v>27581621.7</v>
      </c>
      <c r="AA39" s="28">
        <f>CAPEX_Benchmark!$J$31*Supuestos!$G$33/12</f>
        <v>27581621.7</v>
      </c>
      <c r="AB39" s="28">
        <f>CAPEX_Benchmark!$J$31*Supuestos!$G$33/12</f>
        <v>27581621.7</v>
      </c>
      <c r="AC39" s="28">
        <f>CAPEX_Benchmark!$J$31*Supuestos!$G$33/12</f>
        <v>27581621.7</v>
      </c>
      <c r="AD39" s="28">
        <f>CAPEX_Benchmark!$J$31*Supuestos!$G$33/12</f>
        <v>27581621.7</v>
      </c>
      <c r="AE39" s="28">
        <f>CAPEX_Benchmark!$J$31*Supuestos!$G$33/12</f>
        <v>27581621.7</v>
      </c>
      <c r="AF39" s="28">
        <f>CAPEX_Benchmark!$J$31*Supuestos!$G$33/12</f>
        <v>27581621.7</v>
      </c>
      <c r="AG39" s="28">
        <f>CAPEX_Benchmark!$J$31*Supuestos!$G$33/12</f>
        <v>27581621.7</v>
      </c>
      <c r="AH39" s="28">
        <f>CAPEX_Benchmark!$J$31*Supuestos!$G$33/12</f>
        <v>27581621.7</v>
      </c>
      <c r="AI39" s="28">
        <f>CAPEX_Benchmark!$J$31*Supuestos!$G$33/12</f>
        <v>27581621.7</v>
      </c>
      <c r="AJ39" s="28">
        <f>CAPEX_Benchmark!$J$31*Supuestos!$G$33/12</f>
        <v>27581621.7</v>
      </c>
      <c r="AK39" s="28">
        <f>CAPEX_Benchmark!$J$31*Supuestos!$G$33/12</f>
        <v>27581621.7</v>
      </c>
      <c r="AL39" s="28">
        <f>CAPEX_Benchmark!$J$31*Supuestos!$G$33/12</f>
        <v>27581621.7</v>
      </c>
      <c r="AM39" s="28">
        <f>CAPEX_Benchmark!$J$31*Supuestos!$G$33/12</f>
        <v>27581621.7</v>
      </c>
      <c r="AN39" s="28">
        <f>CAPEX_Benchmark!$J$31*Supuestos!$G$33/12</f>
        <v>27581621.7</v>
      </c>
      <c r="AO39" s="28">
        <f>CAPEX_Benchmark!$J$31*Supuestos!$G$33/12</f>
        <v>27581621.7</v>
      </c>
      <c r="AP39" s="28">
        <f>CAPEX_Benchmark!$J$31*Supuestos!$G$33/12</f>
        <v>27581621.7</v>
      </c>
      <c r="AQ39" s="28">
        <f>CAPEX_Benchmark!$J$31*Supuestos!$G$33/12</f>
        <v>27581621.7</v>
      </c>
      <c r="AR39" s="28">
        <f>CAPEX_Benchmark!$J$31*Supuestos!$G$33/12</f>
        <v>27581621.7</v>
      </c>
      <c r="AS39" s="28">
        <f>CAPEX_Benchmark!$J$31*Supuestos!$G$33/12</f>
        <v>27581621.7</v>
      </c>
      <c r="AT39" s="28">
        <f>CAPEX_Benchmark!$J$31*Supuestos!$G$33/12</f>
        <v>27581621.7</v>
      </c>
      <c r="AU39" s="28">
        <f>CAPEX_Benchmark!$J$31*Supuestos!$G$33/12</f>
        <v>27581621.7</v>
      </c>
      <c r="AV39" s="28">
        <f>CAPEX_Benchmark!$J$31*Supuestos!$G$33/12</f>
        <v>27581621.7</v>
      </c>
      <c r="AW39" s="28">
        <f>CAPEX_Benchmark!$J$31*Supuestos!$G$33/12</f>
        <v>27581621.7</v>
      </c>
      <c r="AX39" s="28">
        <f>CAPEX_Benchmark!$J$31*Supuestos!$G$33/12</f>
        <v>27581621.7</v>
      </c>
      <c r="AY39" s="28">
        <f>CAPEX_Benchmark!$J$31*Supuestos!$G$33/12</f>
        <v>27581621.7</v>
      </c>
      <c r="AZ39" s="28">
        <f>CAPEX_Benchmark!$J$31*Supuestos!$G$33/12</f>
        <v>27581621.7</v>
      </c>
      <c r="BA39" s="28">
        <f>CAPEX_Benchmark!$J$31*Supuestos!$G$33/12</f>
        <v>27581621.7</v>
      </c>
      <c r="BB39" s="28">
        <f>CAPEX_Benchmark!$J$31*Supuestos!$G$33/12</f>
        <v>27581621.7</v>
      </c>
      <c r="BC39" s="28">
        <f>CAPEX_Benchmark!$J$31*Supuestos!$G$33/12</f>
        <v>27581621.7</v>
      </c>
      <c r="BD39" s="28">
        <f>CAPEX_Benchmark!$J$31*Supuestos!$G$33/12</f>
        <v>27581621.7</v>
      </c>
      <c r="BE39" s="28">
        <f>CAPEX_Benchmark!$J$31*Supuestos!$G$33/12</f>
        <v>27581621.7</v>
      </c>
      <c r="BF39" s="28">
        <f>CAPEX_Benchmark!$J$31*Supuestos!$G$33/12</f>
        <v>27581621.7</v>
      </c>
      <c r="BG39" s="28">
        <f>CAPEX_Benchmark!$J$31*Supuestos!$G$33/12</f>
        <v>27581621.7</v>
      </c>
      <c r="BH39" s="28">
        <f>CAPEX_Benchmark!$J$31*Supuestos!$G$33/12</f>
        <v>27581621.7</v>
      </c>
      <c r="BI39" s="28">
        <f>CAPEX_Benchmark!$J$31*Supuestos!$G$33/12</f>
        <v>27581621.7</v>
      </c>
      <c r="BJ39" s="28">
        <f>CAPEX_Benchmark!$J$31*Supuestos!$G$33/12</f>
        <v>27581621.7</v>
      </c>
      <c r="BK39" s="28">
        <f>CAPEX_Benchmark!$J$31*Supuestos!$G$33/12</f>
        <v>27581621.7</v>
      </c>
      <c r="BL39" s="28">
        <f>CAPEX_Benchmark!$J$31*Supuestos!$G$33/12</f>
        <v>27581621.7</v>
      </c>
      <c r="BM39" s="28">
        <f>CAPEX_Benchmark!$J$31*Supuestos!$G$33/12</f>
        <v>27581621.7</v>
      </c>
      <c r="BN39" s="28">
        <f>CAPEX_Benchmark!$J$31*Supuestos!$G$33/12</f>
        <v>27581621.7</v>
      </c>
    </row>
    <row r="40" ht="15.75" customHeight="1">
      <c r="A40" s="22" t="s">
        <v>592</v>
      </c>
      <c r="B40" s="22" t="s">
        <v>593</v>
      </c>
      <c r="C40" s="28">
        <f t="shared" ref="C40:BN40" si="8">C35-C36-C37-C38-C39</f>
        <v>29843806509</v>
      </c>
      <c r="D40" s="28">
        <f t="shared" si="8"/>
        <v>29881363355</v>
      </c>
      <c r="E40" s="28">
        <f t="shared" si="8"/>
        <v>30389029818</v>
      </c>
      <c r="F40" s="28">
        <f t="shared" si="8"/>
        <v>30709651493</v>
      </c>
      <c r="G40" s="28">
        <f t="shared" si="8"/>
        <v>30936775623</v>
      </c>
      <c r="H40" s="28">
        <f t="shared" si="8"/>
        <v>30975689377</v>
      </c>
      <c r="I40" s="28">
        <f t="shared" si="8"/>
        <v>31014651442</v>
      </c>
      <c r="J40" s="28">
        <f t="shared" si="8"/>
        <v>31053661878</v>
      </c>
      <c r="K40" s="28">
        <f t="shared" si="8"/>
        <v>31092720744</v>
      </c>
      <c r="L40" s="28">
        <f t="shared" si="8"/>
        <v>31131828102</v>
      </c>
      <c r="M40" s="28">
        <f t="shared" si="8"/>
        <v>31170984011</v>
      </c>
      <c r="N40" s="28">
        <f t="shared" si="8"/>
        <v>31210188532</v>
      </c>
      <c r="O40" s="28">
        <f t="shared" si="8"/>
        <v>31249441724</v>
      </c>
      <c r="P40" s="28">
        <f t="shared" si="8"/>
        <v>31288743649</v>
      </c>
      <c r="Q40" s="28">
        <f t="shared" si="8"/>
        <v>31328094367</v>
      </c>
      <c r="R40" s="28">
        <f t="shared" si="8"/>
        <v>31367493938</v>
      </c>
      <c r="S40" s="28">
        <f t="shared" si="8"/>
        <v>31406942424</v>
      </c>
      <c r="T40" s="28">
        <f t="shared" si="8"/>
        <v>31446439884</v>
      </c>
      <c r="U40" s="28">
        <f t="shared" si="8"/>
        <v>31485986380</v>
      </c>
      <c r="V40" s="28">
        <f t="shared" si="8"/>
        <v>31525581972</v>
      </c>
      <c r="W40" s="28">
        <f t="shared" si="8"/>
        <v>31565226722</v>
      </c>
      <c r="X40" s="28">
        <f t="shared" si="8"/>
        <v>31604920690</v>
      </c>
      <c r="Y40" s="28">
        <f t="shared" si="8"/>
        <v>31644663937</v>
      </c>
      <c r="Z40" s="28">
        <f t="shared" si="8"/>
        <v>31684456526</v>
      </c>
      <c r="AA40" s="28">
        <f t="shared" si="8"/>
        <v>31724298516</v>
      </c>
      <c r="AB40" s="28">
        <f t="shared" si="8"/>
        <v>31764189970</v>
      </c>
      <c r="AC40" s="28">
        <f t="shared" si="8"/>
        <v>31804130949</v>
      </c>
      <c r="AD40" s="28">
        <f t="shared" si="8"/>
        <v>31844121514</v>
      </c>
      <c r="AE40" s="28">
        <f t="shared" si="8"/>
        <v>31884161726</v>
      </c>
      <c r="AF40" s="28">
        <f t="shared" si="8"/>
        <v>31924251648</v>
      </c>
      <c r="AG40" s="28">
        <f t="shared" si="8"/>
        <v>31964391341</v>
      </c>
      <c r="AH40" s="28">
        <f t="shared" si="8"/>
        <v>32004580868</v>
      </c>
      <c r="AI40" s="28">
        <f t="shared" si="8"/>
        <v>32044820288</v>
      </c>
      <c r="AJ40" s="28">
        <f t="shared" si="8"/>
        <v>32085109666</v>
      </c>
      <c r="AK40" s="28">
        <f t="shared" si="8"/>
        <v>32125449063</v>
      </c>
      <c r="AL40" s="28">
        <f t="shared" si="8"/>
        <v>32165838540</v>
      </c>
      <c r="AM40" s="28">
        <f t="shared" si="8"/>
        <v>32206278160</v>
      </c>
      <c r="AN40" s="28">
        <f t="shared" si="8"/>
        <v>32246767986</v>
      </c>
      <c r="AO40" s="28">
        <f t="shared" si="8"/>
        <v>32287308079</v>
      </c>
      <c r="AP40" s="28">
        <f t="shared" si="8"/>
        <v>32327898502</v>
      </c>
      <c r="AQ40" s="28">
        <f t="shared" si="8"/>
        <v>32368539318</v>
      </c>
      <c r="AR40" s="28">
        <f t="shared" si="8"/>
        <v>32409230589</v>
      </c>
      <c r="AS40" s="28">
        <f t="shared" si="8"/>
        <v>32449972378</v>
      </c>
      <c r="AT40" s="28">
        <f t="shared" si="8"/>
        <v>32490764747</v>
      </c>
      <c r="AU40" s="28">
        <f t="shared" si="8"/>
        <v>32531607759</v>
      </c>
      <c r="AV40" s="28">
        <f t="shared" si="8"/>
        <v>32572501477</v>
      </c>
      <c r="AW40" s="28">
        <f t="shared" si="8"/>
        <v>32613445965</v>
      </c>
      <c r="AX40" s="28">
        <f t="shared" si="8"/>
        <v>32654441284</v>
      </c>
      <c r="AY40" s="28">
        <f t="shared" si="8"/>
        <v>32695487499</v>
      </c>
      <c r="AZ40" s="28">
        <f t="shared" si="8"/>
        <v>32736584672</v>
      </c>
      <c r="BA40" s="28">
        <f t="shared" si="8"/>
        <v>32777732866</v>
      </c>
      <c r="BB40" s="28">
        <f t="shared" si="8"/>
        <v>32818932146</v>
      </c>
      <c r="BC40" s="28">
        <f t="shared" si="8"/>
        <v>32860182574</v>
      </c>
      <c r="BD40" s="28">
        <f t="shared" si="8"/>
        <v>32901484214</v>
      </c>
      <c r="BE40" s="28">
        <f t="shared" si="8"/>
        <v>32942837129</v>
      </c>
      <c r="BF40" s="28">
        <f t="shared" si="8"/>
        <v>32984241384</v>
      </c>
      <c r="BG40" s="28">
        <f t="shared" si="8"/>
        <v>33025697041</v>
      </c>
      <c r="BH40" s="28">
        <f t="shared" si="8"/>
        <v>33067204166</v>
      </c>
      <c r="BI40" s="28">
        <f t="shared" si="8"/>
        <v>33108762820</v>
      </c>
      <c r="BJ40" s="28">
        <f t="shared" si="8"/>
        <v>33150373069</v>
      </c>
      <c r="BK40" s="28">
        <f t="shared" si="8"/>
        <v>-407677740.4</v>
      </c>
      <c r="BL40" s="28">
        <f t="shared" si="8"/>
        <v>-407677740.4</v>
      </c>
      <c r="BM40" s="28">
        <f t="shared" si="8"/>
        <v>-407677740.4</v>
      </c>
      <c r="BN40" s="28">
        <f t="shared" si="8"/>
        <v>-407677740.4</v>
      </c>
    </row>
    <row r="41" ht="15.75" customHeight="1">
      <c r="A41" s="22" t="s">
        <v>594</v>
      </c>
      <c r="B41" s="22" t="s">
        <v>595</v>
      </c>
      <c r="C41" s="28">
        <f t="array" ref="C41">INDEX(Dep_Amort!$G$16:$BN$16,1,C$4)</f>
        <v>0</v>
      </c>
      <c r="D41" s="28">
        <f t="array" ref="D41">INDEX(Dep_Amort!$G$16:$BN$16,1,D$4)</f>
        <v>0</v>
      </c>
      <c r="E41" s="28">
        <f t="array" ref="E41">INDEX(Dep_Amort!$G$16:$BN$16,1,E$4)</f>
        <v>0</v>
      </c>
      <c r="F41" s="28">
        <f t="array" ref="F41">INDEX(Dep_Amort!$G$16:$BN$16,1,F$4)</f>
        <v>0</v>
      </c>
      <c r="G41" s="28">
        <f t="array" ref="G41">INDEX(Dep_Amort!$G$16:$BN$16,1,G$4)</f>
        <v>211495655.6</v>
      </c>
      <c r="H41" s="28">
        <f t="array" ref="H41">INDEX(Dep_Amort!$G$16:$BN$16,1,H$4)</f>
        <v>211495655.6</v>
      </c>
      <c r="I41" s="28">
        <f t="array" ref="I41">INDEX(Dep_Amort!$G$16:$BN$16,1,I$4)</f>
        <v>211495655.6</v>
      </c>
      <c r="J41" s="28">
        <f t="array" ref="J41">INDEX(Dep_Amort!$G$16:$BN$16,1,J$4)</f>
        <v>211495655.6</v>
      </c>
      <c r="K41" s="28">
        <f t="array" ref="K41">INDEX(Dep_Amort!$G$16:$BN$16,1,K$4)</f>
        <v>211495655.6</v>
      </c>
      <c r="L41" s="28">
        <f t="array" ref="L41">INDEX(Dep_Amort!$G$16:$BN$16,1,L$4)</f>
        <v>211495655.6</v>
      </c>
      <c r="M41" s="28">
        <f t="array" ref="M41">INDEX(Dep_Amort!$G$16:$BN$16,1,M$4)</f>
        <v>211495655.6</v>
      </c>
      <c r="N41" s="28">
        <f t="array" ref="N41">INDEX(Dep_Amort!$G$16:$BN$16,1,N$4)</f>
        <v>211495655.6</v>
      </c>
      <c r="O41" s="28">
        <f t="array" ref="O41">INDEX(Dep_Amort!$G$16:$BN$16,1,O$4)</f>
        <v>211495655.6</v>
      </c>
      <c r="P41" s="28">
        <f t="array" ref="P41">INDEX(Dep_Amort!$G$16:$BN$16,1,P$4)</f>
        <v>211495655.6</v>
      </c>
      <c r="Q41" s="28">
        <f t="array" ref="Q41">INDEX(Dep_Amort!$G$16:$BN$16,1,Q$4)</f>
        <v>211495655.6</v>
      </c>
      <c r="R41" s="28">
        <f t="array" ref="R41">INDEX(Dep_Amort!$G$16:$BN$16,1,R$4)</f>
        <v>211495655.6</v>
      </c>
      <c r="S41" s="28">
        <f t="array" ref="S41">INDEX(Dep_Amort!$G$16:$BN$16,1,S$4)</f>
        <v>211495655.6</v>
      </c>
      <c r="T41" s="28">
        <f t="array" ref="T41">INDEX(Dep_Amort!$G$16:$BN$16,1,T$4)</f>
        <v>211495655.6</v>
      </c>
      <c r="U41" s="28">
        <f t="array" ref="U41">INDEX(Dep_Amort!$G$16:$BN$16,1,U$4)</f>
        <v>211495655.6</v>
      </c>
      <c r="V41" s="28">
        <f t="array" ref="V41">INDEX(Dep_Amort!$G$16:$BN$16,1,V$4)</f>
        <v>211495655.6</v>
      </c>
      <c r="W41" s="28">
        <f t="array" ref="W41">INDEX(Dep_Amort!$G$16:$BN$16,1,W$4)</f>
        <v>211495655.6</v>
      </c>
      <c r="X41" s="28">
        <f t="array" ref="X41">INDEX(Dep_Amort!$G$16:$BN$16,1,X$4)</f>
        <v>211495655.6</v>
      </c>
      <c r="Y41" s="28">
        <f t="array" ref="Y41">INDEX(Dep_Amort!$G$16:$BN$16,1,Y$4)</f>
        <v>211495655.6</v>
      </c>
      <c r="Z41" s="28">
        <f t="array" ref="Z41">INDEX(Dep_Amort!$G$16:$BN$16,1,Z$4)</f>
        <v>211495655.6</v>
      </c>
      <c r="AA41" s="28">
        <f t="array" ref="AA41">INDEX(Dep_Amort!$G$16:$BN$16,1,AA$4)</f>
        <v>211495655.6</v>
      </c>
      <c r="AB41" s="28">
        <f t="array" ref="AB41">INDEX(Dep_Amort!$G$16:$BN$16,1,AB$4)</f>
        <v>211495655.6</v>
      </c>
      <c r="AC41" s="28">
        <f t="array" ref="AC41">INDEX(Dep_Amort!$G$16:$BN$16,1,AC$4)</f>
        <v>211495655.6</v>
      </c>
      <c r="AD41" s="28">
        <f t="array" ref="AD41">INDEX(Dep_Amort!$G$16:$BN$16,1,AD$4)</f>
        <v>211495655.6</v>
      </c>
      <c r="AE41" s="28">
        <f t="array" ref="AE41">INDEX(Dep_Amort!$G$16:$BN$16,1,AE$4)</f>
        <v>211495655.6</v>
      </c>
      <c r="AF41" s="28">
        <f t="array" ref="AF41">INDEX(Dep_Amort!$G$16:$BN$16,1,AF$4)</f>
        <v>211495655.6</v>
      </c>
      <c r="AG41" s="28">
        <f t="array" ref="AG41">INDEX(Dep_Amort!$G$16:$BN$16,1,AG$4)</f>
        <v>211495655.6</v>
      </c>
      <c r="AH41" s="28">
        <f t="array" ref="AH41">INDEX(Dep_Amort!$G$16:$BN$16,1,AH$4)</f>
        <v>211495655.6</v>
      </c>
      <c r="AI41" s="28">
        <f t="array" ref="AI41">INDEX(Dep_Amort!$G$16:$BN$16,1,AI$4)</f>
        <v>211495655.6</v>
      </c>
      <c r="AJ41" s="28">
        <f t="array" ref="AJ41">INDEX(Dep_Amort!$G$16:$BN$16,1,AJ$4)</f>
        <v>211495655.6</v>
      </c>
      <c r="AK41" s="28">
        <f t="array" ref="AK41">INDEX(Dep_Amort!$G$16:$BN$16,1,AK$4)</f>
        <v>211495655.6</v>
      </c>
      <c r="AL41" s="28">
        <f t="array" ref="AL41">INDEX(Dep_Amort!$G$16:$BN$16,1,AL$4)</f>
        <v>211495655.6</v>
      </c>
      <c r="AM41" s="28">
        <f t="array" ref="AM41">INDEX(Dep_Amort!$G$16:$BN$16,1,AM$4)</f>
        <v>211495655.6</v>
      </c>
      <c r="AN41" s="28">
        <f t="array" ref="AN41">INDEX(Dep_Amort!$G$16:$BN$16,1,AN$4)</f>
        <v>211495655.6</v>
      </c>
      <c r="AO41" s="28">
        <f t="array" ref="AO41">INDEX(Dep_Amort!$G$16:$BN$16,1,AO$4)</f>
        <v>211495655.6</v>
      </c>
      <c r="AP41" s="28">
        <f t="array" ref="AP41">INDEX(Dep_Amort!$G$16:$BN$16,1,AP$4)</f>
        <v>211495655.6</v>
      </c>
      <c r="AQ41" s="28">
        <f t="array" ref="AQ41">INDEX(Dep_Amort!$G$16:$BN$16,1,AQ$4)</f>
        <v>211495655.6</v>
      </c>
      <c r="AR41" s="28">
        <f t="array" ref="AR41">INDEX(Dep_Amort!$G$16:$BN$16,1,AR$4)</f>
        <v>211495655.6</v>
      </c>
      <c r="AS41" s="28">
        <f t="array" ref="AS41">INDEX(Dep_Amort!$G$16:$BN$16,1,AS$4)</f>
        <v>211495655.6</v>
      </c>
      <c r="AT41" s="28">
        <f t="array" ref="AT41">INDEX(Dep_Amort!$G$16:$BN$16,1,AT$4)</f>
        <v>211495655.6</v>
      </c>
      <c r="AU41" s="28">
        <f t="array" ref="AU41">INDEX(Dep_Amort!$G$16:$BN$16,1,AU$4)</f>
        <v>211495655.6</v>
      </c>
      <c r="AV41" s="28">
        <f t="array" ref="AV41">INDEX(Dep_Amort!$G$16:$BN$16,1,AV$4)</f>
        <v>211495655.6</v>
      </c>
      <c r="AW41" s="28">
        <f t="array" ref="AW41">INDEX(Dep_Amort!$G$16:$BN$16,1,AW$4)</f>
        <v>211495655.6</v>
      </c>
      <c r="AX41" s="28">
        <f t="array" ref="AX41">INDEX(Dep_Amort!$G$16:$BN$16,1,AX$4)</f>
        <v>211495655.6</v>
      </c>
      <c r="AY41" s="28">
        <f t="array" ref="AY41">INDEX(Dep_Amort!$G$16:$BN$16,1,AY$4)</f>
        <v>211495655.6</v>
      </c>
      <c r="AZ41" s="28">
        <f t="array" ref="AZ41">INDEX(Dep_Amort!$G$16:$BN$16,1,AZ$4)</f>
        <v>211495655.6</v>
      </c>
      <c r="BA41" s="28">
        <f t="array" ref="BA41">INDEX(Dep_Amort!$G$16:$BN$16,1,BA$4)</f>
        <v>211495655.6</v>
      </c>
      <c r="BB41" s="28">
        <f t="array" ref="BB41">INDEX(Dep_Amort!$G$16:$BN$16,1,BB$4)</f>
        <v>211495655.6</v>
      </c>
      <c r="BC41" s="28">
        <f t="array" ref="BC41">INDEX(Dep_Amort!$G$16:$BN$16,1,BC$4)</f>
        <v>211495655.6</v>
      </c>
      <c r="BD41" s="28">
        <f t="array" ref="BD41">INDEX(Dep_Amort!$G$16:$BN$16,1,BD$4)</f>
        <v>211495655.6</v>
      </c>
      <c r="BE41" s="28">
        <f t="array" ref="BE41">INDEX(Dep_Amort!$G$16:$BN$16,1,BE$4)</f>
        <v>211495655.6</v>
      </c>
      <c r="BF41" s="28">
        <f t="array" ref="BF41">INDEX(Dep_Amort!$G$16:$BN$16,1,BF$4)</f>
        <v>211495655.6</v>
      </c>
      <c r="BG41" s="28">
        <f t="array" ref="BG41">INDEX(Dep_Amort!$G$16:$BN$16,1,BG$4)</f>
        <v>211495655.6</v>
      </c>
      <c r="BH41" s="28">
        <f t="array" ref="BH41">INDEX(Dep_Amort!$G$16:$BN$16,1,BH$4)</f>
        <v>211495655.6</v>
      </c>
      <c r="BI41" s="28">
        <f t="array" ref="BI41">INDEX(Dep_Amort!$G$16:$BN$16,1,BI$4)</f>
        <v>211495655.6</v>
      </c>
      <c r="BJ41" s="28">
        <f t="array" ref="BJ41">INDEX(Dep_Amort!$G$16:$BN$16,1,BJ$4)</f>
        <v>211495655.6</v>
      </c>
      <c r="BK41" s="28">
        <f>Dep_Amort!BK16</f>
        <v>211495655.6</v>
      </c>
      <c r="BL41" s="28">
        <f>Dep_Amort!BL16</f>
        <v>211495655.6</v>
      </c>
      <c r="BM41" s="28">
        <f>Dep_Amort!BM16</f>
        <v>211495655.6</v>
      </c>
      <c r="BN41" s="28">
        <f>Dep_Amort!BN16</f>
        <v>211495655.6</v>
      </c>
    </row>
    <row r="42" ht="15.75" customHeight="1">
      <c r="A42" s="22" t="s">
        <v>596</v>
      </c>
      <c r="B42" s="22" t="s">
        <v>597</v>
      </c>
      <c r="C42" s="28">
        <f t="shared" ref="C42:BN42" si="9">C40-C41</f>
        <v>29843806509</v>
      </c>
      <c r="D42" s="28">
        <f t="shared" si="9"/>
        <v>29881363355</v>
      </c>
      <c r="E42" s="28">
        <f t="shared" si="9"/>
        <v>30389029818</v>
      </c>
      <c r="F42" s="28">
        <f t="shared" si="9"/>
        <v>30709651493</v>
      </c>
      <c r="G42" s="28">
        <f t="shared" si="9"/>
        <v>30725279968</v>
      </c>
      <c r="H42" s="28">
        <f t="shared" si="9"/>
        <v>30764193722</v>
      </c>
      <c r="I42" s="28">
        <f t="shared" si="9"/>
        <v>30803155786</v>
      </c>
      <c r="J42" s="28">
        <f t="shared" si="9"/>
        <v>30842166222</v>
      </c>
      <c r="K42" s="28">
        <f t="shared" si="9"/>
        <v>30881225089</v>
      </c>
      <c r="L42" s="28">
        <f t="shared" si="9"/>
        <v>30920332446</v>
      </c>
      <c r="M42" s="28">
        <f t="shared" si="9"/>
        <v>30959488356</v>
      </c>
      <c r="N42" s="28">
        <f t="shared" si="9"/>
        <v>30998692876</v>
      </c>
      <c r="O42" s="28">
        <f t="shared" si="9"/>
        <v>31037946069</v>
      </c>
      <c r="P42" s="28">
        <f t="shared" si="9"/>
        <v>31077247994</v>
      </c>
      <c r="Q42" s="28">
        <f t="shared" si="9"/>
        <v>31116598712</v>
      </c>
      <c r="R42" s="28">
        <f t="shared" si="9"/>
        <v>31155998283</v>
      </c>
      <c r="S42" s="28">
        <f t="shared" si="9"/>
        <v>31195446768</v>
      </c>
      <c r="T42" s="28">
        <f t="shared" si="9"/>
        <v>31234944228</v>
      </c>
      <c r="U42" s="28">
        <f t="shared" si="9"/>
        <v>31274490724</v>
      </c>
      <c r="V42" s="28">
        <f t="shared" si="9"/>
        <v>31314086316</v>
      </c>
      <c r="W42" s="28">
        <f t="shared" si="9"/>
        <v>31353731066</v>
      </c>
      <c r="X42" s="28">
        <f t="shared" si="9"/>
        <v>31393425034</v>
      </c>
      <c r="Y42" s="28">
        <f t="shared" si="9"/>
        <v>31433168282</v>
      </c>
      <c r="Z42" s="28">
        <f t="shared" si="9"/>
        <v>31472960870</v>
      </c>
      <c r="AA42" s="28">
        <f t="shared" si="9"/>
        <v>31512802861</v>
      </c>
      <c r="AB42" s="28">
        <f t="shared" si="9"/>
        <v>31552694315</v>
      </c>
      <c r="AC42" s="28">
        <f t="shared" si="9"/>
        <v>31592635293</v>
      </c>
      <c r="AD42" s="28">
        <f t="shared" si="9"/>
        <v>31632625858</v>
      </c>
      <c r="AE42" s="28">
        <f t="shared" si="9"/>
        <v>31672666071</v>
      </c>
      <c r="AF42" s="28">
        <f t="shared" si="9"/>
        <v>31712755993</v>
      </c>
      <c r="AG42" s="28">
        <f t="shared" si="9"/>
        <v>31752895686</v>
      </c>
      <c r="AH42" s="28">
        <f t="shared" si="9"/>
        <v>31793085212</v>
      </c>
      <c r="AI42" s="28">
        <f t="shared" si="9"/>
        <v>31833324633</v>
      </c>
      <c r="AJ42" s="28">
        <f t="shared" si="9"/>
        <v>31873614011</v>
      </c>
      <c r="AK42" s="28">
        <f t="shared" si="9"/>
        <v>31913953407</v>
      </c>
      <c r="AL42" s="28">
        <f t="shared" si="9"/>
        <v>31954342884</v>
      </c>
      <c r="AM42" s="28">
        <f t="shared" si="9"/>
        <v>31994782505</v>
      </c>
      <c r="AN42" s="28">
        <f t="shared" si="9"/>
        <v>32035272330</v>
      </c>
      <c r="AO42" s="28">
        <f t="shared" si="9"/>
        <v>32075812424</v>
      </c>
      <c r="AP42" s="28">
        <f t="shared" si="9"/>
        <v>32116402847</v>
      </c>
      <c r="AQ42" s="28">
        <f t="shared" si="9"/>
        <v>32157043663</v>
      </c>
      <c r="AR42" s="28">
        <f t="shared" si="9"/>
        <v>32197734934</v>
      </c>
      <c r="AS42" s="28">
        <f t="shared" si="9"/>
        <v>32238476722</v>
      </c>
      <c r="AT42" s="28">
        <f t="shared" si="9"/>
        <v>32279269091</v>
      </c>
      <c r="AU42" s="28">
        <f t="shared" si="9"/>
        <v>32320112103</v>
      </c>
      <c r="AV42" s="28">
        <f t="shared" si="9"/>
        <v>32361005822</v>
      </c>
      <c r="AW42" s="28">
        <f t="shared" si="9"/>
        <v>32401950309</v>
      </c>
      <c r="AX42" s="28">
        <f t="shared" si="9"/>
        <v>32442945629</v>
      </c>
      <c r="AY42" s="28">
        <f t="shared" si="9"/>
        <v>32483991843</v>
      </c>
      <c r="AZ42" s="28">
        <f t="shared" si="9"/>
        <v>32525089016</v>
      </c>
      <c r="BA42" s="28">
        <f t="shared" si="9"/>
        <v>32566237211</v>
      </c>
      <c r="BB42" s="28">
        <f t="shared" si="9"/>
        <v>32607436490</v>
      </c>
      <c r="BC42" s="28">
        <f t="shared" si="9"/>
        <v>32648686919</v>
      </c>
      <c r="BD42" s="28">
        <f t="shared" si="9"/>
        <v>32689988558</v>
      </c>
      <c r="BE42" s="28">
        <f t="shared" si="9"/>
        <v>32731341474</v>
      </c>
      <c r="BF42" s="28">
        <f t="shared" si="9"/>
        <v>32772745728</v>
      </c>
      <c r="BG42" s="28">
        <f t="shared" si="9"/>
        <v>32814201386</v>
      </c>
      <c r="BH42" s="28">
        <f t="shared" si="9"/>
        <v>32855708510</v>
      </c>
      <c r="BI42" s="28">
        <f t="shared" si="9"/>
        <v>32897267165</v>
      </c>
      <c r="BJ42" s="28">
        <f t="shared" si="9"/>
        <v>32938877414</v>
      </c>
      <c r="BK42" s="28">
        <f t="shared" si="9"/>
        <v>-619173395.9</v>
      </c>
      <c r="BL42" s="28">
        <f t="shared" si="9"/>
        <v>-619173395.9</v>
      </c>
      <c r="BM42" s="28">
        <f t="shared" si="9"/>
        <v>-619173395.9</v>
      </c>
      <c r="BN42" s="28">
        <f t="shared" si="9"/>
        <v>-619173395.9</v>
      </c>
    </row>
    <row r="43" ht="15.75" customHeight="1">
      <c r="A43" s="22" t="s">
        <v>598</v>
      </c>
      <c r="B43" s="22" t="s">
        <v>599</v>
      </c>
      <c r="C43" s="28">
        <f>MAX(0,C42*Supuestos!$B$20)</f>
        <v>10445332278</v>
      </c>
      <c r="D43" s="28">
        <f>MAX(0,D42*Supuestos!$B$20)</f>
        <v>10458477174</v>
      </c>
      <c r="E43" s="28">
        <f>MAX(0,E42*Supuestos!$B$20)</f>
        <v>10636160436</v>
      </c>
      <c r="F43" s="28">
        <f>MAX(0,F42*Supuestos!$B$20)</f>
        <v>10748378023</v>
      </c>
      <c r="G43" s="28">
        <f>MAX(0,G42*Supuestos!$B$20)</f>
        <v>10753847989</v>
      </c>
      <c r="H43" s="28">
        <f>MAX(0,H42*Supuestos!$B$20)</f>
        <v>10767467803</v>
      </c>
      <c r="I43" s="28">
        <f>MAX(0,I42*Supuestos!$B$20)</f>
        <v>10781104525</v>
      </c>
      <c r="J43" s="28">
        <f>MAX(0,J42*Supuestos!$B$20)</f>
        <v>10794758178</v>
      </c>
      <c r="K43" s="28">
        <f>MAX(0,K42*Supuestos!$B$20)</f>
        <v>10808428781</v>
      </c>
      <c r="L43" s="28">
        <f>MAX(0,L42*Supuestos!$B$20)</f>
        <v>10822116356</v>
      </c>
      <c r="M43" s="28">
        <f>MAX(0,M42*Supuestos!$B$20)</f>
        <v>10835820924</v>
      </c>
      <c r="N43" s="28">
        <f>MAX(0,N42*Supuestos!$B$20)</f>
        <v>10849542507</v>
      </c>
      <c r="O43" s="28">
        <f>MAX(0,O42*Supuestos!$B$20)</f>
        <v>10863281124</v>
      </c>
      <c r="P43" s="28">
        <f>MAX(0,P42*Supuestos!$B$20)</f>
        <v>10877036798</v>
      </c>
      <c r="Q43" s="28">
        <f>MAX(0,Q42*Supuestos!$B$20)</f>
        <v>10890809549</v>
      </c>
      <c r="R43" s="28">
        <f>MAX(0,R42*Supuestos!$B$20)</f>
        <v>10904599399</v>
      </c>
      <c r="S43" s="28">
        <f>MAX(0,S42*Supuestos!$B$20)</f>
        <v>10918406369</v>
      </c>
      <c r="T43" s="28">
        <f>MAX(0,T42*Supuestos!$B$20)</f>
        <v>10932230480</v>
      </c>
      <c r="U43" s="28">
        <f>MAX(0,U42*Supuestos!$B$20)</f>
        <v>10946071753</v>
      </c>
      <c r="V43" s="28">
        <f>MAX(0,V42*Supuestos!$B$20)</f>
        <v>10959930211</v>
      </c>
      <c r="W43" s="28">
        <f>MAX(0,W42*Supuestos!$B$20)</f>
        <v>10973805873</v>
      </c>
      <c r="X43" s="28">
        <f>MAX(0,X42*Supuestos!$B$20)</f>
        <v>10987698762</v>
      </c>
      <c r="Y43" s="28">
        <f>MAX(0,Y42*Supuestos!$B$20)</f>
        <v>11001608899</v>
      </c>
      <c r="Z43" s="28">
        <f>MAX(0,Z42*Supuestos!$B$20)</f>
        <v>11015536305</v>
      </c>
      <c r="AA43" s="28">
        <f>MAX(0,AA42*Supuestos!$B$20)</f>
        <v>11029481001</v>
      </c>
      <c r="AB43" s="28">
        <f>MAX(0,AB42*Supuestos!$B$20)</f>
        <v>11043443010</v>
      </c>
      <c r="AC43" s="28">
        <f>MAX(0,AC42*Supuestos!$B$20)</f>
        <v>11057422353</v>
      </c>
      <c r="AD43" s="28">
        <f>MAX(0,AD42*Supuestos!$B$20)</f>
        <v>11071419050</v>
      </c>
      <c r="AE43" s="28">
        <f>MAX(0,AE42*Supuestos!$B$20)</f>
        <v>11085433125</v>
      </c>
      <c r="AF43" s="28">
        <f>MAX(0,AF42*Supuestos!$B$20)</f>
        <v>11099464597</v>
      </c>
      <c r="AG43" s="28">
        <f>MAX(0,AG42*Supuestos!$B$20)</f>
        <v>11113513490</v>
      </c>
      <c r="AH43" s="28">
        <f>MAX(0,AH42*Supuestos!$B$20)</f>
        <v>11127579824</v>
      </c>
      <c r="AI43" s="28">
        <f>MAX(0,AI42*Supuestos!$B$20)</f>
        <v>11141663622</v>
      </c>
      <c r="AJ43" s="28">
        <f>MAX(0,AJ42*Supuestos!$B$20)</f>
        <v>11155764904</v>
      </c>
      <c r="AK43" s="28">
        <f>MAX(0,AK42*Supuestos!$B$20)</f>
        <v>11169883692</v>
      </c>
      <c r="AL43" s="28">
        <f>MAX(0,AL42*Supuestos!$B$20)</f>
        <v>11184020010</v>
      </c>
      <c r="AM43" s="28">
        <f>MAX(0,AM42*Supuestos!$B$20)</f>
        <v>11198173877</v>
      </c>
      <c r="AN43" s="28">
        <f>MAX(0,AN42*Supuestos!$B$20)</f>
        <v>11212345316</v>
      </c>
      <c r="AO43" s="28">
        <f>MAX(0,AO42*Supuestos!$B$20)</f>
        <v>11226534348</v>
      </c>
      <c r="AP43" s="28">
        <f>MAX(0,AP42*Supuestos!$B$20)</f>
        <v>11240740996</v>
      </c>
      <c r="AQ43" s="28">
        <f>MAX(0,AQ42*Supuestos!$B$20)</f>
        <v>11254965282</v>
      </c>
      <c r="AR43" s="28">
        <f>MAX(0,AR42*Supuestos!$B$20)</f>
        <v>11269207227</v>
      </c>
      <c r="AS43" s="28">
        <f>MAX(0,AS42*Supuestos!$B$20)</f>
        <v>11283466853</v>
      </c>
      <c r="AT43" s="28">
        <f>MAX(0,AT42*Supuestos!$B$20)</f>
        <v>11297744182</v>
      </c>
      <c r="AU43" s="28">
        <f>MAX(0,AU42*Supuestos!$B$20)</f>
        <v>11312039236</v>
      </c>
      <c r="AV43" s="28">
        <f>MAX(0,AV42*Supuestos!$B$20)</f>
        <v>11326352038</v>
      </c>
      <c r="AW43" s="28">
        <f>MAX(0,AW42*Supuestos!$B$20)</f>
        <v>11340682608</v>
      </c>
      <c r="AX43" s="28">
        <f>MAX(0,AX42*Supuestos!$B$20)</f>
        <v>11355030970</v>
      </c>
      <c r="AY43" s="28">
        <f>MAX(0,AY42*Supuestos!$B$20)</f>
        <v>11369397145</v>
      </c>
      <c r="AZ43" s="28">
        <f>MAX(0,AZ42*Supuestos!$B$20)</f>
        <v>11383781156</v>
      </c>
      <c r="BA43" s="28">
        <f>MAX(0,BA42*Supuestos!$B$20)</f>
        <v>11398183024</v>
      </c>
      <c r="BB43" s="28">
        <f>MAX(0,BB42*Supuestos!$B$20)</f>
        <v>11412602772</v>
      </c>
      <c r="BC43" s="28">
        <f>MAX(0,BC42*Supuestos!$B$20)</f>
        <v>11427040421</v>
      </c>
      <c r="BD43" s="28">
        <f>MAX(0,BD42*Supuestos!$B$20)</f>
        <v>11441495995</v>
      </c>
      <c r="BE43" s="28">
        <f>MAX(0,BE42*Supuestos!$B$20)</f>
        <v>11455969516</v>
      </c>
      <c r="BF43" s="28">
        <f>MAX(0,BF42*Supuestos!$B$20)</f>
        <v>11470461005</v>
      </c>
      <c r="BG43" s="28">
        <f>MAX(0,BG42*Supuestos!$B$20)</f>
        <v>11484970485</v>
      </c>
      <c r="BH43" s="28">
        <f>MAX(0,BH42*Supuestos!$B$20)</f>
        <v>11499497978</v>
      </c>
      <c r="BI43" s="28">
        <f>MAX(0,BI42*Supuestos!$B$20)</f>
        <v>11514043508</v>
      </c>
      <c r="BJ43" s="28">
        <f>MAX(0,BJ42*Supuestos!$B$20)</f>
        <v>11528607095</v>
      </c>
      <c r="BK43" s="28">
        <f>MAX(0,BK42*Supuestos!$B$20)</f>
        <v>0</v>
      </c>
      <c r="BL43" s="28">
        <f>MAX(0,BL42*Supuestos!$B$20)</f>
        <v>0</v>
      </c>
      <c r="BM43" s="28">
        <f>MAX(0,BM42*Supuestos!$B$20)</f>
        <v>0</v>
      </c>
      <c r="BN43" s="28">
        <f>MAX(0,BN42*Supuestos!$B$20)</f>
        <v>0</v>
      </c>
    </row>
    <row r="44" ht="15.75" customHeight="1">
      <c r="A44" s="22" t="s">
        <v>600</v>
      </c>
      <c r="B44" s="22" t="s">
        <v>601</v>
      </c>
      <c r="C44" s="28">
        <f t="shared" ref="C44:BJ44" si="10">C42-C43</f>
        <v>19398474231</v>
      </c>
      <c r="D44" s="28">
        <f t="shared" si="10"/>
        <v>19422886181</v>
      </c>
      <c r="E44" s="28">
        <f t="shared" si="10"/>
        <v>19752869382</v>
      </c>
      <c r="F44" s="28">
        <f t="shared" si="10"/>
        <v>19961273471</v>
      </c>
      <c r="G44" s="28">
        <f t="shared" si="10"/>
        <v>19971431979</v>
      </c>
      <c r="H44" s="28">
        <f t="shared" si="10"/>
        <v>19996725919</v>
      </c>
      <c r="I44" s="28">
        <f t="shared" si="10"/>
        <v>20022051261</v>
      </c>
      <c r="J44" s="28">
        <f t="shared" si="10"/>
        <v>20047408044</v>
      </c>
      <c r="K44" s="28">
        <f t="shared" si="10"/>
        <v>20072796308</v>
      </c>
      <c r="L44" s="28">
        <f t="shared" si="10"/>
        <v>20098216090</v>
      </c>
      <c r="M44" s="28">
        <f t="shared" si="10"/>
        <v>20123667431</v>
      </c>
      <c r="N44" s="28">
        <f t="shared" si="10"/>
        <v>20149150370</v>
      </c>
      <c r="O44" s="28">
        <f t="shared" si="10"/>
        <v>20174664945</v>
      </c>
      <c r="P44" s="28">
        <f t="shared" si="10"/>
        <v>20200211196</v>
      </c>
      <c r="Q44" s="28">
        <f t="shared" si="10"/>
        <v>20225789163</v>
      </c>
      <c r="R44" s="28">
        <f t="shared" si="10"/>
        <v>20251398884</v>
      </c>
      <c r="S44" s="28">
        <f t="shared" si="10"/>
        <v>20277040399</v>
      </c>
      <c r="T44" s="28">
        <f t="shared" si="10"/>
        <v>20302713748</v>
      </c>
      <c r="U44" s="28">
        <f t="shared" si="10"/>
        <v>20328418971</v>
      </c>
      <c r="V44" s="28">
        <f t="shared" si="10"/>
        <v>20354156106</v>
      </c>
      <c r="W44" s="28">
        <f t="shared" si="10"/>
        <v>20379925193</v>
      </c>
      <c r="X44" s="28">
        <f t="shared" si="10"/>
        <v>20405726272</v>
      </c>
      <c r="Y44" s="28">
        <f t="shared" si="10"/>
        <v>20431559383</v>
      </c>
      <c r="Z44" s="28">
        <f t="shared" si="10"/>
        <v>20457424566</v>
      </c>
      <c r="AA44" s="28">
        <f t="shared" si="10"/>
        <v>20483321860</v>
      </c>
      <c r="AB44" s="28">
        <f t="shared" si="10"/>
        <v>20509251305</v>
      </c>
      <c r="AC44" s="28">
        <f t="shared" si="10"/>
        <v>20535212941</v>
      </c>
      <c r="AD44" s="28">
        <f t="shared" si="10"/>
        <v>20561206808</v>
      </c>
      <c r="AE44" s="28">
        <f t="shared" si="10"/>
        <v>20587232946</v>
      </c>
      <c r="AF44" s="28">
        <f t="shared" si="10"/>
        <v>20613291395</v>
      </c>
      <c r="AG44" s="28">
        <f t="shared" si="10"/>
        <v>20639382196</v>
      </c>
      <c r="AH44" s="28">
        <f t="shared" si="10"/>
        <v>20665505388</v>
      </c>
      <c r="AI44" s="28">
        <f t="shared" si="10"/>
        <v>20691661011</v>
      </c>
      <c r="AJ44" s="28">
        <f t="shared" si="10"/>
        <v>20717849107</v>
      </c>
      <c r="AK44" s="28">
        <f t="shared" si="10"/>
        <v>20744069715</v>
      </c>
      <c r="AL44" s="28">
        <f t="shared" si="10"/>
        <v>20770322875</v>
      </c>
      <c r="AM44" s="28">
        <f t="shared" si="10"/>
        <v>20796608628</v>
      </c>
      <c r="AN44" s="28">
        <f t="shared" si="10"/>
        <v>20822927015</v>
      </c>
      <c r="AO44" s="28">
        <f t="shared" si="10"/>
        <v>20849278075</v>
      </c>
      <c r="AP44" s="28">
        <f t="shared" si="10"/>
        <v>20875661850</v>
      </c>
      <c r="AQ44" s="28">
        <f t="shared" si="10"/>
        <v>20902078381</v>
      </c>
      <c r="AR44" s="28">
        <f t="shared" si="10"/>
        <v>20928527707</v>
      </c>
      <c r="AS44" s="28">
        <f t="shared" si="10"/>
        <v>20955009869</v>
      </c>
      <c r="AT44" s="28">
        <f t="shared" si="10"/>
        <v>20981524909</v>
      </c>
      <c r="AU44" s="28">
        <f t="shared" si="10"/>
        <v>21008072867</v>
      </c>
      <c r="AV44" s="28">
        <f t="shared" si="10"/>
        <v>21034653784</v>
      </c>
      <c r="AW44" s="28">
        <f t="shared" si="10"/>
        <v>21061267701</v>
      </c>
      <c r="AX44" s="28">
        <f t="shared" si="10"/>
        <v>21087914659</v>
      </c>
      <c r="AY44" s="28">
        <f t="shared" si="10"/>
        <v>21114594698</v>
      </c>
      <c r="AZ44" s="28">
        <f t="shared" si="10"/>
        <v>21141307861</v>
      </c>
      <c r="BA44" s="28">
        <f t="shared" si="10"/>
        <v>21168054187</v>
      </c>
      <c r="BB44" s="28">
        <f t="shared" si="10"/>
        <v>21194833719</v>
      </c>
      <c r="BC44" s="28">
        <f t="shared" si="10"/>
        <v>21221646497</v>
      </c>
      <c r="BD44" s="28">
        <f t="shared" si="10"/>
        <v>21248492563</v>
      </c>
      <c r="BE44" s="28">
        <f t="shared" si="10"/>
        <v>21275371958</v>
      </c>
      <c r="BF44" s="28">
        <f t="shared" si="10"/>
        <v>21302284723</v>
      </c>
      <c r="BG44" s="28">
        <f t="shared" si="10"/>
        <v>21329230901</v>
      </c>
      <c r="BH44" s="28">
        <f t="shared" si="10"/>
        <v>21356210531</v>
      </c>
      <c r="BI44" s="28">
        <f t="shared" si="10"/>
        <v>21383223657</v>
      </c>
      <c r="BJ44" s="28">
        <f t="shared" si="10"/>
        <v>21410270319</v>
      </c>
      <c r="BK44" s="28"/>
      <c r="BL44" s="28"/>
      <c r="BM44" s="28"/>
      <c r="BN44" s="28"/>
    </row>
    <row r="45" ht="15.75" customHeight="1"/>
    <row r="46" ht="15.75" customHeight="1">
      <c r="A46" s="4" t="s">
        <v>602</v>
      </c>
      <c r="B46" s="4" t="s">
        <v>603</v>
      </c>
    </row>
    <row r="47" ht="15.75" customHeight="1">
      <c r="A47" s="22" t="s">
        <v>604</v>
      </c>
      <c r="B47" s="22" t="s">
        <v>605</v>
      </c>
      <c r="C47" s="28">
        <f t="shared" ref="C47:BN47" si="11">C30-C13</f>
        <v>0</v>
      </c>
      <c r="D47" s="28">
        <f t="shared" si="11"/>
        <v>0</v>
      </c>
      <c r="E47" s="28">
        <f t="shared" si="11"/>
        <v>854156168.3</v>
      </c>
      <c r="F47" s="28">
        <f t="shared" si="11"/>
        <v>1368346548</v>
      </c>
      <c r="G47" s="28">
        <f t="shared" si="11"/>
        <v>1712556667</v>
      </c>
      <c r="H47" s="28">
        <f t="shared" si="11"/>
        <v>1714682785</v>
      </c>
      <c r="I47" s="28">
        <f t="shared" si="11"/>
        <v>1716811543</v>
      </c>
      <c r="J47" s="28">
        <f t="shared" si="11"/>
        <v>1718942943</v>
      </c>
      <c r="K47" s="28">
        <f t="shared" si="11"/>
        <v>1721076990</v>
      </c>
      <c r="L47" s="28">
        <f t="shared" si="11"/>
        <v>1723213686</v>
      </c>
      <c r="M47" s="28">
        <f t="shared" si="11"/>
        <v>1725353034</v>
      </c>
      <c r="N47" s="28">
        <f t="shared" si="11"/>
        <v>1727495039</v>
      </c>
      <c r="O47" s="28">
        <f t="shared" si="11"/>
        <v>1729639703</v>
      </c>
      <c r="P47" s="28">
        <f t="shared" si="11"/>
        <v>1731787029</v>
      </c>
      <c r="Q47" s="28">
        <f t="shared" si="11"/>
        <v>1733937022</v>
      </c>
      <c r="R47" s="28">
        <f t="shared" si="11"/>
        <v>1736089683</v>
      </c>
      <c r="S47" s="28">
        <f t="shared" si="11"/>
        <v>1738245017</v>
      </c>
      <c r="T47" s="28">
        <f t="shared" si="11"/>
        <v>1740403027</v>
      </c>
      <c r="U47" s="28">
        <f t="shared" si="11"/>
        <v>1742563716</v>
      </c>
      <c r="V47" s="28">
        <f t="shared" si="11"/>
        <v>1744727087</v>
      </c>
      <c r="W47" s="28">
        <f t="shared" si="11"/>
        <v>1746893145</v>
      </c>
      <c r="X47" s="28">
        <f t="shared" si="11"/>
        <v>1749061891</v>
      </c>
      <c r="Y47" s="28">
        <f t="shared" si="11"/>
        <v>1751233330</v>
      </c>
      <c r="Z47" s="28">
        <f t="shared" si="11"/>
        <v>1753407465</v>
      </c>
      <c r="AA47" s="28">
        <f t="shared" si="11"/>
        <v>1755584298</v>
      </c>
      <c r="AB47" s="28">
        <f t="shared" si="11"/>
        <v>1757763835</v>
      </c>
      <c r="AC47" s="28">
        <f t="shared" si="11"/>
        <v>1759946077</v>
      </c>
      <c r="AD47" s="28">
        <f t="shared" si="11"/>
        <v>1762131028</v>
      </c>
      <c r="AE47" s="28">
        <f t="shared" si="11"/>
        <v>1764318692</v>
      </c>
      <c r="AF47" s="28">
        <f t="shared" si="11"/>
        <v>1766509072</v>
      </c>
      <c r="AG47" s="28">
        <f t="shared" si="11"/>
        <v>1768702172</v>
      </c>
      <c r="AH47" s="28">
        <f t="shared" si="11"/>
        <v>1770897994</v>
      </c>
      <c r="AI47" s="28">
        <f t="shared" si="11"/>
        <v>1773096542</v>
      </c>
      <c r="AJ47" s="28">
        <f t="shared" si="11"/>
        <v>1775297819</v>
      </c>
      <c r="AK47" s="28">
        <f t="shared" si="11"/>
        <v>1777501830</v>
      </c>
      <c r="AL47" s="28">
        <f t="shared" si="11"/>
        <v>1779708577</v>
      </c>
      <c r="AM47" s="28">
        <f t="shared" si="11"/>
        <v>1781918063</v>
      </c>
      <c r="AN47" s="28">
        <f t="shared" si="11"/>
        <v>1784130292</v>
      </c>
      <c r="AO47" s="28">
        <f t="shared" si="11"/>
        <v>1786345268</v>
      </c>
      <c r="AP47" s="28">
        <f t="shared" si="11"/>
        <v>1788562994</v>
      </c>
      <c r="AQ47" s="28">
        <f t="shared" si="11"/>
        <v>1790783473</v>
      </c>
      <c r="AR47" s="28">
        <f t="shared" si="11"/>
        <v>1793006709</v>
      </c>
      <c r="AS47" s="28">
        <f t="shared" si="11"/>
        <v>1795232704</v>
      </c>
      <c r="AT47" s="28">
        <f t="shared" si="11"/>
        <v>1797461464</v>
      </c>
      <c r="AU47" s="28">
        <f t="shared" si="11"/>
        <v>1799692990</v>
      </c>
      <c r="AV47" s="28">
        <f t="shared" si="11"/>
        <v>1801927287</v>
      </c>
      <c r="AW47" s="28">
        <f t="shared" si="11"/>
        <v>1804164357</v>
      </c>
      <c r="AX47" s="28">
        <f t="shared" si="11"/>
        <v>1806404205</v>
      </c>
      <c r="AY47" s="28">
        <f t="shared" si="11"/>
        <v>1808646834</v>
      </c>
      <c r="AZ47" s="28">
        <f t="shared" si="11"/>
        <v>1810892247</v>
      </c>
      <c r="BA47" s="28">
        <f t="shared" si="11"/>
        <v>1813140447</v>
      </c>
      <c r="BB47" s="28">
        <f t="shared" si="11"/>
        <v>1815391439</v>
      </c>
      <c r="BC47" s="28">
        <f t="shared" si="11"/>
        <v>1817645225</v>
      </c>
      <c r="BD47" s="28">
        <f t="shared" si="11"/>
        <v>1819901809</v>
      </c>
      <c r="BE47" s="28">
        <f t="shared" si="11"/>
        <v>1822161195</v>
      </c>
      <c r="BF47" s="28">
        <f t="shared" si="11"/>
        <v>1824423386</v>
      </c>
      <c r="BG47" s="28">
        <f t="shared" si="11"/>
        <v>1826688385</v>
      </c>
      <c r="BH47" s="28">
        <f t="shared" si="11"/>
        <v>1828956196</v>
      </c>
      <c r="BI47" s="28">
        <f t="shared" si="11"/>
        <v>1831226823</v>
      </c>
      <c r="BJ47" s="28">
        <f t="shared" si="11"/>
        <v>1833500268</v>
      </c>
      <c r="BK47" s="28">
        <f t="shared" si="11"/>
        <v>0</v>
      </c>
      <c r="BL47" s="28">
        <f t="shared" si="11"/>
        <v>0</v>
      </c>
      <c r="BM47" s="28">
        <f t="shared" si="11"/>
        <v>0</v>
      </c>
      <c r="BN47" s="28">
        <f t="shared" si="11"/>
        <v>0</v>
      </c>
    </row>
    <row r="48" ht="15.75" customHeight="1">
      <c r="A48" s="22" t="s">
        <v>606</v>
      </c>
      <c r="B48" s="22" t="s">
        <v>607</v>
      </c>
      <c r="C48" s="28">
        <f t="shared" ref="C48:BN48" si="12">C35-C18</f>
        <v>9884550.935</v>
      </c>
      <c r="D48" s="28">
        <f t="shared" si="12"/>
        <v>9896822.484</v>
      </c>
      <c r="E48" s="28">
        <f t="shared" si="12"/>
        <v>479972100.1</v>
      </c>
      <c r="F48" s="28">
        <f t="shared" si="12"/>
        <v>762955920.5</v>
      </c>
      <c r="G48" s="28">
        <f t="shared" si="12"/>
        <v>952395468.9</v>
      </c>
      <c r="H48" s="28">
        <f t="shared" si="12"/>
        <v>953577856.2</v>
      </c>
      <c r="I48" s="28">
        <f t="shared" si="12"/>
        <v>954761711.4</v>
      </c>
      <c r="J48" s="28">
        <f t="shared" si="12"/>
        <v>955947036.3</v>
      </c>
      <c r="K48" s="28">
        <f t="shared" si="12"/>
        <v>957133832.8</v>
      </c>
      <c r="L48" s="28">
        <f t="shared" si="12"/>
        <v>958322102.7</v>
      </c>
      <c r="M48" s="28">
        <f t="shared" si="12"/>
        <v>959511847.9</v>
      </c>
      <c r="N48" s="28">
        <f t="shared" si="12"/>
        <v>960703070</v>
      </c>
      <c r="O48" s="28">
        <f t="shared" si="12"/>
        <v>961895771.1</v>
      </c>
      <c r="P48" s="28">
        <f t="shared" si="12"/>
        <v>963089952.9</v>
      </c>
      <c r="Q48" s="28">
        <f t="shared" si="12"/>
        <v>964285617.2</v>
      </c>
      <c r="R48" s="28">
        <f t="shared" si="12"/>
        <v>965482766</v>
      </c>
      <c r="S48" s="28">
        <f t="shared" si="12"/>
        <v>966681401</v>
      </c>
      <c r="T48" s="28">
        <f t="shared" si="12"/>
        <v>967881524.1</v>
      </c>
      <c r="U48" s="28">
        <f t="shared" si="12"/>
        <v>969083137.1</v>
      </c>
      <c r="V48" s="28">
        <f t="shared" si="12"/>
        <v>970286241.9</v>
      </c>
      <c r="W48" s="28">
        <f t="shared" si="12"/>
        <v>971490840.3</v>
      </c>
      <c r="X48" s="28">
        <f t="shared" si="12"/>
        <v>972696934.3</v>
      </c>
      <c r="Y48" s="28">
        <f t="shared" si="12"/>
        <v>973904525.6</v>
      </c>
      <c r="Z48" s="28">
        <f t="shared" si="12"/>
        <v>975113616.1</v>
      </c>
      <c r="AA48" s="28">
        <f t="shared" si="12"/>
        <v>976324207.7</v>
      </c>
      <c r="AB48" s="28">
        <f t="shared" si="12"/>
        <v>977536302.2</v>
      </c>
      <c r="AC48" s="28">
        <f t="shared" si="12"/>
        <v>978749901.5</v>
      </c>
      <c r="AD48" s="28">
        <f t="shared" si="12"/>
        <v>979965007.5</v>
      </c>
      <c r="AE48" s="28">
        <f t="shared" si="12"/>
        <v>981181622</v>
      </c>
      <c r="AF48" s="28">
        <f t="shared" si="12"/>
        <v>982399746.9</v>
      </c>
      <c r="AG48" s="28">
        <f t="shared" si="12"/>
        <v>983619384.1</v>
      </c>
      <c r="AH48" s="28">
        <f t="shared" si="12"/>
        <v>984840535.5</v>
      </c>
      <c r="AI48" s="28">
        <f t="shared" si="12"/>
        <v>986063202.9</v>
      </c>
      <c r="AJ48" s="28">
        <f t="shared" si="12"/>
        <v>987287388.3</v>
      </c>
      <c r="AK48" s="28">
        <f t="shared" si="12"/>
        <v>988513093.5</v>
      </c>
      <c r="AL48" s="28">
        <f t="shared" si="12"/>
        <v>989740320.3</v>
      </c>
      <c r="AM48" s="28">
        <f t="shared" si="12"/>
        <v>990969070.8</v>
      </c>
      <c r="AN48" s="28">
        <f t="shared" si="12"/>
        <v>992199346.7</v>
      </c>
      <c r="AO48" s="28">
        <f t="shared" si="12"/>
        <v>993431150</v>
      </c>
      <c r="AP48" s="28">
        <f t="shared" si="12"/>
        <v>994664482.6</v>
      </c>
      <c r="AQ48" s="28">
        <f t="shared" si="12"/>
        <v>995899346.3</v>
      </c>
      <c r="AR48" s="28">
        <f t="shared" si="12"/>
        <v>997135743.1</v>
      </c>
      <c r="AS48" s="28">
        <f t="shared" si="12"/>
        <v>998373674.9</v>
      </c>
      <c r="AT48" s="28">
        <f t="shared" si="12"/>
        <v>999613143.6</v>
      </c>
      <c r="AU48" s="28">
        <f t="shared" si="12"/>
        <v>1000854151</v>
      </c>
      <c r="AV48" s="28">
        <f t="shared" si="12"/>
        <v>1002096699</v>
      </c>
      <c r="AW48" s="28">
        <f t="shared" si="12"/>
        <v>1003340790</v>
      </c>
      <c r="AX48" s="28">
        <f t="shared" si="12"/>
        <v>1004586425</v>
      </c>
      <c r="AY48" s="28">
        <f t="shared" si="12"/>
        <v>1005833607</v>
      </c>
      <c r="AZ48" s="28">
        <f t="shared" si="12"/>
        <v>1007082337</v>
      </c>
      <c r="BA48" s="28">
        <f t="shared" si="12"/>
        <v>1008332617</v>
      </c>
      <c r="BB48" s="28">
        <f t="shared" si="12"/>
        <v>1009584450</v>
      </c>
      <c r="BC48" s="28">
        <f t="shared" si="12"/>
        <v>1010837837</v>
      </c>
      <c r="BD48" s="28">
        <f t="shared" si="12"/>
        <v>1012092779</v>
      </c>
      <c r="BE48" s="28">
        <f t="shared" si="12"/>
        <v>1013349280</v>
      </c>
      <c r="BF48" s="28">
        <f t="shared" si="12"/>
        <v>1014607341</v>
      </c>
      <c r="BG48" s="28">
        <f t="shared" si="12"/>
        <v>1015866963</v>
      </c>
      <c r="BH48" s="28">
        <f t="shared" si="12"/>
        <v>1017128150</v>
      </c>
      <c r="BI48" s="28">
        <f t="shared" si="12"/>
        <v>1018390902</v>
      </c>
      <c r="BJ48" s="28">
        <f t="shared" si="12"/>
        <v>1019655222</v>
      </c>
      <c r="BK48" s="28">
        <f t="shared" si="12"/>
        <v>0</v>
      </c>
      <c r="BL48" s="28">
        <f t="shared" si="12"/>
        <v>0</v>
      </c>
      <c r="BM48" s="28">
        <f t="shared" si="12"/>
        <v>0</v>
      </c>
      <c r="BN48" s="28">
        <f t="shared" si="12"/>
        <v>0</v>
      </c>
    </row>
    <row r="49" ht="15.75" customHeight="1">
      <c r="A49" s="22" t="s">
        <v>608</v>
      </c>
      <c r="B49" s="22" t="s">
        <v>609</v>
      </c>
      <c r="C49" s="28">
        <f t="shared" ref="C49:BN49" si="13">(C36+C37+C38+C39)-(C19+C20)</f>
        <v>71762358.36</v>
      </c>
      <c r="D49" s="28">
        <f t="shared" si="13"/>
        <v>71762358.36</v>
      </c>
      <c r="E49" s="28">
        <f t="shared" si="13"/>
        <v>71762358.36</v>
      </c>
      <c r="F49" s="28">
        <f t="shared" si="13"/>
        <v>71762358.36</v>
      </c>
      <c r="G49" s="28">
        <f t="shared" si="13"/>
        <v>71762358.36</v>
      </c>
      <c r="H49" s="28">
        <f t="shared" si="13"/>
        <v>71762358.36</v>
      </c>
      <c r="I49" s="28">
        <f t="shared" si="13"/>
        <v>71762358.36</v>
      </c>
      <c r="J49" s="28">
        <f t="shared" si="13"/>
        <v>71762358.36</v>
      </c>
      <c r="K49" s="28">
        <f t="shared" si="13"/>
        <v>71762358.36</v>
      </c>
      <c r="L49" s="28">
        <f t="shared" si="13"/>
        <v>71762358.36</v>
      </c>
      <c r="M49" s="28">
        <f t="shared" si="13"/>
        <v>71762358.36</v>
      </c>
      <c r="N49" s="28">
        <f t="shared" si="13"/>
        <v>71762358.36</v>
      </c>
      <c r="O49" s="28">
        <f t="shared" si="13"/>
        <v>71762358.36</v>
      </c>
      <c r="P49" s="28">
        <f t="shared" si="13"/>
        <v>71762358.36</v>
      </c>
      <c r="Q49" s="28">
        <f t="shared" si="13"/>
        <v>71762358.36</v>
      </c>
      <c r="R49" s="28">
        <f t="shared" si="13"/>
        <v>71762358.36</v>
      </c>
      <c r="S49" s="28">
        <f t="shared" si="13"/>
        <v>71762358.36</v>
      </c>
      <c r="T49" s="28">
        <f t="shared" si="13"/>
        <v>71762358.36</v>
      </c>
      <c r="U49" s="28">
        <f t="shared" si="13"/>
        <v>71762358.36</v>
      </c>
      <c r="V49" s="28">
        <f t="shared" si="13"/>
        <v>71762358.36</v>
      </c>
      <c r="W49" s="28">
        <f t="shared" si="13"/>
        <v>71762358.36</v>
      </c>
      <c r="X49" s="28">
        <f t="shared" si="13"/>
        <v>71762358.36</v>
      </c>
      <c r="Y49" s="28">
        <f t="shared" si="13"/>
        <v>71762358.36</v>
      </c>
      <c r="Z49" s="28">
        <f t="shared" si="13"/>
        <v>71762358.36</v>
      </c>
      <c r="AA49" s="28">
        <f t="shared" si="13"/>
        <v>71762358.36</v>
      </c>
      <c r="AB49" s="28">
        <f t="shared" si="13"/>
        <v>71762358.36</v>
      </c>
      <c r="AC49" s="28">
        <f t="shared" si="13"/>
        <v>71762358.36</v>
      </c>
      <c r="AD49" s="28">
        <f t="shared" si="13"/>
        <v>71762358.36</v>
      </c>
      <c r="AE49" s="28">
        <f t="shared" si="13"/>
        <v>71762358.36</v>
      </c>
      <c r="AF49" s="28">
        <f t="shared" si="13"/>
        <v>71762358.36</v>
      </c>
      <c r="AG49" s="28">
        <f t="shared" si="13"/>
        <v>71762358.36</v>
      </c>
      <c r="AH49" s="28">
        <f t="shared" si="13"/>
        <v>71762358.36</v>
      </c>
      <c r="AI49" s="28">
        <f t="shared" si="13"/>
        <v>71762358.36</v>
      </c>
      <c r="AJ49" s="28">
        <f t="shared" si="13"/>
        <v>71762358.36</v>
      </c>
      <c r="AK49" s="28">
        <f t="shared" si="13"/>
        <v>71762358.36</v>
      </c>
      <c r="AL49" s="28">
        <f t="shared" si="13"/>
        <v>71762358.36</v>
      </c>
      <c r="AM49" s="28">
        <f t="shared" si="13"/>
        <v>71762358.36</v>
      </c>
      <c r="AN49" s="28">
        <f t="shared" si="13"/>
        <v>71762358.36</v>
      </c>
      <c r="AO49" s="28">
        <f t="shared" si="13"/>
        <v>71762358.36</v>
      </c>
      <c r="AP49" s="28">
        <f t="shared" si="13"/>
        <v>71762358.36</v>
      </c>
      <c r="AQ49" s="28">
        <f t="shared" si="13"/>
        <v>71762358.36</v>
      </c>
      <c r="AR49" s="28">
        <f t="shared" si="13"/>
        <v>71762358.36</v>
      </c>
      <c r="AS49" s="28">
        <f t="shared" si="13"/>
        <v>71762358.36</v>
      </c>
      <c r="AT49" s="28">
        <f t="shared" si="13"/>
        <v>71762358.36</v>
      </c>
      <c r="AU49" s="28">
        <f t="shared" si="13"/>
        <v>71762358.36</v>
      </c>
      <c r="AV49" s="28">
        <f t="shared" si="13"/>
        <v>71762358.36</v>
      </c>
      <c r="AW49" s="28">
        <f t="shared" si="13"/>
        <v>71762358.36</v>
      </c>
      <c r="AX49" s="28">
        <f t="shared" si="13"/>
        <v>71762358.36</v>
      </c>
      <c r="AY49" s="28">
        <f t="shared" si="13"/>
        <v>71762358.36</v>
      </c>
      <c r="AZ49" s="28">
        <f t="shared" si="13"/>
        <v>71762358.36</v>
      </c>
      <c r="BA49" s="28">
        <f t="shared" si="13"/>
        <v>71762358.36</v>
      </c>
      <c r="BB49" s="28">
        <f t="shared" si="13"/>
        <v>71762358.36</v>
      </c>
      <c r="BC49" s="28">
        <f t="shared" si="13"/>
        <v>71762358.36</v>
      </c>
      <c r="BD49" s="28">
        <f t="shared" si="13"/>
        <v>71762358.36</v>
      </c>
      <c r="BE49" s="28">
        <f t="shared" si="13"/>
        <v>71762358.36</v>
      </c>
      <c r="BF49" s="28">
        <f t="shared" si="13"/>
        <v>71762358.36</v>
      </c>
      <c r="BG49" s="28">
        <f t="shared" si="13"/>
        <v>71762358.36</v>
      </c>
      <c r="BH49" s="28">
        <f t="shared" si="13"/>
        <v>71762358.36</v>
      </c>
      <c r="BI49" s="28">
        <f t="shared" si="13"/>
        <v>71762358.36</v>
      </c>
      <c r="BJ49" s="28">
        <f t="shared" si="13"/>
        <v>71762358.36</v>
      </c>
      <c r="BK49" s="28">
        <f t="shared" si="13"/>
        <v>71762358.36</v>
      </c>
      <c r="BL49" s="28">
        <f t="shared" si="13"/>
        <v>71762358.36</v>
      </c>
      <c r="BM49" s="28">
        <f t="shared" si="13"/>
        <v>71762358.36</v>
      </c>
      <c r="BN49" s="28">
        <f t="shared" si="13"/>
        <v>71762358.36</v>
      </c>
    </row>
    <row r="50" ht="15.75" customHeight="1">
      <c r="A50" s="22" t="s">
        <v>610</v>
      </c>
      <c r="B50" s="22" t="s">
        <v>611</v>
      </c>
      <c r="C50" s="28">
        <f t="shared" ref="C50:BN50" si="14">C40-C21</f>
        <v>-61877807.43</v>
      </c>
      <c r="D50" s="28">
        <f t="shared" si="14"/>
        <v>-61865535.88</v>
      </c>
      <c r="E50" s="28">
        <f t="shared" si="14"/>
        <v>408209741.7</v>
      </c>
      <c r="F50" s="28">
        <f t="shared" si="14"/>
        <v>691193562.1</v>
      </c>
      <c r="G50" s="28">
        <f t="shared" si="14"/>
        <v>880633110.6</v>
      </c>
      <c r="H50" s="28">
        <f t="shared" si="14"/>
        <v>881815497.8</v>
      </c>
      <c r="I50" s="28">
        <f t="shared" si="14"/>
        <v>882999353</v>
      </c>
      <c r="J50" s="28">
        <f t="shared" si="14"/>
        <v>884184678</v>
      </c>
      <c r="K50" s="28">
        <f t="shared" si="14"/>
        <v>885371474.5</v>
      </c>
      <c r="L50" s="28">
        <f t="shared" si="14"/>
        <v>886559744.4</v>
      </c>
      <c r="M50" s="28">
        <f t="shared" si="14"/>
        <v>887749489.5</v>
      </c>
      <c r="N50" s="28">
        <f t="shared" si="14"/>
        <v>888940711.7</v>
      </c>
      <c r="O50" s="28">
        <f t="shared" si="14"/>
        <v>890133412.7</v>
      </c>
      <c r="P50" s="28">
        <f t="shared" si="14"/>
        <v>891327594.5</v>
      </c>
      <c r="Q50" s="28">
        <f t="shared" si="14"/>
        <v>892523258.9</v>
      </c>
      <c r="R50" s="28">
        <f t="shared" si="14"/>
        <v>893720407.6</v>
      </c>
      <c r="S50" s="28">
        <f t="shared" si="14"/>
        <v>894919042.6</v>
      </c>
      <c r="T50" s="28">
        <f t="shared" si="14"/>
        <v>896119165.7</v>
      </c>
      <c r="U50" s="28">
        <f t="shared" si="14"/>
        <v>897320778.7</v>
      </c>
      <c r="V50" s="28">
        <f t="shared" si="14"/>
        <v>898523883.5</v>
      </c>
      <c r="W50" s="28">
        <f t="shared" si="14"/>
        <v>899728482</v>
      </c>
      <c r="X50" s="28">
        <f t="shared" si="14"/>
        <v>900934575.9</v>
      </c>
      <c r="Y50" s="28">
        <f t="shared" si="14"/>
        <v>902142167.2</v>
      </c>
      <c r="Z50" s="28">
        <f t="shared" si="14"/>
        <v>903351257.7</v>
      </c>
      <c r="AA50" s="28">
        <f t="shared" si="14"/>
        <v>904561849.3</v>
      </c>
      <c r="AB50" s="28">
        <f t="shared" si="14"/>
        <v>905773943.8</v>
      </c>
      <c r="AC50" s="28">
        <f t="shared" si="14"/>
        <v>906987543.1</v>
      </c>
      <c r="AD50" s="28">
        <f t="shared" si="14"/>
        <v>908202649.1</v>
      </c>
      <c r="AE50" s="28">
        <f t="shared" si="14"/>
        <v>909419263.6</v>
      </c>
      <c r="AF50" s="28">
        <f t="shared" si="14"/>
        <v>910637388.6</v>
      </c>
      <c r="AG50" s="28">
        <f t="shared" si="14"/>
        <v>911857025.8</v>
      </c>
      <c r="AH50" s="28">
        <f t="shared" si="14"/>
        <v>913078177.2</v>
      </c>
      <c r="AI50" s="28">
        <f t="shared" si="14"/>
        <v>914300844.6</v>
      </c>
      <c r="AJ50" s="28">
        <f t="shared" si="14"/>
        <v>915525029.9</v>
      </c>
      <c r="AK50" s="28">
        <f t="shared" si="14"/>
        <v>916750735.1</v>
      </c>
      <c r="AL50" s="28">
        <f t="shared" si="14"/>
        <v>917977962</v>
      </c>
      <c r="AM50" s="28">
        <f t="shared" si="14"/>
        <v>919206712.4</v>
      </c>
      <c r="AN50" s="28">
        <f t="shared" si="14"/>
        <v>920436988.3</v>
      </c>
      <c r="AO50" s="28">
        <f t="shared" si="14"/>
        <v>921668791.6</v>
      </c>
      <c r="AP50" s="28">
        <f t="shared" si="14"/>
        <v>922902124.2</v>
      </c>
      <c r="AQ50" s="28">
        <f t="shared" si="14"/>
        <v>924136988</v>
      </c>
      <c r="AR50" s="28">
        <f t="shared" si="14"/>
        <v>925373384.8</v>
      </c>
      <c r="AS50" s="28">
        <f t="shared" si="14"/>
        <v>926611316.5</v>
      </c>
      <c r="AT50" s="28">
        <f t="shared" si="14"/>
        <v>927850785.2</v>
      </c>
      <c r="AU50" s="28">
        <f t="shared" si="14"/>
        <v>929091792.6</v>
      </c>
      <c r="AV50" s="28">
        <f t="shared" si="14"/>
        <v>930334340.8</v>
      </c>
      <c r="AW50" s="28">
        <f t="shared" si="14"/>
        <v>931578431.5</v>
      </c>
      <c r="AX50" s="28">
        <f t="shared" si="14"/>
        <v>932824066.8</v>
      </c>
      <c r="AY50" s="28">
        <f t="shared" si="14"/>
        <v>934071248.5</v>
      </c>
      <c r="AZ50" s="28">
        <f t="shared" si="14"/>
        <v>935319978.5</v>
      </c>
      <c r="BA50" s="28">
        <f t="shared" si="14"/>
        <v>936570258.9</v>
      </c>
      <c r="BB50" s="28">
        <f t="shared" si="14"/>
        <v>937822091.5</v>
      </c>
      <c r="BC50" s="28">
        <f t="shared" si="14"/>
        <v>939075478.1</v>
      </c>
      <c r="BD50" s="28">
        <f t="shared" si="14"/>
        <v>940330420.9</v>
      </c>
      <c r="BE50" s="28">
        <f t="shared" si="14"/>
        <v>941586921.7</v>
      </c>
      <c r="BF50" s="28">
        <f t="shared" si="14"/>
        <v>942844982.3</v>
      </c>
      <c r="BG50" s="28">
        <f t="shared" si="14"/>
        <v>944104604.9</v>
      </c>
      <c r="BH50" s="28">
        <f t="shared" si="14"/>
        <v>945365791.2</v>
      </c>
      <c r="BI50" s="28">
        <f t="shared" si="14"/>
        <v>946628543.4</v>
      </c>
      <c r="BJ50" s="28">
        <f t="shared" si="14"/>
        <v>947892863.1</v>
      </c>
      <c r="BK50" s="28">
        <f t="shared" si="14"/>
        <v>-407677740.4</v>
      </c>
      <c r="BL50" s="28">
        <f t="shared" si="14"/>
        <v>-407677740.4</v>
      </c>
      <c r="BM50" s="28">
        <f t="shared" si="14"/>
        <v>-407677740.4</v>
      </c>
      <c r="BN50" s="28">
        <f t="shared" si="14"/>
        <v>-407677740.4</v>
      </c>
    </row>
    <row r="51" ht="15.75" customHeight="1">
      <c r="A51" s="22" t="s">
        <v>612</v>
      </c>
      <c r="B51" s="22" t="s">
        <v>613</v>
      </c>
      <c r="C51" s="28">
        <f t="shared" ref="C51:BN51" si="15">C41</f>
        <v>0</v>
      </c>
      <c r="D51" s="28">
        <f t="shared" si="15"/>
        <v>0</v>
      </c>
      <c r="E51" s="28">
        <f t="shared" si="15"/>
        <v>0</v>
      </c>
      <c r="F51" s="28">
        <f t="shared" si="15"/>
        <v>0</v>
      </c>
      <c r="G51" s="28">
        <f t="shared" si="15"/>
        <v>211495655.6</v>
      </c>
      <c r="H51" s="28">
        <f t="shared" si="15"/>
        <v>211495655.6</v>
      </c>
      <c r="I51" s="28">
        <f t="shared" si="15"/>
        <v>211495655.6</v>
      </c>
      <c r="J51" s="28">
        <f t="shared" si="15"/>
        <v>211495655.6</v>
      </c>
      <c r="K51" s="28">
        <f t="shared" si="15"/>
        <v>211495655.6</v>
      </c>
      <c r="L51" s="28">
        <f t="shared" si="15"/>
        <v>211495655.6</v>
      </c>
      <c r="M51" s="28">
        <f t="shared" si="15"/>
        <v>211495655.6</v>
      </c>
      <c r="N51" s="28">
        <f t="shared" si="15"/>
        <v>211495655.6</v>
      </c>
      <c r="O51" s="28">
        <f t="shared" si="15"/>
        <v>211495655.6</v>
      </c>
      <c r="P51" s="28">
        <f t="shared" si="15"/>
        <v>211495655.6</v>
      </c>
      <c r="Q51" s="28">
        <f t="shared" si="15"/>
        <v>211495655.6</v>
      </c>
      <c r="R51" s="28">
        <f t="shared" si="15"/>
        <v>211495655.6</v>
      </c>
      <c r="S51" s="28">
        <f t="shared" si="15"/>
        <v>211495655.6</v>
      </c>
      <c r="T51" s="28">
        <f t="shared" si="15"/>
        <v>211495655.6</v>
      </c>
      <c r="U51" s="28">
        <f t="shared" si="15"/>
        <v>211495655.6</v>
      </c>
      <c r="V51" s="28">
        <f t="shared" si="15"/>
        <v>211495655.6</v>
      </c>
      <c r="W51" s="28">
        <f t="shared" si="15"/>
        <v>211495655.6</v>
      </c>
      <c r="X51" s="28">
        <f t="shared" si="15"/>
        <v>211495655.6</v>
      </c>
      <c r="Y51" s="28">
        <f t="shared" si="15"/>
        <v>211495655.6</v>
      </c>
      <c r="Z51" s="28">
        <f t="shared" si="15"/>
        <v>211495655.6</v>
      </c>
      <c r="AA51" s="28">
        <f t="shared" si="15"/>
        <v>211495655.6</v>
      </c>
      <c r="AB51" s="28">
        <f t="shared" si="15"/>
        <v>211495655.6</v>
      </c>
      <c r="AC51" s="28">
        <f t="shared" si="15"/>
        <v>211495655.6</v>
      </c>
      <c r="AD51" s="28">
        <f t="shared" si="15"/>
        <v>211495655.6</v>
      </c>
      <c r="AE51" s="28">
        <f t="shared" si="15"/>
        <v>211495655.6</v>
      </c>
      <c r="AF51" s="28">
        <f t="shared" si="15"/>
        <v>211495655.6</v>
      </c>
      <c r="AG51" s="28">
        <f t="shared" si="15"/>
        <v>211495655.6</v>
      </c>
      <c r="AH51" s="28">
        <f t="shared" si="15"/>
        <v>211495655.6</v>
      </c>
      <c r="AI51" s="28">
        <f t="shared" si="15"/>
        <v>211495655.6</v>
      </c>
      <c r="AJ51" s="28">
        <f t="shared" si="15"/>
        <v>211495655.6</v>
      </c>
      <c r="AK51" s="28">
        <f t="shared" si="15"/>
        <v>211495655.6</v>
      </c>
      <c r="AL51" s="28">
        <f t="shared" si="15"/>
        <v>211495655.6</v>
      </c>
      <c r="AM51" s="28">
        <f t="shared" si="15"/>
        <v>211495655.6</v>
      </c>
      <c r="AN51" s="28">
        <f t="shared" si="15"/>
        <v>211495655.6</v>
      </c>
      <c r="AO51" s="28">
        <f t="shared" si="15"/>
        <v>211495655.6</v>
      </c>
      <c r="AP51" s="28">
        <f t="shared" si="15"/>
        <v>211495655.6</v>
      </c>
      <c r="AQ51" s="28">
        <f t="shared" si="15"/>
        <v>211495655.6</v>
      </c>
      <c r="AR51" s="28">
        <f t="shared" si="15"/>
        <v>211495655.6</v>
      </c>
      <c r="AS51" s="28">
        <f t="shared" si="15"/>
        <v>211495655.6</v>
      </c>
      <c r="AT51" s="28">
        <f t="shared" si="15"/>
        <v>211495655.6</v>
      </c>
      <c r="AU51" s="28">
        <f t="shared" si="15"/>
        <v>211495655.6</v>
      </c>
      <c r="AV51" s="28">
        <f t="shared" si="15"/>
        <v>211495655.6</v>
      </c>
      <c r="AW51" s="28">
        <f t="shared" si="15"/>
        <v>211495655.6</v>
      </c>
      <c r="AX51" s="28">
        <f t="shared" si="15"/>
        <v>211495655.6</v>
      </c>
      <c r="AY51" s="28">
        <f t="shared" si="15"/>
        <v>211495655.6</v>
      </c>
      <c r="AZ51" s="28">
        <f t="shared" si="15"/>
        <v>211495655.6</v>
      </c>
      <c r="BA51" s="28">
        <f t="shared" si="15"/>
        <v>211495655.6</v>
      </c>
      <c r="BB51" s="28">
        <f t="shared" si="15"/>
        <v>211495655.6</v>
      </c>
      <c r="BC51" s="28">
        <f t="shared" si="15"/>
        <v>211495655.6</v>
      </c>
      <c r="BD51" s="28">
        <f t="shared" si="15"/>
        <v>211495655.6</v>
      </c>
      <c r="BE51" s="28">
        <f t="shared" si="15"/>
        <v>211495655.6</v>
      </c>
      <c r="BF51" s="28">
        <f t="shared" si="15"/>
        <v>211495655.6</v>
      </c>
      <c r="BG51" s="28">
        <f t="shared" si="15"/>
        <v>211495655.6</v>
      </c>
      <c r="BH51" s="28">
        <f t="shared" si="15"/>
        <v>211495655.6</v>
      </c>
      <c r="BI51" s="28">
        <f t="shared" si="15"/>
        <v>211495655.6</v>
      </c>
      <c r="BJ51" s="28">
        <f t="shared" si="15"/>
        <v>211495655.6</v>
      </c>
      <c r="BK51" s="28">
        <f t="shared" si="15"/>
        <v>211495655.6</v>
      </c>
      <c r="BL51" s="28">
        <f t="shared" si="15"/>
        <v>211495655.6</v>
      </c>
      <c r="BM51" s="28">
        <f t="shared" si="15"/>
        <v>211495655.6</v>
      </c>
      <c r="BN51" s="28">
        <f t="shared" si="15"/>
        <v>211495655.6</v>
      </c>
    </row>
    <row r="52" ht="15.75" customHeight="1">
      <c r="A52" s="22" t="s">
        <v>614</v>
      </c>
      <c r="B52" s="22" t="s">
        <v>615</v>
      </c>
      <c r="C52" s="28">
        <f t="shared" ref="C52:BN52" si="16">C50-C51</f>
        <v>-61877807.43</v>
      </c>
      <c r="D52" s="28">
        <f t="shared" si="16"/>
        <v>-61865535.88</v>
      </c>
      <c r="E52" s="28">
        <f t="shared" si="16"/>
        <v>408209741.7</v>
      </c>
      <c r="F52" s="28">
        <f t="shared" si="16"/>
        <v>691193562.1</v>
      </c>
      <c r="G52" s="28">
        <f t="shared" si="16"/>
        <v>669137455</v>
      </c>
      <c r="H52" s="28">
        <f t="shared" si="16"/>
        <v>670319842.3</v>
      </c>
      <c r="I52" s="28">
        <f t="shared" si="16"/>
        <v>671503697.5</v>
      </c>
      <c r="J52" s="28">
        <f t="shared" si="16"/>
        <v>672689022.4</v>
      </c>
      <c r="K52" s="28">
        <f t="shared" si="16"/>
        <v>673875818.9</v>
      </c>
      <c r="L52" s="28">
        <f t="shared" si="16"/>
        <v>675064088.8</v>
      </c>
      <c r="M52" s="28">
        <f t="shared" si="16"/>
        <v>676253833.9</v>
      </c>
      <c r="N52" s="28">
        <f t="shared" si="16"/>
        <v>677445056.1</v>
      </c>
      <c r="O52" s="28">
        <f t="shared" si="16"/>
        <v>678637757.2</v>
      </c>
      <c r="P52" s="28">
        <f t="shared" si="16"/>
        <v>679831938.9</v>
      </c>
      <c r="Q52" s="28">
        <f t="shared" si="16"/>
        <v>681027603.3</v>
      </c>
      <c r="R52" s="28">
        <f t="shared" si="16"/>
        <v>682224752</v>
      </c>
      <c r="S52" s="28">
        <f t="shared" si="16"/>
        <v>683423387</v>
      </c>
      <c r="T52" s="28">
        <f t="shared" si="16"/>
        <v>684623510.1</v>
      </c>
      <c r="U52" s="28">
        <f t="shared" si="16"/>
        <v>685825123.1</v>
      </c>
      <c r="V52" s="28">
        <f t="shared" si="16"/>
        <v>687028228</v>
      </c>
      <c r="W52" s="28">
        <f t="shared" si="16"/>
        <v>688232826.4</v>
      </c>
      <c r="X52" s="28">
        <f t="shared" si="16"/>
        <v>689438920.4</v>
      </c>
      <c r="Y52" s="28">
        <f t="shared" si="16"/>
        <v>690646511.6</v>
      </c>
      <c r="Z52" s="28">
        <f t="shared" si="16"/>
        <v>691855602.2</v>
      </c>
      <c r="AA52" s="28">
        <f t="shared" si="16"/>
        <v>693066193.7</v>
      </c>
      <c r="AB52" s="28">
        <f t="shared" si="16"/>
        <v>694278288.2</v>
      </c>
      <c r="AC52" s="28">
        <f t="shared" si="16"/>
        <v>695491887.6</v>
      </c>
      <c r="AD52" s="28">
        <f t="shared" si="16"/>
        <v>696706993.5</v>
      </c>
      <c r="AE52" s="28">
        <f t="shared" si="16"/>
        <v>697923608.1</v>
      </c>
      <c r="AF52" s="28">
        <f t="shared" si="16"/>
        <v>699141733</v>
      </c>
      <c r="AG52" s="28">
        <f t="shared" si="16"/>
        <v>700361370.2</v>
      </c>
      <c r="AH52" s="28">
        <f t="shared" si="16"/>
        <v>701582521.6</v>
      </c>
      <c r="AI52" s="28">
        <f t="shared" si="16"/>
        <v>702805189</v>
      </c>
      <c r="AJ52" s="28">
        <f t="shared" si="16"/>
        <v>704029374.4</v>
      </c>
      <c r="AK52" s="28">
        <f t="shared" si="16"/>
        <v>705255079.5</v>
      </c>
      <c r="AL52" s="28">
        <f t="shared" si="16"/>
        <v>706482306.4</v>
      </c>
      <c r="AM52" s="28">
        <f t="shared" si="16"/>
        <v>707711056.8</v>
      </c>
      <c r="AN52" s="28">
        <f t="shared" si="16"/>
        <v>708941332.8</v>
      </c>
      <c r="AO52" s="28">
        <f t="shared" si="16"/>
        <v>710173136.1</v>
      </c>
      <c r="AP52" s="28">
        <f t="shared" si="16"/>
        <v>711406468.6</v>
      </c>
      <c r="AQ52" s="28">
        <f t="shared" si="16"/>
        <v>712641332.4</v>
      </c>
      <c r="AR52" s="28">
        <f t="shared" si="16"/>
        <v>713877729.2</v>
      </c>
      <c r="AS52" s="28">
        <f t="shared" si="16"/>
        <v>715115661</v>
      </c>
      <c r="AT52" s="28">
        <f t="shared" si="16"/>
        <v>716355129.6</v>
      </c>
      <c r="AU52" s="28">
        <f t="shared" si="16"/>
        <v>717596137.1</v>
      </c>
      <c r="AV52" s="28">
        <f t="shared" si="16"/>
        <v>718838685.2</v>
      </c>
      <c r="AW52" s="28">
        <f t="shared" si="16"/>
        <v>720082775.9</v>
      </c>
      <c r="AX52" s="28">
        <f t="shared" si="16"/>
        <v>721328411.2</v>
      </c>
      <c r="AY52" s="28">
        <f t="shared" si="16"/>
        <v>722575592.9</v>
      </c>
      <c r="AZ52" s="28">
        <f t="shared" si="16"/>
        <v>723824323</v>
      </c>
      <c r="BA52" s="28">
        <f t="shared" si="16"/>
        <v>725074603.3</v>
      </c>
      <c r="BB52" s="28">
        <f t="shared" si="16"/>
        <v>726326435.9</v>
      </c>
      <c r="BC52" s="28">
        <f t="shared" si="16"/>
        <v>727579822.6</v>
      </c>
      <c r="BD52" s="28">
        <f t="shared" si="16"/>
        <v>728834765.3</v>
      </c>
      <c r="BE52" s="28">
        <f t="shared" si="16"/>
        <v>730091266.1</v>
      </c>
      <c r="BF52" s="28">
        <f t="shared" si="16"/>
        <v>731349326.8</v>
      </c>
      <c r="BG52" s="28">
        <f t="shared" si="16"/>
        <v>732608949.3</v>
      </c>
      <c r="BH52" s="28">
        <f t="shared" si="16"/>
        <v>733870135.7</v>
      </c>
      <c r="BI52" s="28">
        <f t="shared" si="16"/>
        <v>735132887.8</v>
      </c>
      <c r="BJ52" s="28">
        <f t="shared" si="16"/>
        <v>736397207.6</v>
      </c>
      <c r="BK52" s="28">
        <f t="shared" si="16"/>
        <v>-619173395.9</v>
      </c>
      <c r="BL52" s="28">
        <f t="shared" si="16"/>
        <v>-619173395.9</v>
      </c>
      <c r="BM52" s="28">
        <f t="shared" si="16"/>
        <v>-619173395.9</v>
      </c>
      <c r="BN52" s="28">
        <f t="shared" si="16"/>
        <v>-619173395.9</v>
      </c>
    </row>
    <row r="53" ht="15.75" customHeight="1">
      <c r="A53" s="22" t="s">
        <v>616</v>
      </c>
      <c r="B53" s="22" t="s">
        <v>617</v>
      </c>
      <c r="C53" s="28">
        <f>MAX(0,C52*Supuestos!$B$20)</f>
        <v>0</v>
      </c>
      <c r="D53" s="28">
        <f>MAX(0,D52*Supuestos!$B$20)</f>
        <v>0</v>
      </c>
      <c r="E53" s="28">
        <f>MAX(0,E52*Supuestos!$B$20)</f>
        <v>142873409.6</v>
      </c>
      <c r="F53" s="28">
        <f>MAX(0,F52*Supuestos!$B$20)</f>
        <v>241917746.7</v>
      </c>
      <c r="G53" s="28">
        <f>MAX(0,G52*Supuestos!$B$20)</f>
        <v>234198109.3</v>
      </c>
      <c r="H53" s="28">
        <f>MAX(0,H52*Supuestos!$B$20)</f>
        <v>234611944.8</v>
      </c>
      <c r="I53" s="28">
        <f>MAX(0,I52*Supuestos!$B$20)</f>
        <v>235026294.1</v>
      </c>
      <c r="J53" s="28">
        <f>MAX(0,J52*Supuestos!$B$20)</f>
        <v>235441157.8</v>
      </c>
      <c r="K53" s="28">
        <f>MAX(0,K52*Supuestos!$B$20)</f>
        <v>235856536.6</v>
      </c>
      <c r="L53" s="28">
        <f>MAX(0,L52*Supuestos!$B$20)</f>
        <v>236272431.1</v>
      </c>
      <c r="M53" s="28">
        <f>MAX(0,M52*Supuestos!$B$20)</f>
        <v>236688841.9</v>
      </c>
      <c r="N53" s="28">
        <f>MAX(0,N52*Supuestos!$B$20)</f>
        <v>237105769.6</v>
      </c>
      <c r="O53" s="28">
        <f>MAX(0,O52*Supuestos!$B$20)</f>
        <v>237523215</v>
      </c>
      <c r="P53" s="28">
        <f>MAX(0,P52*Supuestos!$B$20)</f>
        <v>237941178.6</v>
      </c>
      <c r="Q53" s="28">
        <f>MAX(0,Q52*Supuestos!$B$20)</f>
        <v>238359661.2</v>
      </c>
      <c r="R53" s="28">
        <f>MAX(0,R52*Supuestos!$B$20)</f>
        <v>238778663.2</v>
      </c>
      <c r="S53" s="28">
        <f>MAX(0,S52*Supuestos!$B$20)</f>
        <v>239198185.5</v>
      </c>
      <c r="T53" s="28">
        <f>MAX(0,T52*Supuestos!$B$20)</f>
        <v>239618228.5</v>
      </c>
      <c r="U53" s="28">
        <f>MAX(0,U52*Supuestos!$B$20)</f>
        <v>240038793.1</v>
      </c>
      <c r="V53" s="28">
        <f>MAX(0,V52*Supuestos!$B$20)</f>
        <v>240459879.8</v>
      </c>
      <c r="W53" s="28">
        <f>MAX(0,W52*Supuestos!$B$20)</f>
        <v>240881489.2</v>
      </c>
      <c r="X53" s="28">
        <f>MAX(0,X52*Supuestos!$B$20)</f>
        <v>241303622.1</v>
      </c>
      <c r="Y53" s="28">
        <f>MAX(0,Y52*Supuestos!$B$20)</f>
        <v>241726279.1</v>
      </c>
      <c r="Z53" s="28">
        <f>MAX(0,Z52*Supuestos!$B$20)</f>
        <v>242149460.8</v>
      </c>
      <c r="AA53" s="28">
        <f>MAX(0,AA52*Supuestos!$B$20)</f>
        <v>242573167.8</v>
      </c>
      <c r="AB53" s="28">
        <f>MAX(0,AB52*Supuestos!$B$20)</f>
        <v>242997400.9</v>
      </c>
      <c r="AC53" s="28">
        <f>MAX(0,AC52*Supuestos!$B$20)</f>
        <v>243422160.6</v>
      </c>
      <c r="AD53" s="28">
        <f>MAX(0,AD52*Supuestos!$B$20)</f>
        <v>243847447.7</v>
      </c>
      <c r="AE53" s="28">
        <f>MAX(0,AE52*Supuestos!$B$20)</f>
        <v>244273262.8</v>
      </c>
      <c r="AF53" s="28">
        <f>MAX(0,AF52*Supuestos!$B$20)</f>
        <v>244699606.5</v>
      </c>
      <c r="AG53" s="28">
        <f>MAX(0,AG52*Supuestos!$B$20)</f>
        <v>245126479.6</v>
      </c>
      <c r="AH53" s="28">
        <f>MAX(0,AH52*Supuestos!$B$20)</f>
        <v>245553882.6</v>
      </c>
      <c r="AI53" s="28">
        <f>MAX(0,AI52*Supuestos!$B$20)</f>
        <v>245981816.2</v>
      </c>
      <c r="AJ53" s="28">
        <f>MAX(0,AJ52*Supuestos!$B$20)</f>
        <v>246410281</v>
      </c>
      <c r="AK53" s="28">
        <f>MAX(0,AK52*Supuestos!$B$20)</f>
        <v>246839277.8</v>
      </c>
      <c r="AL53" s="28">
        <f>MAX(0,AL52*Supuestos!$B$20)</f>
        <v>247268807.2</v>
      </c>
      <c r="AM53" s="28">
        <f>MAX(0,AM52*Supuestos!$B$20)</f>
        <v>247698869.9</v>
      </c>
      <c r="AN53" s="28">
        <f>MAX(0,AN52*Supuestos!$B$20)</f>
        <v>248129466.5</v>
      </c>
      <c r="AO53" s="28">
        <f>MAX(0,AO52*Supuestos!$B$20)</f>
        <v>248560597.6</v>
      </c>
      <c r="AP53" s="28">
        <f>MAX(0,AP52*Supuestos!$B$20)</f>
        <v>248992264</v>
      </c>
      <c r="AQ53" s="28">
        <f>MAX(0,AQ52*Supuestos!$B$20)</f>
        <v>249424466.3</v>
      </c>
      <c r="AR53" s="28">
        <f>MAX(0,AR52*Supuestos!$B$20)</f>
        <v>249857205.2</v>
      </c>
      <c r="AS53" s="28">
        <f>MAX(0,AS52*Supuestos!$B$20)</f>
        <v>250290481.3</v>
      </c>
      <c r="AT53" s="28">
        <f>MAX(0,AT52*Supuestos!$B$20)</f>
        <v>250724295.4</v>
      </c>
      <c r="AU53" s="28">
        <f>MAX(0,AU52*Supuestos!$B$20)</f>
        <v>251158648</v>
      </c>
      <c r="AV53" s="28">
        <f>MAX(0,AV52*Supuestos!$B$20)</f>
        <v>251593539.8</v>
      </c>
      <c r="AW53" s="28">
        <f>MAX(0,AW52*Supuestos!$B$20)</f>
        <v>252028971.6</v>
      </c>
      <c r="AX53" s="28">
        <f>MAX(0,AX52*Supuestos!$B$20)</f>
        <v>252464943.9</v>
      </c>
      <c r="AY53" s="28">
        <f>MAX(0,AY52*Supuestos!$B$20)</f>
        <v>252901457.5</v>
      </c>
      <c r="AZ53" s="28">
        <f>MAX(0,AZ52*Supuestos!$B$20)</f>
        <v>253338513</v>
      </c>
      <c r="BA53" s="28">
        <f>MAX(0,BA52*Supuestos!$B$20)</f>
        <v>253776111.2</v>
      </c>
      <c r="BB53" s="28">
        <f>MAX(0,BB52*Supuestos!$B$20)</f>
        <v>254214252.6</v>
      </c>
      <c r="BC53" s="28">
        <f>MAX(0,BC52*Supuestos!$B$20)</f>
        <v>254652937.9</v>
      </c>
      <c r="BD53" s="28">
        <f>MAX(0,BD52*Supuestos!$B$20)</f>
        <v>255092167.9</v>
      </c>
      <c r="BE53" s="28">
        <f>MAX(0,BE52*Supuestos!$B$20)</f>
        <v>255531943.1</v>
      </c>
      <c r="BF53" s="28">
        <f>MAX(0,BF52*Supuestos!$B$20)</f>
        <v>255972264.4</v>
      </c>
      <c r="BG53" s="28">
        <f>MAX(0,BG52*Supuestos!$B$20)</f>
        <v>256413132.3</v>
      </c>
      <c r="BH53" s="28">
        <f>MAX(0,BH52*Supuestos!$B$20)</f>
        <v>256854547.5</v>
      </c>
      <c r="BI53" s="28">
        <f>MAX(0,BI52*Supuestos!$B$20)</f>
        <v>257296510.7</v>
      </c>
      <c r="BJ53" s="28">
        <f>MAX(0,BJ52*Supuestos!$B$20)</f>
        <v>257739022.7</v>
      </c>
      <c r="BK53" s="28">
        <f>MAX(0,BK52*Supuestos!$B$20)</f>
        <v>0</v>
      </c>
      <c r="BL53" s="28">
        <f>MAX(0,BL52*Supuestos!$B$20)</f>
        <v>0</v>
      </c>
      <c r="BM53" s="28">
        <f>MAX(0,BM52*Supuestos!$B$20)</f>
        <v>0</v>
      </c>
      <c r="BN53" s="28">
        <f>MAX(0,BN52*Supuestos!$B$20)</f>
        <v>0</v>
      </c>
    </row>
    <row r="54" ht="15.75" customHeight="1">
      <c r="A54" s="22" t="s">
        <v>618</v>
      </c>
      <c r="B54" s="22" t="s">
        <v>619</v>
      </c>
      <c r="C54" s="28">
        <f t="shared" ref="C54:BN54" si="17">C52-C53</f>
        <v>-61877807.43</v>
      </c>
      <c r="D54" s="28">
        <f t="shared" si="17"/>
        <v>-61865535.88</v>
      </c>
      <c r="E54" s="28">
        <f t="shared" si="17"/>
        <v>265336332.1</v>
      </c>
      <c r="F54" s="28">
        <f t="shared" si="17"/>
        <v>449275815.4</v>
      </c>
      <c r="G54" s="28">
        <f t="shared" si="17"/>
        <v>434939345.8</v>
      </c>
      <c r="H54" s="28">
        <f t="shared" si="17"/>
        <v>435707897.5</v>
      </c>
      <c r="I54" s="28">
        <f t="shared" si="17"/>
        <v>436477403.4</v>
      </c>
      <c r="J54" s="28">
        <f t="shared" si="17"/>
        <v>437247864.6</v>
      </c>
      <c r="K54" s="28">
        <f t="shared" si="17"/>
        <v>438019282.3</v>
      </c>
      <c r="L54" s="28">
        <f t="shared" si="17"/>
        <v>438791657.7</v>
      </c>
      <c r="M54" s="28">
        <f t="shared" si="17"/>
        <v>439564992.1</v>
      </c>
      <c r="N54" s="28">
        <f t="shared" si="17"/>
        <v>440339286.5</v>
      </c>
      <c r="O54" s="28">
        <f t="shared" si="17"/>
        <v>441114542.2</v>
      </c>
      <c r="P54" s="28">
        <f t="shared" si="17"/>
        <v>441890760.3</v>
      </c>
      <c r="Q54" s="28">
        <f t="shared" si="17"/>
        <v>442667942.1</v>
      </c>
      <c r="R54" s="28">
        <f t="shared" si="17"/>
        <v>443446088.8</v>
      </c>
      <c r="S54" s="28">
        <f t="shared" si="17"/>
        <v>444225201.6</v>
      </c>
      <c r="T54" s="28">
        <f t="shared" si="17"/>
        <v>445005281.6</v>
      </c>
      <c r="U54" s="28">
        <f t="shared" si="17"/>
        <v>445786330</v>
      </c>
      <c r="V54" s="28">
        <f t="shared" si="17"/>
        <v>446568348.2</v>
      </c>
      <c r="W54" s="28">
        <f t="shared" si="17"/>
        <v>447351337.2</v>
      </c>
      <c r="X54" s="28">
        <f t="shared" si="17"/>
        <v>448135298.2</v>
      </c>
      <c r="Y54" s="28">
        <f t="shared" si="17"/>
        <v>448920232.6</v>
      </c>
      <c r="Z54" s="28">
        <f t="shared" si="17"/>
        <v>449706141.4</v>
      </c>
      <c r="AA54" s="28">
        <f t="shared" si="17"/>
        <v>450493025.9</v>
      </c>
      <c r="AB54" s="28">
        <f t="shared" si="17"/>
        <v>451280887.4</v>
      </c>
      <c r="AC54" s="28">
        <f t="shared" si="17"/>
        <v>452069726.9</v>
      </c>
      <c r="AD54" s="28">
        <f t="shared" si="17"/>
        <v>452859545.8</v>
      </c>
      <c r="AE54" s="28">
        <f t="shared" si="17"/>
        <v>453650345.2</v>
      </c>
      <c r="AF54" s="28">
        <f t="shared" si="17"/>
        <v>454442126.4</v>
      </c>
      <c r="AG54" s="28">
        <f t="shared" si="17"/>
        <v>455234890.6</v>
      </c>
      <c r="AH54" s="28">
        <f t="shared" si="17"/>
        <v>456028639</v>
      </c>
      <c r="AI54" s="28">
        <f t="shared" si="17"/>
        <v>456823372.9</v>
      </c>
      <c r="AJ54" s="28">
        <f t="shared" si="17"/>
        <v>457619093.3</v>
      </c>
      <c r="AK54" s="28">
        <f t="shared" si="17"/>
        <v>458415801.7</v>
      </c>
      <c r="AL54" s="28">
        <f t="shared" si="17"/>
        <v>459213499.2</v>
      </c>
      <c r="AM54" s="28">
        <f t="shared" si="17"/>
        <v>460012186.9</v>
      </c>
      <c r="AN54" s="28">
        <f t="shared" si="17"/>
        <v>460811866.3</v>
      </c>
      <c r="AO54" s="28">
        <f t="shared" si="17"/>
        <v>461612538.4</v>
      </c>
      <c r="AP54" s="28">
        <f t="shared" si="17"/>
        <v>462414204.6</v>
      </c>
      <c r="AQ54" s="28">
        <f t="shared" si="17"/>
        <v>463216866</v>
      </c>
      <c r="AR54" s="28">
        <f t="shared" si="17"/>
        <v>464020524</v>
      </c>
      <c r="AS54" s="28">
        <f t="shared" si="17"/>
        <v>464825179.6</v>
      </c>
      <c r="AT54" s="28">
        <f t="shared" si="17"/>
        <v>465630834.3</v>
      </c>
      <c r="AU54" s="28">
        <f t="shared" si="17"/>
        <v>466437489.1</v>
      </c>
      <c r="AV54" s="28">
        <f t="shared" si="17"/>
        <v>467245145.4</v>
      </c>
      <c r="AW54" s="28">
        <f t="shared" si="17"/>
        <v>468053804.4</v>
      </c>
      <c r="AX54" s="28">
        <f t="shared" si="17"/>
        <v>468863467.3</v>
      </c>
      <c r="AY54" s="28">
        <f t="shared" si="17"/>
        <v>469674135.4</v>
      </c>
      <c r="AZ54" s="28">
        <f t="shared" si="17"/>
        <v>470485809.9</v>
      </c>
      <c r="BA54" s="28">
        <f t="shared" si="17"/>
        <v>471298492.2</v>
      </c>
      <c r="BB54" s="28">
        <f t="shared" si="17"/>
        <v>472112183.3</v>
      </c>
      <c r="BC54" s="28">
        <f t="shared" si="17"/>
        <v>472926884.7</v>
      </c>
      <c r="BD54" s="28">
        <f t="shared" si="17"/>
        <v>473742597.5</v>
      </c>
      <c r="BE54" s="28">
        <f t="shared" si="17"/>
        <v>474559323</v>
      </c>
      <c r="BF54" s="28">
        <f t="shared" si="17"/>
        <v>475377062.4</v>
      </c>
      <c r="BG54" s="28">
        <f t="shared" si="17"/>
        <v>476195817.1</v>
      </c>
      <c r="BH54" s="28">
        <f t="shared" si="17"/>
        <v>477015588.2</v>
      </c>
      <c r="BI54" s="28">
        <f t="shared" si="17"/>
        <v>477836377.1</v>
      </c>
      <c r="BJ54" s="28">
        <f t="shared" si="17"/>
        <v>478658184.9</v>
      </c>
      <c r="BK54" s="28">
        <f t="shared" si="17"/>
        <v>-619173395.9</v>
      </c>
      <c r="BL54" s="28">
        <f t="shared" si="17"/>
        <v>-619173395.9</v>
      </c>
      <c r="BM54" s="28">
        <f t="shared" si="17"/>
        <v>-619173395.9</v>
      </c>
      <c r="BN54" s="28">
        <f t="shared" si="17"/>
        <v>-619173395.9</v>
      </c>
    </row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">
    <mergeCell ref="A1:J1"/>
  </mergeCells>
  <printOptions/>
  <pageMargins bottom="0.75" footer="0.0" header="0.0" left="0.7" right="0.7" top="0.75"/>
  <pageSetup orientation="landscape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8.0"/>
    <col customWidth="1" min="2" max="2" width="30.0"/>
    <col customWidth="1" min="3" max="62" width="8.63"/>
  </cols>
  <sheetData>
    <row r="1">
      <c r="A1" s="25" t="s">
        <v>620</v>
      </c>
    </row>
    <row r="3">
      <c r="C3" s="30">
        <v>46113.0</v>
      </c>
      <c r="D3" s="30">
        <v>46143.0</v>
      </c>
      <c r="E3" s="30">
        <v>46174.0</v>
      </c>
      <c r="F3" s="30">
        <v>46204.0</v>
      </c>
      <c r="G3" s="30">
        <v>46235.0</v>
      </c>
      <c r="H3" s="30">
        <v>46266.0</v>
      </c>
      <c r="I3" s="30">
        <v>46296.0</v>
      </c>
      <c r="J3" s="30">
        <v>46327.0</v>
      </c>
      <c r="K3" s="30">
        <v>46357.0</v>
      </c>
      <c r="L3" s="30">
        <v>46388.0</v>
      </c>
      <c r="M3" s="30">
        <v>46419.0</v>
      </c>
      <c r="N3" s="30">
        <v>46447.0</v>
      </c>
      <c r="O3" s="30">
        <v>46478.0</v>
      </c>
      <c r="P3" s="30">
        <v>46508.0</v>
      </c>
      <c r="Q3" s="30">
        <v>46539.0</v>
      </c>
      <c r="R3" s="30">
        <v>46569.0</v>
      </c>
      <c r="S3" s="30">
        <v>46600.0</v>
      </c>
      <c r="T3" s="30">
        <v>46631.0</v>
      </c>
      <c r="U3" s="30">
        <v>46661.0</v>
      </c>
      <c r="V3" s="30">
        <v>46692.0</v>
      </c>
      <c r="W3" s="30">
        <v>46722.0</v>
      </c>
      <c r="X3" s="30">
        <v>46753.0</v>
      </c>
      <c r="Y3" s="30">
        <v>46784.0</v>
      </c>
      <c r="Z3" s="30">
        <v>46813.0</v>
      </c>
      <c r="AA3" s="30">
        <v>46844.0</v>
      </c>
      <c r="AB3" s="30">
        <v>46874.0</v>
      </c>
      <c r="AC3" s="30">
        <v>46905.0</v>
      </c>
      <c r="AD3" s="30">
        <v>46935.0</v>
      </c>
      <c r="AE3" s="30">
        <v>46966.0</v>
      </c>
      <c r="AF3" s="30">
        <v>46997.0</v>
      </c>
      <c r="AG3" s="30">
        <v>47027.0</v>
      </c>
      <c r="AH3" s="30">
        <v>47058.0</v>
      </c>
      <c r="AI3" s="30">
        <v>47088.0</v>
      </c>
      <c r="AJ3" s="30">
        <v>47119.0</v>
      </c>
      <c r="AK3" s="30">
        <v>47150.0</v>
      </c>
      <c r="AL3" s="30">
        <v>47178.0</v>
      </c>
      <c r="AM3" s="30">
        <v>47209.0</v>
      </c>
      <c r="AN3" s="30">
        <v>47239.0</v>
      </c>
      <c r="AO3" s="30">
        <v>47270.0</v>
      </c>
      <c r="AP3" s="30">
        <v>47300.0</v>
      </c>
      <c r="AQ3" s="30">
        <v>47331.0</v>
      </c>
      <c r="AR3" s="30">
        <v>47362.0</v>
      </c>
      <c r="AS3" s="30">
        <v>47392.0</v>
      </c>
      <c r="AT3" s="30">
        <v>47423.0</v>
      </c>
      <c r="AU3" s="30">
        <v>47453.0</v>
      </c>
      <c r="AV3" s="30">
        <v>47484.0</v>
      </c>
      <c r="AW3" s="30">
        <v>47515.0</v>
      </c>
      <c r="AX3" s="30">
        <v>47543.0</v>
      </c>
      <c r="AY3" s="30">
        <v>47574.0</v>
      </c>
      <c r="AZ3" s="30">
        <v>47604.0</v>
      </c>
      <c r="BA3" s="30">
        <v>47635.0</v>
      </c>
      <c r="BB3" s="30">
        <v>47665.0</v>
      </c>
      <c r="BC3" s="30">
        <v>47696.0</v>
      </c>
      <c r="BD3" s="30">
        <v>47727.0</v>
      </c>
      <c r="BE3" s="30">
        <v>47757.0</v>
      </c>
      <c r="BF3" s="30">
        <v>47788.0</v>
      </c>
      <c r="BG3" s="30">
        <v>47818.0</v>
      </c>
      <c r="BH3" s="30">
        <v>47849.0</v>
      </c>
      <c r="BI3" s="30">
        <v>47880.0</v>
      </c>
      <c r="BJ3" s="30">
        <v>47908.0</v>
      </c>
    </row>
    <row r="4">
      <c r="A4" s="4" t="s">
        <v>166</v>
      </c>
      <c r="B4" s="4" t="s">
        <v>167</v>
      </c>
      <c r="C4" s="22">
        <v>1.0</v>
      </c>
      <c r="D4" s="22">
        <v>2.0</v>
      </c>
      <c r="E4" s="22">
        <v>3.0</v>
      </c>
      <c r="F4" s="22">
        <v>4.0</v>
      </c>
      <c r="G4" s="22">
        <v>5.0</v>
      </c>
      <c r="H4" s="22">
        <v>6.0</v>
      </c>
      <c r="I4" s="22">
        <v>7.0</v>
      </c>
      <c r="J4" s="22">
        <v>8.0</v>
      </c>
      <c r="K4" s="22">
        <v>9.0</v>
      </c>
      <c r="L4" s="22">
        <v>10.0</v>
      </c>
      <c r="M4" s="22">
        <v>11.0</v>
      </c>
      <c r="N4" s="22">
        <v>12.0</v>
      </c>
      <c r="O4" s="22">
        <v>13.0</v>
      </c>
      <c r="P4" s="22">
        <v>14.0</v>
      </c>
      <c r="Q4" s="22">
        <v>15.0</v>
      </c>
      <c r="R4" s="22">
        <v>16.0</v>
      </c>
      <c r="S4" s="22">
        <v>17.0</v>
      </c>
      <c r="T4" s="22">
        <v>18.0</v>
      </c>
      <c r="U4" s="22">
        <v>19.0</v>
      </c>
      <c r="V4" s="22">
        <v>20.0</v>
      </c>
      <c r="W4" s="22">
        <v>21.0</v>
      </c>
      <c r="X4" s="22">
        <v>22.0</v>
      </c>
      <c r="Y4" s="22">
        <v>23.0</v>
      </c>
      <c r="Z4" s="22">
        <v>24.0</v>
      </c>
      <c r="AA4" s="22">
        <v>25.0</v>
      </c>
      <c r="AB4" s="22">
        <v>26.0</v>
      </c>
      <c r="AC4" s="22">
        <v>27.0</v>
      </c>
      <c r="AD4" s="22">
        <v>28.0</v>
      </c>
      <c r="AE4" s="22">
        <v>29.0</v>
      </c>
      <c r="AF4" s="22">
        <v>30.0</v>
      </c>
      <c r="AG4" s="22">
        <v>31.0</v>
      </c>
      <c r="AH4" s="22">
        <v>32.0</v>
      </c>
      <c r="AI4" s="22">
        <v>33.0</v>
      </c>
      <c r="AJ4" s="22">
        <v>34.0</v>
      </c>
      <c r="AK4" s="22">
        <v>35.0</v>
      </c>
      <c r="AL4" s="22">
        <v>36.0</v>
      </c>
      <c r="AM4" s="22">
        <v>37.0</v>
      </c>
      <c r="AN4" s="22">
        <v>38.0</v>
      </c>
      <c r="AO4" s="22">
        <v>39.0</v>
      </c>
      <c r="AP4" s="22">
        <v>40.0</v>
      </c>
      <c r="AQ4" s="22">
        <v>41.0</v>
      </c>
      <c r="AR4" s="22">
        <v>42.0</v>
      </c>
      <c r="AS4" s="22">
        <v>43.0</v>
      </c>
      <c r="AT4" s="22">
        <v>44.0</v>
      </c>
      <c r="AU4" s="22">
        <v>45.0</v>
      </c>
      <c r="AV4" s="22">
        <v>46.0</v>
      </c>
      <c r="AW4" s="22">
        <v>47.0</v>
      </c>
      <c r="AX4" s="22">
        <v>48.0</v>
      </c>
      <c r="AY4" s="22">
        <v>49.0</v>
      </c>
      <c r="AZ4" s="22">
        <v>50.0</v>
      </c>
      <c r="BA4" s="22">
        <v>51.0</v>
      </c>
      <c r="BB4" s="22">
        <v>52.0</v>
      </c>
      <c r="BC4" s="22">
        <v>53.0</v>
      </c>
      <c r="BD4" s="22">
        <v>54.0</v>
      </c>
      <c r="BE4" s="22">
        <v>55.0</v>
      </c>
      <c r="BF4" s="22">
        <v>56.0</v>
      </c>
      <c r="BG4" s="22">
        <v>57.0</v>
      </c>
      <c r="BH4" s="22">
        <v>58.0</v>
      </c>
      <c r="BI4" s="22">
        <v>59.0</v>
      </c>
      <c r="BJ4" s="22">
        <v>60.0</v>
      </c>
    </row>
    <row r="5">
      <c r="A5" s="22" t="s">
        <v>497</v>
      </c>
      <c r="B5" s="22" t="s">
        <v>611</v>
      </c>
      <c r="C5" s="28">
        <f>ER_Proyecto!C50</f>
        <v>-61877807.43</v>
      </c>
      <c r="D5" s="28">
        <f>ER_Proyecto!D50</f>
        <v>-61865535.88</v>
      </c>
      <c r="E5" s="28">
        <f>ER_Proyecto!E50</f>
        <v>408209741.7</v>
      </c>
      <c r="F5" s="28">
        <f>ER_Proyecto!F50</f>
        <v>691193562.1</v>
      </c>
      <c r="G5" s="28">
        <f>ER_Proyecto!G50</f>
        <v>880633110.6</v>
      </c>
      <c r="H5" s="28">
        <f>ER_Proyecto!H50</f>
        <v>881815497.8</v>
      </c>
      <c r="I5" s="28">
        <f>ER_Proyecto!I50</f>
        <v>882999353</v>
      </c>
      <c r="J5" s="28">
        <f>ER_Proyecto!J50</f>
        <v>884184678</v>
      </c>
      <c r="K5" s="28">
        <f>ER_Proyecto!K50</f>
        <v>885371474.5</v>
      </c>
      <c r="L5" s="28">
        <f>ER_Proyecto!L50</f>
        <v>886559744.4</v>
      </c>
      <c r="M5" s="28">
        <f>ER_Proyecto!M50</f>
        <v>887749489.5</v>
      </c>
      <c r="N5" s="28">
        <f>ER_Proyecto!N50</f>
        <v>888940711.7</v>
      </c>
      <c r="O5" s="28">
        <f>ER_Proyecto!O50</f>
        <v>890133412.7</v>
      </c>
      <c r="P5" s="28">
        <f>ER_Proyecto!P50</f>
        <v>891327594.5</v>
      </c>
      <c r="Q5" s="28">
        <f>ER_Proyecto!Q50</f>
        <v>892523258.9</v>
      </c>
      <c r="R5" s="28">
        <f>ER_Proyecto!R50</f>
        <v>893720407.6</v>
      </c>
      <c r="S5" s="28">
        <f>ER_Proyecto!S50</f>
        <v>894919042.6</v>
      </c>
      <c r="T5" s="28">
        <f>ER_Proyecto!T50</f>
        <v>896119165.7</v>
      </c>
      <c r="U5" s="28">
        <f>ER_Proyecto!U50</f>
        <v>897320778.7</v>
      </c>
      <c r="V5" s="28">
        <f>ER_Proyecto!V50</f>
        <v>898523883.5</v>
      </c>
      <c r="W5" s="28">
        <f>ER_Proyecto!W50</f>
        <v>899728482</v>
      </c>
      <c r="X5" s="28">
        <f>ER_Proyecto!X50</f>
        <v>900934575.9</v>
      </c>
      <c r="Y5" s="28">
        <f>ER_Proyecto!Y50</f>
        <v>902142167.2</v>
      </c>
      <c r="Z5" s="28">
        <f>ER_Proyecto!Z50</f>
        <v>903351257.7</v>
      </c>
      <c r="AA5" s="28">
        <f>ER_Proyecto!AA50</f>
        <v>904561849.3</v>
      </c>
      <c r="AB5" s="28">
        <f>ER_Proyecto!AB50</f>
        <v>905773943.8</v>
      </c>
      <c r="AC5" s="28">
        <f>ER_Proyecto!AC50</f>
        <v>906987543.1</v>
      </c>
      <c r="AD5" s="28">
        <f>ER_Proyecto!AD50</f>
        <v>908202649.1</v>
      </c>
      <c r="AE5" s="28">
        <f>ER_Proyecto!AE50</f>
        <v>909419263.6</v>
      </c>
      <c r="AF5" s="28">
        <f>ER_Proyecto!AF50</f>
        <v>910637388.6</v>
      </c>
      <c r="AG5" s="28">
        <f>ER_Proyecto!AG50</f>
        <v>911857025.8</v>
      </c>
      <c r="AH5" s="28">
        <f>ER_Proyecto!AH50</f>
        <v>913078177.2</v>
      </c>
      <c r="AI5" s="28">
        <f>ER_Proyecto!AI50</f>
        <v>914300844.6</v>
      </c>
      <c r="AJ5" s="28">
        <f>ER_Proyecto!AJ50</f>
        <v>915525029.9</v>
      </c>
      <c r="AK5" s="28">
        <f>ER_Proyecto!AK50</f>
        <v>916750735.1</v>
      </c>
      <c r="AL5" s="28">
        <f>ER_Proyecto!AL50</f>
        <v>917977962</v>
      </c>
      <c r="AM5" s="28">
        <f>ER_Proyecto!AM50</f>
        <v>919206712.4</v>
      </c>
      <c r="AN5" s="28">
        <f>ER_Proyecto!AN50</f>
        <v>920436988.3</v>
      </c>
      <c r="AO5" s="28">
        <f>ER_Proyecto!AO50</f>
        <v>921668791.6</v>
      </c>
      <c r="AP5" s="28">
        <f>ER_Proyecto!AP50</f>
        <v>922902124.2</v>
      </c>
      <c r="AQ5" s="28">
        <f>ER_Proyecto!AQ50</f>
        <v>924136988</v>
      </c>
      <c r="AR5" s="28">
        <f>ER_Proyecto!AR50</f>
        <v>925373384.8</v>
      </c>
      <c r="AS5" s="28">
        <f>ER_Proyecto!AS50</f>
        <v>926611316.5</v>
      </c>
      <c r="AT5" s="28">
        <f>ER_Proyecto!AT50</f>
        <v>927850785.2</v>
      </c>
      <c r="AU5" s="28">
        <f>ER_Proyecto!AU50</f>
        <v>929091792.6</v>
      </c>
      <c r="AV5" s="28">
        <f>ER_Proyecto!AV50</f>
        <v>930334340.8</v>
      </c>
      <c r="AW5" s="28">
        <f>ER_Proyecto!AW50</f>
        <v>931578431.5</v>
      </c>
      <c r="AX5" s="28">
        <f>ER_Proyecto!AX50</f>
        <v>932824066.8</v>
      </c>
      <c r="AY5" s="28">
        <f>ER_Proyecto!AY50</f>
        <v>934071248.5</v>
      </c>
      <c r="AZ5" s="28">
        <f>ER_Proyecto!AZ50</f>
        <v>935319978.5</v>
      </c>
      <c r="BA5" s="28">
        <f>ER_Proyecto!BA50</f>
        <v>936570258.9</v>
      </c>
      <c r="BB5" s="28">
        <f>ER_Proyecto!BB50</f>
        <v>937822091.5</v>
      </c>
      <c r="BC5" s="28">
        <f>ER_Proyecto!BC50</f>
        <v>939075478.1</v>
      </c>
      <c r="BD5" s="28">
        <f>ER_Proyecto!BD50</f>
        <v>940330420.9</v>
      </c>
      <c r="BE5" s="28">
        <f>ER_Proyecto!BE50</f>
        <v>941586921.7</v>
      </c>
      <c r="BF5" s="28">
        <f>ER_Proyecto!BF50</f>
        <v>942844982.3</v>
      </c>
      <c r="BG5" s="28">
        <f>ER_Proyecto!BG50</f>
        <v>944104604.9</v>
      </c>
      <c r="BH5" s="28">
        <f>ER_Proyecto!BH50</f>
        <v>945365791.2</v>
      </c>
      <c r="BI5" s="28">
        <f>ER_Proyecto!BI50</f>
        <v>946628543.4</v>
      </c>
      <c r="BJ5" s="28">
        <f>ER_Proyecto!BJ50</f>
        <v>947892863.1</v>
      </c>
    </row>
    <row r="6">
      <c r="A6" s="22" t="s">
        <v>499</v>
      </c>
      <c r="B6" s="22" t="s">
        <v>613</v>
      </c>
      <c r="C6" s="28">
        <f>ER_Proyecto!C51</f>
        <v>0</v>
      </c>
      <c r="D6" s="28">
        <f>ER_Proyecto!D51</f>
        <v>0</v>
      </c>
      <c r="E6" s="28">
        <f>ER_Proyecto!E51</f>
        <v>0</v>
      </c>
      <c r="F6" s="28">
        <f>ER_Proyecto!F51</f>
        <v>0</v>
      </c>
      <c r="G6" s="28">
        <f>ER_Proyecto!G51</f>
        <v>211495655.6</v>
      </c>
      <c r="H6" s="28">
        <f>ER_Proyecto!H51</f>
        <v>211495655.6</v>
      </c>
      <c r="I6" s="28">
        <f>ER_Proyecto!I51</f>
        <v>211495655.6</v>
      </c>
      <c r="J6" s="28">
        <f>ER_Proyecto!J51</f>
        <v>211495655.6</v>
      </c>
      <c r="K6" s="28">
        <f>ER_Proyecto!K51</f>
        <v>211495655.6</v>
      </c>
      <c r="L6" s="28">
        <f>ER_Proyecto!L51</f>
        <v>211495655.6</v>
      </c>
      <c r="M6" s="28">
        <f>ER_Proyecto!M51</f>
        <v>211495655.6</v>
      </c>
      <c r="N6" s="28">
        <f>ER_Proyecto!N51</f>
        <v>211495655.6</v>
      </c>
      <c r="O6" s="28">
        <f>ER_Proyecto!O51</f>
        <v>211495655.6</v>
      </c>
      <c r="P6" s="28">
        <f>ER_Proyecto!P51</f>
        <v>211495655.6</v>
      </c>
      <c r="Q6" s="28">
        <f>ER_Proyecto!Q51</f>
        <v>211495655.6</v>
      </c>
      <c r="R6" s="28">
        <f>ER_Proyecto!R51</f>
        <v>211495655.6</v>
      </c>
      <c r="S6" s="28">
        <f>ER_Proyecto!S51</f>
        <v>211495655.6</v>
      </c>
      <c r="T6" s="28">
        <f>ER_Proyecto!T51</f>
        <v>211495655.6</v>
      </c>
      <c r="U6" s="28">
        <f>ER_Proyecto!U51</f>
        <v>211495655.6</v>
      </c>
      <c r="V6" s="28">
        <f>ER_Proyecto!V51</f>
        <v>211495655.6</v>
      </c>
      <c r="W6" s="28">
        <f>ER_Proyecto!W51</f>
        <v>211495655.6</v>
      </c>
      <c r="X6" s="28">
        <f>ER_Proyecto!X51</f>
        <v>211495655.6</v>
      </c>
      <c r="Y6" s="28">
        <f>ER_Proyecto!Y51</f>
        <v>211495655.6</v>
      </c>
      <c r="Z6" s="28">
        <f>ER_Proyecto!Z51</f>
        <v>211495655.6</v>
      </c>
      <c r="AA6" s="28">
        <f>ER_Proyecto!AA51</f>
        <v>211495655.6</v>
      </c>
      <c r="AB6" s="28">
        <f>ER_Proyecto!AB51</f>
        <v>211495655.6</v>
      </c>
      <c r="AC6" s="28">
        <f>ER_Proyecto!AC51</f>
        <v>211495655.6</v>
      </c>
      <c r="AD6" s="28">
        <f>ER_Proyecto!AD51</f>
        <v>211495655.6</v>
      </c>
      <c r="AE6" s="28">
        <f>ER_Proyecto!AE51</f>
        <v>211495655.6</v>
      </c>
      <c r="AF6" s="28">
        <f>ER_Proyecto!AF51</f>
        <v>211495655.6</v>
      </c>
      <c r="AG6" s="28">
        <f>ER_Proyecto!AG51</f>
        <v>211495655.6</v>
      </c>
      <c r="AH6" s="28">
        <f>ER_Proyecto!AH51</f>
        <v>211495655.6</v>
      </c>
      <c r="AI6" s="28">
        <f>ER_Proyecto!AI51</f>
        <v>211495655.6</v>
      </c>
      <c r="AJ6" s="28">
        <f>ER_Proyecto!AJ51</f>
        <v>211495655.6</v>
      </c>
      <c r="AK6" s="28">
        <f>ER_Proyecto!AK51</f>
        <v>211495655.6</v>
      </c>
      <c r="AL6" s="28">
        <f>ER_Proyecto!AL51</f>
        <v>211495655.6</v>
      </c>
      <c r="AM6" s="28">
        <f>ER_Proyecto!AM51</f>
        <v>211495655.6</v>
      </c>
      <c r="AN6" s="28">
        <f>ER_Proyecto!AN51</f>
        <v>211495655.6</v>
      </c>
      <c r="AO6" s="28">
        <f>ER_Proyecto!AO51</f>
        <v>211495655.6</v>
      </c>
      <c r="AP6" s="28">
        <f>ER_Proyecto!AP51</f>
        <v>211495655.6</v>
      </c>
      <c r="AQ6" s="28">
        <f>ER_Proyecto!AQ51</f>
        <v>211495655.6</v>
      </c>
      <c r="AR6" s="28">
        <f>ER_Proyecto!AR51</f>
        <v>211495655.6</v>
      </c>
      <c r="AS6" s="28">
        <f>ER_Proyecto!AS51</f>
        <v>211495655.6</v>
      </c>
      <c r="AT6" s="28">
        <f>ER_Proyecto!AT51</f>
        <v>211495655.6</v>
      </c>
      <c r="AU6" s="28">
        <f>ER_Proyecto!AU51</f>
        <v>211495655.6</v>
      </c>
      <c r="AV6" s="28">
        <f>ER_Proyecto!AV51</f>
        <v>211495655.6</v>
      </c>
      <c r="AW6" s="28">
        <f>ER_Proyecto!AW51</f>
        <v>211495655.6</v>
      </c>
      <c r="AX6" s="28">
        <f>ER_Proyecto!AX51</f>
        <v>211495655.6</v>
      </c>
      <c r="AY6" s="28">
        <f>ER_Proyecto!AY51</f>
        <v>211495655.6</v>
      </c>
      <c r="AZ6" s="28">
        <f>ER_Proyecto!AZ51</f>
        <v>211495655.6</v>
      </c>
      <c r="BA6" s="28">
        <f>ER_Proyecto!BA51</f>
        <v>211495655.6</v>
      </c>
      <c r="BB6" s="28">
        <f>ER_Proyecto!BB51</f>
        <v>211495655.6</v>
      </c>
      <c r="BC6" s="28">
        <f>ER_Proyecto!BC51</f>
        <v>211495655.6</v>
      </c>
      <c r="BD6" s="28">
        <f>ER_Proyecto!BD51</f>
        <v>211495655.6</v>
      </c>
      <c r="BE6" s="28">
        <f>ER_Proyecto!BE51</f>
        <v>211495655.6</v>
      </c>
      <c r="BF6" s="28">
        <f>ER_Proyecto!BF51</f>
        <v>211495655.6</v>
      </c>
      <c r="BG6" s="28">
        <f>ER_Proyecto!BG51</f>
        <v>211495655.6</v>
      </c>
      <c r="BH6" s="28">
        <f>ER_Proyecto!BH51</f>
        <v>211495655.6</v>
      </c>
      <c r="BI6" s="28">
        <f>ER_Proyecto!BI51</f>
        <v>211495655.6</v>
      </c>
      <c r="BJ6" s="28">
        <f>ER_Proyecto!BJ51</f>
        <v>211495655.6</v>
      </c>
    </row>
    <row r="7">
      <c r="A7" s="22" t="s">
        <v>501</v>
      </c>
      <c r="B7" s="22" t="s">
        <v>615</v>
      </c>
      <c r="C7" s="28">
        <f>ER_Proyecto!C52</f>
        <v>-61877807.43</v>
      </c>
      <c r="D7" s="28">
        <f>ER_Proyecto!D52</f>
        <v>-61865535.88</v>
      </c>
      <c r="E7" s="28">
        <f>ER_Proyecto!E52</f>
        <v>408209741.7</v>
      </c>
      <c r="F7" s="28">
        <f>ER_Proyecto!F52</f>
        <v>691193562.1</v>
      </c>
      <c r="G7" s="28">
        <f>ER_Proyecto!G52</f>
        <v>669137455</v>
      </c>
      <c r="H7" s="28">
        <f>ER_Proyecto!H52</f>
        <v>670319842.3</v>
      </c>
      <c r="I7" s="28">
        <f>ER_Proyecto!I52</f>
        <v>671503697.5</v>
      </c>
      <c r="J7" s="28">
        <f>ER_Proyecto!J52</f>
        <v>672689022.4</v>
      </c>
      <c r="K7" s="28">
        <f>ER_Proyecto!K52</f>
        <v>673875818.9</v>
      </c>
      <c r="L7" s="28">
        <f>ER_Proyecto!L52</f>
        <v>675064088.8</v>
      </c>
      <c r="M7" s="28">
        <f>ER_Proyecto!M52</f>
        <v>676253833.9</v>
      </c>
      <c r="N7" s="28">
        <f>ER_Proyecto!N52</f>
        <v>677445056.1</v>
      </c>
      <c r="O7" s="28">
        <f>ER_Proyecto!O52</f>
        <v>678637757.2</v>
      </c>
      <c r="P7" s="28">
        <f>ER_Proyecto!P52</f>
        <v>679831938.9</v>
      </c>
      <c r="Q7" s="28">
        <f>ER_Proyecto!Q52</f>
        <v>681027603.3</v>
      </c>
      <c r="R7" s="28">
        <f>ER_Proyecto!R52</f>
        <v>682224752</v>
      </c>
      <c r="S7" s="28">
        <f>ER_Proyecto!S52</f>
        <v>683423387</v>
      </c>
      <c r="T7" s="28">
        <f>ER_Proyecto!T52</f>
        <v>684623510.1</v>
      </c>
      <c r="U7" s="28">
        <f>ER_Proyecto!U52</f>
        <v>685825123.1</v>
      </c>
      <c r="V7" s="28">
        <f>ER_Proyecto!V52</f>
        <v>687028228</v>
      </c>
      <c r="W7" s="28">
        <f>ER_Proyecto!W52</f>
        <v>688232826.4</v>
      </c>
      <c r="X7" s="28">
        <f>ER_Proyecto!X52</f>
        <v>689438920.4</v>
      </c>
      <c r="Y7" s="28">
        <f>ER_Proyecto!Y52</f>
        <v>690646511.6</v>
      </c>
      <c r="Z7" s="28">
        <f>ER_Proyecto!Z52</f>
        <v>691855602.2</v>
      </c>
      <c r="AA7" s="28">
        <f>ER_Proyecto!AA52</f>
        <v>693066193.7</v>
      </c>
      <c r="AB7" s="28">
        <f>ER_Proyecto!AB52</f>
        <v>694278288.2</v>
      </c>
      <c r="AC7" s="28">
        <f>ER_Proyecto!AC52</f>
        <v>695491887.6</v>
      </c>
      <c r="AD7" s="28">
        <f>ER_Proyecto!AD52</f>
        <v>696706993.5</v>
      </c>
      <c r="AE7" s="28">
        <f>ER_Proyecto!AE52</f>
        <v>697923608.1</v>
      </c>
      <c r="AF7" s="28">
        <f>ER_Proyecto!AF52</f>
        <v>699141733</v>
      </c>
      <c r="AG7" s="28">
        <f>ER_Proyecto!AG52</f>
        <v>700361370.2</v>
      </c>
      <c r="AH7" s="28">
        <f>ER_Proyecto!AH52</f>
        <v>701582521.6</v>
      </c>
      <c r="AI7" s="28">
        <f>ER_Proyecto!AI52</f>
        <v>702805189</v>
      </c>
      <c r="AJ7" s="28">
        <f>ER_Proyecto!AJ52</f>
        <v>704029374.4</v>
      </c>
      <c r="AK7" s="28">
        <f>ER_Proyecto!AK52</f>
        <v>705255079.5</v>
      </c>
      <c r="AL7" s="28">
        <f>ER_Proyecto!AL52</f>
        <v>706482306.4</v>
      </c>
      <c r="AM7" s="28">
        <f>ER_Proyecto!AM52</f>
        <v>707711056.8</v>
      </c>
      <c r="AN7" s="28">
        <f>ER_Proyecto!AN52</f>
        <v>708941332.8</v>
      </c>
      <c r="AO7" s="28">
        <f>ER_Proyecto!AO52</f>
        <v>710173136.1</v>
      </c>
      <c r="AP7" s="28">
        <f>ER_Proyecto!AP52</f>
        <v>711406468.6</v>
      </c>
      <c r="AQ7" s="28">
        <f>ER_Proyecto!AQ52</f>
        <v>712641332.4</v>
      </c>
      <c r="AR7" s="28">
        <f>ER_Proyecto!AR52</f>
        <v>713877729.2</v>
      </c>
      <c r="AS7" s="28">
        <f>ER_Proyecto!AS52</f>
        <v>715115661</v>
      </c>
      <c r="AT7" s="28">
        <f>ER_Proyecto!AT52</f>
        <v>716355129.6</v>
      </c>
      <c r="AU7" s="28">
        <f>ER_Proyecto!AU52</f>
        <v>717596137.1</v>
      </c>
      <c r="AV7" s="28">
        <f>ER_Proyecto!AV52</f>
        <v>718838685.2</v>
      </c>
      <c r="AW7" s="28">
        <f>ER_Proyecto!AW52</f>
        <v>720082775.9</v>
      </c>
      <c r="AX7" s="28">
        <f>ER_Proyecto!AX52</f>
        <v>721328411.2</v>
      </c>
      <c r="AY7" s="28">
        <f>ER_Proyecto!AY52</f>
        <v>722575592.9</v>
      </c>
      <c r="AZ7" s="28">
        <f>ER_Proyecto!AZ52</f>
        <v>723824323</v>
      </c>
      <c r="BA7" s="28">
        <f>ER_Proyecto!BA52</f>
        <v>725074603.3</v>
      </c>
      <c r="BB7" s="28">
        <f>ER_Proyecto!BB52</f>
        <v>726326435.9</v>
      </c>
      <c r="BC7" s="28">
        <f>ER_Proyecto!BC52</f>
        <v>727579822.6</v>
      </c>
      <c r="BD7" s="28">
        <f>ER_Proyecto!BD52</f>
        <v>728834765.3</v>
      </c>
      <c r="BE7" s="28">
        <f>ER_Proyecto!BE52</f>
        <v>730091266.1</v>
      </c>
      <c r="BF7" s="28">
        <f>ER_Proyecto!BF52</f>
        <v>731349326.8</v>
      </c>
      <c r="BG7" s="28">
        <f>ER_Proyecto!BG52</f>
        <v>732608949.3</v>
      </c>
      <c r="BH7" s="28">
        <f>ER_Proyecto!BH52</f>
        <v>733870135.7</v>
      </c>
      <c r="BI7" s="28">
        <f>ER_Proyecto!BI52</f>
        <v>735132887.8</v>
      </c>
      <c r="BJ7" s="28">
        <f>ER_Proyecto!BJ52</f>
        <v>736397207.6</v>
      </c>
    </row>
    <row r="8">
      <c r="A8" s="22" t="s">
        <v>564</v>
      </c>
      <c r="B8" s="22" t="s">
        <v>617</v>
      </c>
      <c r="C8" s="28">
        <f>ER_Proyecto!C53</f>
        <v>0</v>
      </c>
      <c r="D8" s="28">
        <f>ER_Proyecto!D53</f>
        <v>0</v>
      </c>
      <c r="E8" s="28">
        <f>ER_Proyecto!E53</f>
        <v>142873409.6</v>
      </c>
      <c r="F8" s="28">
        <f>ER_Proyecto!F53</f>
        <v>241917746.7</v>
      </c>
      <c r="G8" s="28">
        <f>ER_Proyecto!G53</f>
        <v>234198109.3</v>
      </c>
      <c r="H8" s="28">
        <f>ER_Proyecto!H53</f>
        <v>234611944.8</v>
      </c>
      <c r="I8" s="28">
        <f>ER_Proyecto!I53</f>
        <v>235026294.1</v>
      </c>
      <c r="J8" s="28">
        <f>ER_Proyecto!J53</f>
        <v>235441157.8</v>
      </c>
      <c r="K8" s="28">
        <f>ER_Proyecto!K53</f>
        <v>235856536.6</v>
      </c>
      <c r="L8" s="28">
        <f>ER_Proyecto!L53</f>
        <v>236272431.1</v>
      </c>
      <c r="M8" s="28">
        <f>ER_Proyecto!M53</f>
        <v>236688841.9</v>
      </c>
      <c r="N8" s="28">
        <f>ER_Proyecto!N53</f>
        <v>237105769.6</v>
      </c>
      <c r="O8" s="28">
        <f>ER_Proyecto!O53</f>
        <v>237523215</v>
      </c>
      <c r="P8" s="28">
        <f>ER_Proyecto!P53</f>
        <v>237941178.6</v>
      </c>
      <c r="Q8" s="28">
        <f>ER_Proyecto!Q53</f>
        <v>238359661.2</v>
      </c>
      <c r="R8" s="28">
        <f>ER_Proyecto!R53</f>
        <v>238778663.2</v>
      </c>
      <c r="S8" s="28">
        <f>ER_Proyecto!S53</f>
        <v>239198185.5</v>
      </c>
      <c r="T8" s="28">
        <f>ER_Proyecto!T53</f>
        <v>239618228.5</v>
      </c>
      <c r="U8" s="28">
        <f>ER_Proyecto!U53</f>
        <v>240038793.1</v>
      </c>
      <c r="V8" s="28">
        <f>ER_Proyecto!V53</f>
        <v>240459879.8</v>
      </c>
      <c r="W8" s="28">
        <f>ER_Proyecto!W53</f>
        <v>240881489.2</v>
      </c>
      <c r="X8" s="28">
        <f>ER_Proyecto!X53</f>
        <v>241303622.1</v>
      </c>
      <c r="Y8" s="28">
        <f>ER_Proyecto!Y53</f>
        <v>241726279.1</v>
      </c>
      <c r="Z8" s="28">
        <f>ER_Proyecto!Z53</f>
        <v>242149460.8</v>
      </c>
      <c r="AA8" s="28">
        <f>ER_Proyecto!AA53</f>
        <v>242573167.8</v>
      </c>
      <c r="AB8" s="28">
        <f>ER_Proyecto!AB53</f>
        <v>242997400.9</v>
      </c>
      <c r="AC8" s="28">
        <f>ER_Proyecto!AC53</f>
        <v>243422160.6</v>
      </c>
      <c r="AD8" s="28">
        <f>ER_Proyecto!AD53</f>
        <v>243847447.7</v>
      </c>
      <c r="AE8" s="28">
        <f>ER_Proyecto!AE53</f>
        <v>244273262.8</v>
      </c>
      <c r="AF8" s="28">
        <f>ER_Proyecto!AF53</f>
        <v>244699606.5</v>
      </c>
      <c r="AG8" s="28">
        <f>ER_Proyecto!AG53</f>
        <v>245126479.6</v>
      </c>
      <c r="AH8" s="28">
        <f>ER_Proyecto!AH53</f>
        <v>245553882.6</v>
      </c>
      <c r="AI8" s="28">
        <f>ER_Proyecto!AI53</f>
        <v>245981816.2</v>
      </c>
      <c r="AJ8" s="28">
        <f>ER_Proyecto!AJ53</f>
        <v>246410281</v>
      </c>
      <c r="AK8" s="28">
        <f>ER_Proyecto!AK53</f>
        <v>246839277.8</v>
      </c>
      <c r="AL8" s="28">
        <f>ER_Proyecto!AL53</f>
        <v>247268807.2</v>
      </c>
      <c r="AM8" s="28">
        <f>ER_Proyecto!AM53</f>
        <v>247698869.9</v>
      </c>
      <c r="AN8" s="28">
        <f>ER_Proyecto!AN53</f>
        <v>248129466.5</v>
      </c>
      <c r="AO8" s="28">
        <f>ER_Proyecto!AO53</f>
        <v>248560597.6</v>
      </c>
      <c r="AP8" s="28">
        <f>ER_Proyecto!AP53</f>
        <v>248992264</v>
      </c>
      <c r="AQ8" s="28">
        <f>ER_Proyecto!AQ53</f>
        <v>249424466.3</v>
      </c>
      <c r="AR8" s="28">
        <f>ER_Proyecto!AR53</f>
        <v>249857205.2</v>
      </c>
      <c r="AS8" s="28">
        <f>ER_Proyecto!AS53</f>
        <v>250290481.3</v>
      </c>
      <c r="AT8" s="28">
        <f>ER_Proyecto!AT53</f>
        <v>250724295.4</v>
      </c>
      <c r="AU8" s="28">
        <f>ER_Proyecto!AU53</f>
        <v>251158648</v>
      </c>
      <c r="AV8" s="28">
        <f>ER_Proyecto!AV53</f>
        <v>251593539.8</v>
      </c>
      <c r="AW8" s="28">
        <f>ER_Proyecto!AW53</f>
        <v>252028971.6</v>
      </c>
      <c r="AX8" s="28">
        <f>ER_Proyecto!AX53</f>
        <v>252464943.9</v>
      </c>
      <c r="AY8" s="28">
        <f>ER_Proyecto!AY53</f>
        <v>252901457.5</v>
      </c>
      <c r="AZ8" s="28">
        <f>ER_Proyecto!AZ53</f>
        <v>253338513</v>
      </c>
      <c r="BA8" s="28">
        <f>ER_Proyecto!BA53</f>
        <v>253776111.2</v>
      </c>
      <c r="BB8" s="28">
        <f>ER_Proyecto!BB53</f>
        <v>254214252.6</v>
      </c>
      <c r="BC8" s="28">
        <f>ER_Proyecto!BC53</f>
        <v>254652937.9</v>
      </c>
      <c r="BD8" s="28">
        <f>ER_Proyecto!BD53</f>
        <v>255092167.9</v>
      </c>
      <c r="BE8" s="28">
        <f>ER_Proyecto!BE53</f>
        <v>255531943.1</v>
      </c>
      <c r="BF8" s="28">
        <f>ER_Proyecto!BF53</f>
        <v>255972264.4</v>
      </c>
      <c r="BG8" s="28">
        <f>ER_Proyecto!BG53</f>
        <v>256413132.3</v>
      </c>
      <c r="BH8" s="28">
        <f>ER_Proyecto!BH53</f>
        <v>256854547.5</v>
      </c>
      <c r="BI8" s="28">
        <f>ER_Proyecto!BI53</f>
        <v>257296510.7</v>
      </c>
      <c r="BJ8" s="28">
        <f>ER_Proyecto!BJ53</f>
        <v>257739022.7</v>
      </c>
    </row>
    <row r="9">
      <c r="A9" s="22" t="s">
        <v>566</v>
      </c>
      <c r="B9" s="22" t="s">
        <v>621</v>
      </c>
      <c r="C9" s="28">
        <f t="shared" ref="C9:BJ9" si="1">C7-C8</f>
        <v>-61877807.43</v>
      </c>
      <c r="D9" s="28">
        <f t="shared" si="1"/>
        <v>-61865535.88</v>
      </c>
      <c r="E9" s="28">
        <f t="shared" si="1"/>
        <v>265336332.1</v>
      </c>
      <c r="F9" s="28">
        <f t="shared" si="1"/>
        <v>449275815.4</v>
      </c>
      <c r="G9" s="28">
        <f t="shared" si="1"/>
        <v>434939345.8</v>
      </c>
      <c r="H9" s="28">
        <f t="shared" si="1"/>
        <v>435707897.5</v>
      </c>
      <c r="I9" s="28">
        <f t="shared" si="1"/>
        <v>436477403.4</v>
      </c>
      <c r="J9" s="28">
        <f t="shared" si="1"/>
        <v>437247864.6</v>
      </c>
      <c r="K9" s="28">
        <f t="shared" si="1"/>
        <v>438019282.3</v>
      </c>
      <c r="L9" s="28">
        <f t="shared" si="1"/>
        <v>438791657.7</v>
      </c>
      <c r="M9" s="28">
        <f t="shared" si="1"/>
        <v>439564992.1</v>
      </c>
      <c r="N9" s="28">
        <f t="shared" si="1"/>
        <v>440339286.5</v>
      </c>
      <c r="O9" s="28">
        <f t="shared" si="1"/>
        <v>441114542.2</v>
      </c>
      <c r="P9" s="28">
        <f t="shared" si="1"/>
        <v>441890760.3</v>
      </c>
      <c r="Q9" s="28">
        <f t="shared" si="1"/>
        <v>442667942.1</v>
      </c>
      <c r="R9" s="28">
        <f t="shared" si="1"/>
        <v>443446088.8</v>
      </c>
      <c r="S9" s="28">
        <f t="shared" si="1"/>
        <v>444225201.6</v>
      </c>
      <c r="T9" s="28">
        <f t="shared" si="1"/>
        <v>445005281.6</v>
      </c>
      <c r="U9" s="28">
        <f t="shared" si="1"/>
        <v>445786330</v>
      </c>
      <c r="V9" s="28">
        <f t="shared" si="1"/>
        <v>446568348.2</v>
      </c>
      <c r="W9" s="28">
        <f t="shared" si="1"/>
        <v>447351337.2</v>
      </c>
      <c r="X9" s="28">
        <f t="shared" si="1"/>
        <v>448135298.2</v>
      </c>
      <c r="Y9" s="28">
        <f t="shared" si="1"/>
        <v>448920232.6</v>
      </c>
      <c r="Z9" s="28">
        <f t="shared" si="1"/>
        <v>449706141.4</v>
      </c>
      <c r="AA9" s="28">
        <f t="shared" si="1"/>
        <v>450493025.9</v>
      </c>
      <c r="AB9" s="28">
        <f t="shared" si="1"/>
        <v>451280887.4</v>
      </c>
      <c r="AC9" s="28">
        <f t="shared" si="1"/>
        <v>452069726.9</v>
      </c>
      <c r="AD9" s="28">
        <f t="shared" si="1"/>
        <v>452859545.8</v>
      </c>
      <c r="AE9" s="28">
        <f t="shared" si="1"/>
        <v>453650345.2</v>
      </c>
      <c r="AF9" s="28">
        <f t="shared" si="1"/>
        <v>454442126.4</v>
      </c>
      <c r="AG9" s="28">
        <f t="shared" si="1"/>
        <v>455234890.6</v>
      </c>
      <c r="AH9" s="28">
        <f t="shared" si="1"/>
        <v>456028639</v>
      </c>
      <c r="AI9" s="28">
        <f t="shared" si="1"/>
        <v>456823372.9</v>
      </c>
      <c r="AJ9" s="28">
        <f t="shared" si="1"/>
        <v>457619093.3</v>
      </c>
      <c r="AK9" s="28">
        <f t="shared" si="1"/>
        <v>458415801.7</v>
      </c>
      <c r="AL9" s="28">
        <f t="shared" si="1"/>
        <v>459213499.2</v>
      </c>
      <c r="AM9" s="28">
        <f t="shared" si="1"/>
        <v>460012186.9</v>
      </c>
      <c r="AN9" s="28">
        <f t="shared" si="1"/>
        <v>460811866.3</v>
      </c>
      <c r="AO9" s="28">
        <f t="shared" si="1"/>
        <v>461612538.4</v>
      </c>
      <c r="AP9" s="28">
        <f t="shared" si="1"/>
        <v>462414204.6</v>
      </c>
      <c r="AQ9" s="28">
        <f t="shared" si="1"/>
        <v>463216866</v>
      </c>
      <c r="AR9" s="28">
        <f t="shared" si="1"/>
        <v>464020524</v>
      </c>
      <c r="AS9" s="28">
        <f t="shared" si="1"/>
        <v>464825179.6</v>
      </c>
      <c r="AT9" s="28">
        <f t="shared" si="1"/>
        <v>465630834.3</v>
      </c>
      <c r="AU9" s="28">
        <f t="shared" si="1"/>
        <v>466437489.1</v>
      </c>
      <c r="AV9" s="28">
        <f t="shared" si="1"/>
        <v>467245145.4</v>
      </c>
      <c r="AW9" s="28">
        <f t="shared" si="1"/>
        <v>468053804.4</v>
      </c>
      <c r="AX9" s="28">
        <f t="shared" si="1"/>
        <v>468863467.3</v>
      </c>
      <c r="AY9" s="28">
        <f t="shared" si="1"/>
        <v>469674135.4</v>
      </c>
      <c r="AZ9" s="28">
        <f t="shared" si="1"/>
        <v>470485809.9</v>
      </c>
      <c r="BA9" s="28">
        <f t="shared" si="1"/>
        <v>471298492.2</v>
      </c>
      <c r="BB9" s="28">
        <f t="shared" si="1"/>
        <v>472112183.3</v>
      </c>
      <c r="BC9" s="28">
        <f t="shared" si="1"/>
        <v>472926884.7</v>
      </c>
      <c r="BD9" s="28">
        <f t="shared" si="1"/>
        <v>473742597.5</v>
      </c>
      <c r="BE9" s="28">
        <f t="shared" si="1"/>
        <v>474559323</v>
      </c>
      <c r="BF9" s="28">
        <f t="shared" si="1"/>
        <v>475377062.4</v>
      </c>
      <c r="BG9" s="28">
        <f t="shared" si="1"/>
        <v>476195817.1</v>
      </c>
      <c r="BH9" s="28">
        <f t="shared" si="1"/>
        <v>477015588.2</v>
      </c>
      <c r="BI9" s="28">
        <f t="shared" si="1"/>
        <v>477836377.1</v>
      </c>
      <c r="BJ9" s="28">
        <f t="shared" si="1"/>
        <v>478658184.9</v>
      </c>
    </row>
    <row r="10">
      <c r="A10" s="22" t="s">
        <v>568</v>
      </c>
      <c r="B10" s="22" t="s">
        <v>622</v>
      </c>
      <c r="C10" s="28">
        <f>CAPEX_Benchmark!$J$31*Cronograma!C$5</f>
        <v>4413059472</v>
      </c>
      <c r="D10" s="28">
        <f>CAPEX_Benchmark!$J$31*Cronograma!D$5</f>
        <v>7722854075</v>
      </c>
      <c r="E10" s="28">
        <f>CAPEX_Benchmark!$J$31*Cronograma!E$5</f>
        <v>5516324339</v>
      </c>
      <c r="F10" s="28">
        <f>CAPEX_Benchmark!$J$31*Cronograma!F$5</f>
        <v>4413059472</v>
      </c>
      <c r="G10" s="28">
        <f>CAPEX_Benchmark!$J$31*Cronograma!G$5</f>
        <v>0</v>
      </c>
      <c r="H10" s="28">
        <f>CAPEX_Benchmark!$J$31*Cronograma!H$5</f>
        <v>0</v>
      </c>
      <c r="I10" s="28">
        <f>CAPEX_Benchmark!$J$31*Cronograma!I$5</f>
        <v>0</v>
      </c>
      <c r="J10" s="28">
        <f>CAPEX_Benchmark!$J$31*Cronograma!J$5</f>
        <v>0</v>
      </c>
      <c r="K10" s="28">
        <f>CAPEX_Benchmark!$J$31*Cronograma!K$5</f>
        <v>0</v>
      </c>
      <c r="L10" s="28">
        <f>CAPEX_Benchmark!$J$31*Cronograma!L$5</f>
        <v>0</v>
      </c>
      <c r="M10" s="28">
        <f>CAPEX_Benchmark!$J$31*Cronograma!M$5</f>
        <v>0</v>
      </c>
      <c r="N10" s="28">
        <f>CAPEX_Benchmark!$J$31*Cronograma!N$5</f>
        <v>0</v>
      </c>
      <c r="O10" s="28">
        <f>CAPEX_Benchmark!$J$31*Cronograma!O$5</f>
        <v>0</v>
      </c>
      <c r="P10" s="28">
        <f>CAPEX_Benchmark!$J$31*Cronograma!P$5</f>
        <v>0</v>
      </c>
      <c r="Q10" s="28">
        <f>CAPEX_Benchmark!$J$31*Cronograma!Q$5</f>
        <v>0</v>
      </c>
      <c r="R10" s="28">
        <f>CAPEX_Benchmark!$J$31*Cronograma!R$5</f>
        <v>0</v>
      </c>
      <c r="S10" s="28">
        <f>CAPEX_Benchmark!$J$31*Cronograma!S$5</f>
        <v>0</v>
      </c>
      <c r="T10" s="28">
        <f>CAPEX_Benchmark!$J$31*Cronograma!T$5</f>
        <v>0</v>
      </c>
      <c r="U10" s="28">
        <f>CAPEX_Benchmark!$J$31*Cronograma!U$5</f>
        <v>0</v>
      </c>
      <c r="V10" s="28">
        <f>CAPEX_Benchmark!$J$31*Cronograma!V$5</f>
        <v>0</v>
      </c>
      <c r="W10" s="28">
        <f>CAPEX_Benchmark!$J$31*Cronograma!W$5</f>
        <v>0</v>
      </c>
      <c r="X10" s="28">
        <f>CAPEX_Benchmark!$J$31*Cronograma!X$5</f>
        <v>0</v>
      </c>
      <c r="Y10" s="28">
        <f>CAPEX_Benchmark!$J$31*Cronograma!Y$5</f>
        <v>0</v>
      </c>
      <c r="Z10" s="28">
        <f>CAPEX_Benchmark!$J$31*Cronograma!Z$5</f>
        <v>0</v>
      </c>
      <c r="AA10" s="28">
        <f>CAPEX_Benchmark!$J$31*Cronograma!AA$5</f>
        <v>0</v>
      </c>
      <c r="AB10" s="28">
        <f>CAPEX_Benchmark!$J$31*Cronograma!AB$5</f>
        <v>0</v>
      </c>
      <c r="AC10" s="28">
        <f>CAPEX_Benchmark!$J$31*Cronograma!AC$5</f>
        <v>0</v>
      </c>
      <c r="AD10" s="28">
        <f>CAPEX_Benchmark!$J$31*Cronograma!AD$5</f>
        <v>0</v>
      </c>
      <c r="AE10" s="28">
        <f>CAPEX_Benchmark!$J$31*Cronograma!AE$5</f>
        <v>0</v>
      </c>
      <c r="AF10" s="28">
        <f>CAPEX_Benchmark!$J$31*Cronograma!AF$5</f>
        <v>0</v>
      </c>
      <c r="AG10" s="28">
        <f>CAPEX_Benchmark!$J$31*Cronograma!AG$5</f>
        <v>0</v>
      </c>
      <c r="AH10" s="28">
        <f>CAPEX_Benchmark!$J$31*Cronograma!AH$5</f>
        <v>0</v>
      </c>
      <c r="AI10" s="28">
        <f>CAPEX_Benchmark!$J$31*Cronograma!AI$5</f>
        <v>0</v>
      </c>
      <c r="AJ10" s="28">
        <f>CAPEX_Benchmark!$J$31*Cronograma!AJ$5</f>
        <v>0</v>
      </c>
      <c r="AK10" s="28">
        <f>CAPEX_Benchmark!$J$31*Cronograma!AK$5</f>
        <v>0</v>
      </c>
      <c r="AL10" s="28">
        <f>CAPEX_Benchmark!$J$31*Cronograma!AL$5</f>
        <v>0</v>
      </c>
      <c r="AM10" s="28">
        <f>CAPEX_Benchmark!$J$31*Cronograma!AM$5</f>
        <v>0</v>
      </c>
      <c r="AN10" s="28">
        <f>CAPEX_Benchmark!$J$31*Cronograma!AN$5</f>
        <v>0</v>
      </c>
      <c r="AO10" s="28">
        <f>CAPEX_Benchmark!$J$31*Cronograma!AO$5</f>
        <v>0</v>
      </c>
      <c r="AP10" s="28">
        <f>CAPEX_Benchmark!$J$31*Cronograma!AP$5</f>
        <v>0</v>
      </c>
      <c r="AQ10" s="28">
        <f>CAPEX_Benchmark!$J$31*Cronograma!AQ$5</f>
        <v>0</v>
      </c>
      <c r="AR10" s="28">
        <f>CAPEX_Benchmark!$J$31*Cronograma!AR$5</f>
        <v>0</v>
      </c>
      <c r="AS10" s="28">
        <f>CAPEX_Benchmark!$J$31*Cronograma!AS$5</f>
        <v>0</v>
      </c>
      <c r="AT10" s="28">
        <f>CAPEX_Benchmark!$J$31*Cronograma!AT$5</f>
        <v>0</v>
      </c>
      <c r="AU10" s="28">
        <f>CAPEX_Benchmark!$J$31*Cronograma!AU$5</f>
        <v>0</v>
      </c>
      <c r="AV10" s="28">
        <f>CAPEX_Benchmark!$J$31*Cronograma!AV$5</f>
        <v>0</v>
      </c>
      <c r="AW10" s="28">
        <f>CAPEX_Benchmark!$J$31*Cronograma!AW$5</f>
        <v>0</v>
      </c>
      <c r="AX10" s="28">
        <f>CAPEX_Benchmark!$J$31*Cronograma!AX$5</f>
        <v>0</v>
      </c>
      <c r="AY10" s="28">
        <f>CAPEX_Benchmark!$J$31*Cronograma!AY$5</f>
        <v>0</v>
      </c>
      <c r="AZ10" s="28">
        <f>CAPEX_Benchmark!$J$31*Cronograma!AZ$5</f>
        <v>0</v>
      </c>
      <c r="BA10" s="28">
        <f>CAPEX_Benchmark!$J$31*Cronograma!BA$5</f>
        <v>0</v>
      </c>
      <c r="BB10" s="28">
        <f>CAPEX_Benchmark!$J$31*Cronograma!BB$5</f>
        <v>0</v>
      </c>
      <c r="BC10" s="28">
        <f>CAPEX_Benchmark!$J$31*Cronograma!BC$5</f>
        <v>0</v>
      </c>
      <c r="BD10" s="28">
        <f>CAPEX_Benchmark!$J$31*Cronograma!BD$5</f>
        <v>0</v>
      </c>
      <c r="BE10" s="28">
        <f>CAPEX_Benchmark!$J$31*Cronograma!BE$5</f>
        <v>0</v>
      </c>
      <c r="BF10" s="28">
        <f>CAPEX_Benchmark!$J$31*Cronograma!BF$5</f>
        <v>0</v>
      </c>
      <c r="BG10" s="28">
        <f>CAPEX_Benchmark!$J$31*Cronograma!BG$5</f>
        <v>0</v>
      </c>
      <c r="BH10" s="28">
        <f>CAPEX_Benchmark!$J$31*Cronograma!BH$5</f>
        <v>0</v>
      </c>
      <c r="BI10" s="28">
        <f>CAPEX_Benchmark!$J$31*Cronograma!BI$5</f>
        <v>0</v>
      </c>
      <c r="BJ10" s="28">
        <f>CAPEX_Benchmark!$J$31*Cronograma!BJ$5</f>
        <v>0</v>
      </c>
    </row>
    <row r="11">
      <c r="A11" s="22" t="s">
        <v>168</v>
      </c>
      <c r="B11" s="22" t="s">
        <v>623</v>
      </c>
      <c r="C11" s="28">
        <f>Licencias!$H$13*Cronograma!C$6</f>
        <v>17325000</v>
      </c>
      <c r="D11" s="28">
        <f>Licencias!$H$13*Cronograma!D$6</f>
        <v>17325000</v>
      </c>
      <c r="E11" s="28">
        <f>Licencias!$H$13*Cronograma!E$6</f>
        <v>0</v>
      </c>
      <c r="F11" s="28">
        <f>Licencias!$H$13*Cronograma!F$6</f>
        <v>0</v>
      </c>
      <c r="G11" s="28">
        <f>Licencias!$H$13*Cronograma!G$6</f>
        <v>0</v>
      </c>
      <c r="H11" s="28">
        <f>Licencias!$H$13*Cronograma!H$6</f>
        <v>0</v>
      </c>
      <c r="I11" s="28">
        <f>Licencias!$H$13*Cronograma!I$6</f>
        <v>0</v>
      </c>
      <c r="J11" s="28">
        <f>Licencias!$H$13*Cronograma!J$6</f>
        <v>0</v>
      </c>
      <c r="K11" s="28">
        <f>Licencias!$H$13*Cronograma!K$6</f>
        <v>0</v>
      </c>
      <c r="L11" s="28">
        <f>Licencias!$H$13*Cronograma!L$6</f>
        <v>0</v>
      </c>
      <c r="M11" s="28">
        <f>Licencias!$H$13*Cronograma!M$6</f>
        <v>0</v>
      </c>
      <c r="N11" s="28">
        <f>Licencias!$H$13*Cronograma!N$6</f>
        <v>0</v>
      </c>
      <c r="O11" s="28">
        <f>Licencias!$H$13*Cronograma!O$6</f>
        <v>0</v>
      </c>
      <c r="P11" s="28">
        <f>Licencias!$H$13*Cronograma!P$6</f>
        <v>0</v>
      </c>
      <c r="Q11" s="28">
        <f>Licencias!$H$13*Cronograma!Q$6</f>
        <v>0</v>
      </c>
      <c r="R11" s="28">
        <f>Licencias!$H$13*Cronograma!R$6</f>
        <v>0</v>
      </c>
      <c r="S11" s="28">
        <f>Licencias!$H$13*Cronograma!S$6</f>
        <v>0</v>
      </c>
      <c r="T11" s="28">
        <f>Licencias!$H$13*Cronograma!T$6</f>
        <v>0</v>
      </c>
      <c r="U11" s="28">
        <f>Licencias!$H$13*Cronograma!U$6</f>
        <v>0</v>
      </c>
      <c r="V11" s="28">
        <f>Licencias!$H$13*Cronograma!V$6</f>
        <v>0</v>
      </c>
      <c r="W11" s="28">
        <f>Licencias!$H$13*Cronograma!W$6</f>
        <v>0</v>
      </c>
      <c r="X11" s="28">
        <f>Licencias!$H$13*Cronograma!X$6</f>
        <v>0</v>
      </c>
      <c r="Y11" s="28">
        <f>Licencias!$H$13*Cronograma!Y$6</f>
        <v>0</v>
      </c>
      <c r="Z11" s="28">
        <f>Licencias!$H$13*Cronograma!Z$6</f>
        <v>0</v>
      </c>
      <c r="AA11" s="28">
        <f>Licencias!$H$13*Cronograma!AA$6</f>
        <v>0</v>
      </c>
      <c r="AB11" s="28">
        <f>Licencias!$H$13*Cronograma!AB$6</f>
        <v>0</v>
      </c>
      <c r="AC11" s="28">
        <f>Licencias!$H$13*Cronograma!AC$6</f>
        <v>0</v>
      </c>
      <c r="AD11" s="28">
        <f>Licencias!$H$13*Cronograma!AD$6</f>
        <v>0</v>
      </c>
      <c r="AE11" s="28">
        <f>Licencias!$H$13*Cronograma!AE$6</f>
        <v>0</v>
      </c>
      <c r="AF11" s="28">
        <f>Licencias!$H$13*Cronograma!AF$6</f>
        <v>0</v>
      </c>
      <c r="AG11" s="28">
        <f>Licencias!$H$13*Cronograma!AG$6</f>
        <v>0</v>
      </c>
      <c r="AH11" s="28">
        <f>Licencias!$H$13*Cronograma!AH$6</f>
        <v>0</v>
      </c>
      <c r="AI11" s="28">
        <f>Licencias!$H$13*Cronograma!AI$6</f>
        <v>0</v>
      </c>
      <c r="AJ11" s="28">
        <f>Licencias!$H$13*Cronograma!AJ$6</f>
        <v>0</v>
      </c>
      <c r="AK11" s="28">
        <f>Licencias!$H$13*Cronograma!AK$6</f>
        <v>0</v>
      </c>
      <c r="AL11" s="28">
        <f>Licencias!$H$13*Cronograma!AL$6</f>
        <v>0</v>
      </c>
      <c r="AM11" s="28">
        <f>Licencias!$H$13*Cronograma!AM$6</f>
        <v>0</v>
      </c>
      <c r="AN11" s="28">
        <f>Licencias!$H$13*Cronograma!AN$6</f>
        <v>0</v>
      </c>
      <c r="AO11" s="28">
        <f>Licencias!$H$13*Cronograma!AO$6</f>
        <v>0</v>
      </c>
      <c r="AP11" s="28">
        <f>Licencias!$H$13*Cronograma!AP$6</f>
        <v>0</v>
      </c>
      <c r="AQ11" s="28">
        <f>Licencias!$H$13*Cronograma!AQ$6</f>
        <v>0</v>
      </c>
      <c r="AR11" s="28">
        <f>Licencias!$H$13*Cronograma!AR$6</f>
        <v>0</v>
      </c>
      <c r="AS11" s="28">
        <f>Licencias!$H$13*Cronograma!AS$6</f>
        <v>0</v>
      </c>
      <c r="AT11" s="28">
        <f>Licencias!$H$13*Cronograma!AT$6</f>
        <v>0</v>
      </c>
      <c r="AU11" s="28">
        <f>Licencias!$H$13*Cronograma!AU$6</f>
        <v>0</v>
      </c>
      <c r="AV11" s="28">
        <f>Licencias!$H$13*Cronograma!AV$6</f>
        <v>0</v>
      </c>
      <c r="AW11" s="28">
        <f>Licencias!$H$13*Cronograma!AW$6</f>
        <v>0</v>
      </c>
      <c r="AX11" s="28">
        <f>Licencias!$H$13*Cronograma!AX$6</f>
        <v>0</v>
      </c>
      <c r="AY11" s="28">
        <f>Licencias!$H$13*Cronograma!AY$6</f>
        <v>0</v>
      </c>
      <c r="AZ11" s="28">
        <f>Licencias!$H$13*Cronograma!AZ$6</f>
        <v>0</v>
      </c>
      <c r="BA11" s="28">
        <f>Licencias!$H$13*Cronograma!BA$6</f>
        <v>0</v>
      </c>
      <c r="BB11" s="28">
        <f>Licencias!$H$13*Cronograma!BB$6</f>
        <v>0</v>
      </c>
      <c r="BC11" s="28">
        <f>Licencias!$H$13*Cronograma!BC$6</f>
        <v>0</v>
      </c>
      <c r="BD11" s="28">
        <f>Licencias!$H$13*Cronograma!BD$6</f>
        <v>0</v>
      </c>
      <c r="BE11" s="28">
        <f>Licencias!$H$13*Cronograma!BE$6</f>
        <v>0</v>
      </c>
      <c r="BF11" s="28">
        <f>Licencias!$H$13*Cronograma!BF$6</f>
        <v>0</v>
      </c>
      <c r="BG11" s="28">
        <f>Licencias!$H$13*Cronograma!BG$6</f>
        <v>0</v>
      </c>
      <c r="BH11" s="28">
        <f>Licencias!$H$13*Cronograma!BH$6</f>
        <v>0</v>
      </c>
      <c r="BI11" s="28">
        <f>Licencias!$H$13*Cronograma!BI$6</f>
        <v>0</v>
      </c>
      <c r="BJ11" s="28">
        <f>Licencias!$H$13*Cronograma!BJ$6</f>
        <v>0</v>
      </c>
    </row>
    <row r="12">
      <c r="A12" s="22" t="s">
        <v>170</v>
      </c>
      <c r="B12" s="22" t="s">
        <v>624</v>
      </c>
      <c r="C12" s="28">
        <f>IF(C$4&lt;=Supuestos!$B$6,Personal!$G$11,0)</f>
        <v>87161760</v>
      </c>
      <c r="D12" s="28">
        <f>IF(D$4&lt;=Supuestos!$B$6,Personal!$G$11,0)</f>
        <v>87161760</v>
      </c>
      <c r="E12" s="28">
        <f>IF(E$4&lt;=Supuestos!$B$6,Personal!$G$11,0)</f>
        <v>87161760</v>
      </c>
      <c r="F12" s="28">
        <f>IF(F$4&lt;=Supuestos!$B$6,Personal!$G$11,0)</f>
        <v>87161760</v>
      </c>
      <c r="G12" s="28">
        <f>IF(G$4&lt;=Supuestos!$B$6,Personal!$G$11,0)</f>
        <v>0</v>
      </c>
      <c r="H12" s="28">
        <f>IF(H$4&lt;=Supuestos!$B$6,Personal!$G$11,0)</f>
        <v>0</v>
      </c>
      <c r="I12" s="28">
        <f>IF(I$4&lt;=Supuestos!$B$6,Personal!$G$11,0)</f>
        <v>0</v>
      </c>
      <c r="J12" s="28">
        <f>IF(J$4&lt;=Supuestos!$B$6,Personal!$G$11,0)</f>
        <v>0</v>
      </c>
      <c r="K12" s="28">
        <f>IF(K$4&lt;=Supuestos!$B$6,Personal!$G$11,0)</f>
        <v>0</v>
      </c>
      <c r="L12" s="28">
        <f>IF(L$4&lt;=Supuestos!$B$6,Personal!$G$11,0)</f>
        <v>0</v>
      </c>
      <c r="M12" s="28">
        <f>IF(M$4&lt;=Supuestos!$B$6,Personal!$G$11,0)</f>
        <v>0</v>
      </c>
      <c r="N12" s="28">
        <f>IF(N$4&lt;=Supuestos!$B$6,Personal!$G$11,0)</f>
        <v>0</v>
      </c>
      <c r="O12" s="28">
        <f>IF(O$4&lt;=Supuestos!$B$6,Personal!$G$11,0)</f>
        <v>0</v>
      </c>
      <c r="P12" s="28">
        <f>IF(P$4&lt;=Supuestos!$B$6,Personal!$G$11,0)</f>
        <v>0</v>
      </c>
      <c r="Q12" s="28">
        <f>IF(Q$4&lt;=Supuestos!$B$6,Personal!$G$11,0)</f>
        <v>0</v>
      </c>
      <c r="R12" s="28">
        <f>IF(R$4&lt;=Supuestos!$B$6,Personal!$G$11,0)</f>
        <v>0</v>
      </c>
      <c r="S12" s="28">
        <f>IF(S$4&lt;=Supuestos!$B$6,Personal!$G$11,0)</f>
        <v>0</v>
      </c>
      <c r="T12" s="28">
        <f>IF(T$4&lt;=Supuestos!$B$6,Personal!$G$11,0)</f>
        <v>0</v>
      </c>
      <c r="U12" s="28">
        <f>IF(U$4&lt;=Supuestos!$B$6,Personal!$G$11,0)</f>
        <v>0</v>
      </c>
      <c r="V12" s="28">
        <f>IF(V$4&lt;=Supuestos!$B$6,Personal!$G$11,0)</f>
        <v>0</v>
      </c>
      <c r="W12" s="28">
        <f>IF(W$4&lt;=Supuestos!$B$6,Personal!$G$11,0)</f>
        <v>0</v>
      </c>
      <c r="X12" s="28">
        <f>IF(X$4&lt;=Supuestos!$B$6,Personal!$G$11,0)</f>
        <v>0</v>
      </c>
      <c r="Y12" s="28">
        <f>IF(Y$4&lt;=Supuestos!$B$6,Personal!$G$11,0)</f>
        <v>0</v>
      </c>
      <c r="Z12" s="28">
        <f>IF(Z$4&lt;=Supuestos!$B$6,Personal!$G$11,0)</f>
        <v>0</v>
      </c>
      <c r="AA12" s="28">
        <f>IF(AA$4&lt;=Supuestos!$B$6,Personal!$G$11,0)</f>
        <v>0</v>
      </c>
      <c r="AB12" s="28">
        <f>IF(AB$4&lt;=Supuestos!$B$6,Personal!$G$11,0)</f>
        <v>0</v>
      </c>
      <c r="AC12" s="28">
        <f>IF(AC$4&lt;=Supuestos!$B$6,Personal!$G$11,0)</f>
        <v>0</v>
      </c>
      <c r="AD12" s="28">
        <f>IF(AD$4&lt;=Supuestos!$B$6,Personal!$G$11,0)</f>
        <v>0</v>
      </c>
      <c r="AE12" s="28">
        <f>IF(AE$4&lt;=Supuestos!$B$6,Personal!$G$11,0)</f>
        <v>0</v>
      </c>
      <c r="AF12" s="28">
        <f>IF(AF$4&lt;=Supuestos!$B$6,Personal!$G$11,0)</f>
        <v>0</v>
      </c>
      <c r="AG12" s="28">
        <f>IF(AG$4&lt;=Supuestos!$B$6,Personal!$G$11,0)</f>
        <v>0</v>
      </c>
      <c r="AH12" s="28">
        <f>IF(AH$4&lt;=Supuestos!$B$6,Personal!$G$11,0)</f>
        <v>0</v>
      </c>
      <c r="AI12" s="28">
        <f>IF(AI$4&lt;=Supuestos!$B$6,Personal!$G$11,0)</f>
        <v>0</v>
      </c>
      <c r="AJ12" s="28">
        <f>IF(AJ$4&lt;=Supuestos!$B$6,Personal!$G$11,0)</f>
        <v>0</v>
      </c>
      <c r="AK12" s="28">
        <f>IF(AK$4&lt;=Supuestos!$B$6,Personal!$G$11,0)</f>
        <v>0</v>
      </c>
      <c r="AL12" s="28">
        <f>IF(AL$4&lt;=Supuestos!$B$6,Personal!$G$11,0)</f>
        <v>0</v>
      </c>
      <c r="AM12" s="28">
        <f>IF(AM$4&lt;=Supuestos!$B$6,Personal!$G$11,0)</f>
        <v>0</v>
      </c>
      <c r="AN12" s="28">
        <f>IF(AN$4&lt;=Supuestos!$B$6,Personal!$G$11,0)</f>
        <v>0</v>
      </c>
      <c r="AO12" s="28">
        <f>IF(AO$4&lt;=Supuestos!$B$6,Personal!$G$11,0)</f>
        <v>0</v>
      </c>
      <c r="AP12" s="28">
        <f>IF(AP$4&lt;=Supuestos!$B$6,Personal!$G$11,0)</f>
        <v>0</v>
      </c>
      <c r="AQ12" s="28">
        <f>IF(AQ$4&lt;=Supuestos!$B$6,Personal!$G$11,0)</f>
        <v>0</v>
      </c>
      <c r="AR12" s="28">
        <f>IF(AR$4&lt;=Supuestos!$B$6,Personal!$G$11,0)</f>
        <v>0</v>
      </c>
      <c r="AS12" s="28">
        <f>IF(AS$4&lt;=Supuestos!$B$6,Personal!$G$11,0)</f>
        <v>0</v>
      </c>
      <c r="AT12" s="28">
        <f>IF(AT$4&lt;=Supuestos!$B$6,Personal!$G$11,0)</f>
        <v>0</v>
      </c>
      <c r="AU12" s="28">
        <f>IF(AU$4&lt;=Supuestos!$B$6,Personal!$G$11,0)</f>
        <v>0</v>
      </c>
      <c r="AV12" s="28">
        <f>IF(AV$4&lt;=Supuestos!$B$6,Personal!$G$11,0)</f>
        <v>0</v>
      </c>
      <c r="AW12" s="28">
        <f>IF(AW$4&lt;=Supuestos!$B$6,Personal!$G$11,0)</f>
        <v>0</v>
      </c>
      <c r="AX12" s="28">
        <f>IF(AX$4&lt;=Supuestos!$B$6,Personal!$G$11,0)</f>
        <v>0</v>
      </c>
      <c r="AY12" s="28">
        <f>IF(AY$4&lt;=Supuestos!$B$6,Personal!$G$11,0)</f>
        <v>0</v>
      </c>
      <c r="AZ12" s="28">
        <f>IF(AZ$4&lt;=Supuestos!$B$6,Personal!$G$11,0)</f>
        <v>0</v>
      </c>
      <c r="BA12" s="28">
        <f>IF(BA$4&lt;=Supuestos!$B$6,Personal!$G$11,0)</f>
        <v>0</v>
      </c>
      <c r="BB12" s="28">
        <f>IF(BB$4&lt;=Supuestos!$B$6,Personal!$G$11,0)</f>
        <v>0</v>
      </c>
      <c r="BC12" s="28">
        <f>IF(BC$4&lt;=Supuestos!$B$6,Personal!$G$11,0)</f>
        <v>0</v>
      </c>
      <c r="BD12" s="28">
        <f>IF(BD$4&lt;=Supuestos!$B$6,Personal!$G$11,0)</f>
        <v>0</v>
      </c>
      <c r="BE12" s="28">
        <f>IF(BE$4&lt;=Supuestos!$B$6,Personal!$G$11,0)</f>
        <v>0</v>
      </c>
      <c r="BF12" s="28">
        <f>IF(BF$4&lt;=Supuestos!$B$6,Personal!$G$11,0)</f>
        <v>0</v>
      </c>
      <c r="BG12" s="28">
        <f>IF(BG$4&lt;=Supuestos!$B$6,Personal!$G$11,0)</f>
        <v>0</v>
      </c>
      <c r="BH12" s="28">
        <f>IF(BH$4&lt;=Supuestos!$B$6,Personal!$G$11,0)</f>
        <v>0</v>
      </c>
      <c r="BI12" s="28">
        <f>IF(BI$4&lt;=Supuestos!$B$6,Personal!$G$11,0)</f>
        <v>0</v>
      </c>
      <c r="BJ12" s="28">
        <f>IF(BJ$4&lt;=Supuestos!$B$6,Personal!$G$11,0)</f>
        <v>0</v>
      </c>
    </row>
    <row r="13">
      <c r="A13" s="22" t="s">
        <v>172</v>
      </c>
      <c r="B13" s="22" t="s">
        <v>625</v>
      </c>
      <c r="C13" s="28">
        <f>(MAX(0,ER_Proyecto!C47)*Supuestos!$G$18/30 + MAX(0,(ER_Proyecto!C34-ER_Proyecto!C17))*Supuestos!$G$19/30 - MAX(0,(ER_Proyecto!C34-ER_Proyecto!C17))*Supuestos!$G$20/30)*(1-Supuestos!$B$24)</f>
        <v>0</v>
      </c>
      <c r="D13" s="28">
        <f>(MAX(0,ER_Proyecto!D47)*Supuestos!$G$18/30 + MAX(0,(ER_Proyecto!D34-ER_Proyecto!D17))*Supuestos!$G$19/30 - MAX(0,(ER_Proyecto!D34-ER_Proyecto!D17))*Supuestos!$G$20/30)*(1-Supuestos!$B$24)</f>
        <v>0</v>
      </c>
      <c r="E13" s="28">
        <f>(MAX(0,ER_Proyecto!E47)*Supuestos!$G$18/30 + MAX(0,(ER_Proyecto!E34-ER_Proyecto!E17))*Supuestos!$G$19/30 - MAX(0,(ER_Proyecto!E34-ER_Proyecto!E17))*Supuestos!$G$20/30)*(1-Supuestos!$B$24)</f>
        <v>534017020.6</v>
      </c>
      <c r="F13" s="28">
        <f>(MAX(0,ER_Proyecto!F47)*Supuestos!$G$18/30 + MAX(0,(ER_Proyecto!F34-ER_Proyecto!F17))*Supuestos!$G$19/30 - MAX(0,(ER_Proyecto!F34-ER_Proyecto!F17))*Supuestos!$G$20/30)*(1-Supuestos!$B$24)</f>
        <v>853225912.2</v>
      </c>
      <c r="G13" s="28">
        <f>(MAX(0,ER_Proyecto!G47)*Supuestos!$G$18/30 + MAX(0,(ER_Proyecto!G34-ER_Proyecto!G17))*Supuestos!$G$19/30 - MAX(0,(ER_Proyecto!G34-ER_Proyecto!G17))*Supuestos!$G$20/30)*(1-Supuestos!$B$24)</f>
        <v>1066912773</v>
      </c>
      <c r="H13" s="28">
        <f>(MAX(0,ER_Proyecto!H47)*Supuestos!$G$18/30 + MAX(0,(ER_Proyecto!H34-ER_Proyecto!H17))*Supuestos!$G$19/30 - MAX(0,(ER_Proyecto!H34-ER_Proyecto!H17))*Supuestos!$G$20/30)*(1-Supuestos!$B$24)</f>
        <v>1068237332</v>
      </c>
      <c r="I13" s="28">
        <f>(MAX(0,ER_Proyecto!I47)*Supuestos!$G$18/30 + MAX(0,(ER_Proyecto!I34-ER_Proyecto!I17))*Supuestos!$G$19/30 - MAX(0,(ER_Proyecto!I34-ER_Proyecto!I17))*Supuestos!$G$20/30)*(1-Supuestos!$B$24)</f>
        <v>1069563535</v>
      </c>
      <c r="J13" s="28">
        <f>(MAX(0,ER_Proyecto!J47)*Supuestos!$G$18/30 + MAX(0,(ER_Proyecto!J34-ER_Proyecto!J17))*Supuestos!$G$19/30 - MAX(0,(ER_Proyecto!J34-ER_Proyecto!J17))*Supuestos!$G$20/30)*(1-Supuestos!$B$24)</f>
        <v>1070891385</v>
      </c>
      <c r="K13" s="28">
        <f>(MAX(0,ER_Proyecto!K47)*Supuestos!$G$18/30 + MAX(0,(ER_Proyecto!K34-ER_Proyecto!K17))*Supuestos!$G$19/30 - MAX(0,(ER_Proyecto!K34-ER_Proyecto!K17))*Supuestos!$G$20/30)*(1-Supuestos!$B$24)</f>
        <v>1072220884</v>
      </c>
      <c r="L13" s="28">
        <f>(MAX(0,ER_Proyecto!L47)*Supuestos!$G$18/30 + MAX(0,(ER_Proyecto!L34-ER_Proyecto!L17))*Supuestos!$G$19/30 - MAX(0,(ER_Proyecto!L34-ER_Proyecto!L17))*Supuestos!$G$20/30)*(1-Supuestos!$B$24)</f>
        <v>1073552033</v>
      </c>
      <c r="M13" s="28">
        <f>(MAX(0,ER_Proyecto!M47)*Supuestos!$G$18/30 + MAX(0,(ER_Proyecto!M34-ER_Proyecto!M17))*Supuestos!$G$19/30 - MAX(0,(ER_Proyecto!M34-ER_Proyecto!M17))*Supuestos!$G$20/30)*(1-Supuestos!$B$24)</f>
        <v>1074884835</v>
      </c>
      <c r="N13" s="28">
        <f>(MAX(0,ER_Proyecto!N47)*Supuestos!$G$18/30 + MAX(0,(ER_Proyecto!N34-ER_Proyecto!N17))*Supuestos!$G$19/30 - MAX(0,(ER_Proyecto!N34-ER_Proyecto!N17))*Supuestos!$G$20/30)*(1-Supuestos!$B$24)</f>
        <v>1076219291</v>
      </c>
      <c r="O13" s="28">
        <f>(MAX(0,ER_Proyecto!O47)*Supuestos!$G$18/30 + MAX(0,(ER_Proyecto!O34-ER_Proyecto!O17))*Supuestos!$G$19/30 - MAX(0,(ER_Proyecto!O34-ER_Proyecto!O17))*Supuestos!$G$20/30)*(1-Supuestos!$B$24)</f>
        <v>1077555404</v>
      </c>
      <c r="P13" s="28">
        <f>(MAX(0,ER_Proyecto!P47)*Supuestos!$G$18/30 + MAX(0,(ER_Proyecto!P34-ER_Proyecto!P17))*Supuestos!$G$19/30 - MAX(0,(ER_Proyecto!P34-ER_Proyecto!P17))*Supuestos!$G$20/30)*(1-Supuestos!$B$24)</f>
        <v>1078893176</v>
      </c>
      <c r="Q13" s="28">
        <f>(MAX(0,ER_Proyecto!Q47)*Supuestos!$G$18/30 + MAX(0,(ER_Proyecto!Q34-ER_Proyecto!Q17))*Supuestos!$G$19/30 - MAX(0,(ER_Proyecto!Q34-ER_Proyecto!Q17))*Supuestos!$G$20/30)*(1-Supuestos!$B$24)</f>
        <v>1080232608</v>
      </c>
      <c r="R13" s="28">
        <f>(MAX(0,ER_Proyecto!R47)*Supuestos!$G$18/30 + MAX(0,(ER_Proyecto!R34-ER_Proyecto!R17))*Supuestos!$G$19/30 - MAX(0,(ER_Proyecto!R34-ER_Proyecto!R17))*Supuestos!$G$20/30)*(1-Supuestos!$B$24)</f>
        <v>1081573704</v>
      </c>
      <c r="S13" s="28">
        <f>(MAX(0,ER_Proyecto!S47)*Supuestos!$G$18/30 + MAX(0,(ER_Proyecto!S34-ER_Proyecto!S17))*Supuestos!$G$19/30 - MAX(0,(ER_Proyecto!S34-ER_Proyecto!S17))*Supuestos!$G$20/30)*(1-Supuestos!$B$24)</f>
        <v>1082916464</v>
      </c>
      <c r="T13" s="28">
        <f>(MAX(0,ER_Proyecto!T47)*Supuestos!$G$18/30 + MAX(0,(ER_Proyecto!T34-ER_Proyecto!T17))*Supuestos!$G$19/30 - MAX(0,(ER_Proyecto!T34-ER_Proyecto!T17))*Supuestos!$G$20/30)*(1-Supuestos!$B$24)</f>
        <v>1084260892</v>
      </c>
      <c r="U13" s="28">
        <f>(MAX(0,ER_Proyecto!U47)*Supuestos!$G$18/30 + MAX(0,(ER_Proyecto!U34-ER_Proyecto!U17))*Supuestos!$G$19/30 - MAX(0,(ER_Proyecto!U34-ER_Proyecto!U17))*Supuestos!$G$20/30)*(1-Supuestos!$B$24)</f>
        <v>1085606989</v>
      </c>
      <c r="V13" s="28">
        <f>(MAX(0,ER_Proyecto!V47)*Supuestos!$G$18/30 + MAX(0,(ER_Proyecto!V34-ER_Proyecto!V17))*Supuestos!$G$19/30 - MAX(0,(ER_Proyecto!V34-ER_Proyecto!V17))*Supuestos!$G$20/30)*(1-Supuestos!$B$24)</f>
        <v>1086954756</v>
      </c>
      <c r="W13" s="28">
        <f>(MAX(0,ER_Proyecto!W47)*Supuestos!$G$18/30 + MAX(0,(ER_Proyecto!W34-ER_Proyecto!W17))*Supuestos!$G$19/30 - MAX(0,(ER_Proyecto!W34-ER_Proyecto!W17))*Supuestos!$G$20/30)*(1-Supuestos!$B$24)</f>
        <v>1088304197</v>
      </c>
      <c r="X13" s="28">
        <f>(MAX(0,ER_Proyecto!X47)*Supuestos!$G$18/30 + MAX(0,(ER_Proyecto!X34-ER_Proyecto!X17))*Supuestos!$G$19/30 - MAX(0,(ER_Proyecto!X34-ER_Proyecto!X17))*Supuestos!$G$20/30)*(1-Supuestos!$B$24)</f>
        <v>1089655314</v>
      </c>
      <c r="Y13" s="28">
        <f>(MAX(0,ER_Proyecto!Y47)*Supuestos!$G$18/30 + MAX(0,(ER_Proyecto!Y34-ER_Proyecto!Y17))*Supuestos!$G$19/30 - MAX(0,(ER_Proyecto!Y34-ER_Proyecto!Y17))*Supuestos!$G$20/30)*(1-Supuestos!$B$24)</f>
        <v>1091008107</v>
      </c>
      <c r="Z13" s="28">
        <f>(MAX(0,ER_Proyecto!Z47)*Supuestos!$G$18/30 + MAX(0,(ER_Proyecto!Z34-ER_Proyecto!Z17))*Supuestos!$G$19/30 - MAX(0,(ER_Proyecto!Z34-ER_Proyecto!Z17))*Supuestos!$G$20/30)*(1-Supuestos!$B$24)</f>
        <v>1092362580</v>
      </c>
      <c r="AA13" s="28">
        <f>(MAX(0,ER_Proyecto!AA47)*Supuestos!$G$18/30 + MAX(0,(ER_Proyecto!AA34-ER_Proyecto!AA17))*Supuestos!$G$19/30 - MAX(0,(ER_Proyecto!AA34-ER_Proyecto!AA17))*Supuestos!$G$20/30)*(1-Supuestos!$B$24)</f>
        <v>1093718735</v>
      </c>
      <c r="AB13" s="28">
        <f>(MAX(0,ER_Proyecto!AB47)*Supuestos!$G$18/30 + MAX(0,(ER_Proyecto!AB34-ER_Proyecto!AB17))*Supuestos!$G$19/30 - MAX(0,(ER_Proyecto!AB34-ER_Proyecto!AB17))*Supuestos!$G$20/30)*(1-Supuestos!$B$24)</f>
        <v>1095076573</v>
      </c>
      <c r="AC13" s="28">
        <f>(MAX(0,ER_Proyecto!AC47)*Supuestos!$G$18/30 + MAX(0,(ER_Proyecto!AC34-ER_Proyecto!AC17))*Supuestos!$G$19/30 - MAX(0,(ER_Proyecto!AC34-ER_Proyecto!AC17))*Supuestos!$G$20/30)*(1-Supuestos!$B$24)</f>
        <v>1096436098</v>
      </c>
      <c r="AD13" s="28">
        <f>(MAX(0,ER_Proyecto!AD47)*Supuestos!$G$18/30 + MAX(0,(ER_Proyecto!AD34-ER_Proyecto!AD17))*Supuestos!$G$19/30 - MAX(0,(ER_Proyecto!AD34-ER_Proyecto!AD17))*Supuestos!$G$20/30)*(1-Supuestos!$B$24)</f>
        <v>1097797310</v>
      </c>
      <c r="AE13" s="28">
        <f>(MAX(0,ER_Proyecto!AE47)*Supuestos!$G$18/30 + MAX(0,(ER_Proyecto!AE34-ER_Proyecto!AE17))*Supuestos!$G$19/30 - MAX(0,(ER_Proyecto!AE34-ER_Proyecto!AE17))*Supuestos!$G$20/30)*(1-Supuestos!$B$24)</f>
        <v>1099160211</v>
      </c>
      <c r="AF13" s="28">
        <f>(MAX(0,ER_Proyecto!AF47)*Supuestos!$G$18/30 + MAX(0,(ER_Proyecto!AF34-ER_Proyecto!AF17))*Supuestos!$G$19/30 - MAX(0,(ER_Proyecto!AF34-ER_Proyecto!AF17))*Supuestos!$G$20/30)*(1-Supuestos!$B$24)</f>
        <v>1100524805</v>
      </c>
      <c r="AG13" s="28">
        <f>(MAX(0,ER_Proyecto!AG47)*Supuestos!$G$18/30 + MAX(0,(ER_Proyecto!AG34-ER_Proyecto!AG17))*Supuestos!$G$19/30 - MAX(0,(ER_Proyecto!AG34-ER_Proyecto!AG17))*Supuestos!$G$20/30)*(1-Supuestos!$B$24)</f>
        <v>1101891093</v>
      </c>
      <c r="AH13" s="28">
        <f>(MAX(0,ER_Proyecto!AH47)*Supuestos!$G$18/30 + MAX(0,(ER_Proyecto!AH34-ER_Proyecto!AH17))*Supuestos!$G$19/30 - MAX(0,(ER_Proyecto!AH34-ER_Proyecto!AH17))*Supuestos!$G$20/30)*(1-Supuestos!$B$24)</f>
        <v>1103259078</v>
      </c>
      <c r="AI13" s="28">
        <f>(MAX(0,ER_Proyecto!AI47)*Supuestos!$G$18/30 + MAX(0,(ER_Proyecto!AI34-ER_Proyecto!AI17))*Supuestos!$G$19/30 - MAX(0,(ER_Proyecto!AI34-ER_Proyecto!AI17))*Supuestos!$G$20/30)*(1-Supuestos!$B$24)</f>
        <v>1104628760</v>
      </c>
      <c r="AJ13" s="28">
        <f>(MAX(0,ER_Proyecto!AJ47)*Supuestos!$G$18/30 + MAX(0,(ER_Proyecto!AJ34-ER_Proyecto!AJ17))*Supuestos!$G$19/30 - MAX(0,(ER_Proyecto!AJ34-ER_Proyecto!AJ17))*Supuestos!$G$20/30)*(1-Supuestos!$B$24)</f>
        <v>1106000143</v>
      </c>
      <c r="AK13" s="28">
        <f>(MAX(0,ER_Proyecto!AK47)*Supuestos!$G$18/30 + MAX(0,(ER_Proyecto!AK34-ER_Proyecto!AK17))*Supuestos!$G$19/30 - MAX(0,(ER_Proyecto!AK34-ER_Proyecto!AK17))*Supuestos!$G$20/30)*(1-Supuestos!$B$24)</f>
        <v>1107373229</v>
      </c>
      <c r="AL13" s="28">
        <f>(MAX(0,ER_Proyecto!AL47)*Supuestos!$G$18/30 + MAX(0,(ER_Proyecto!AL34-ER_Proyecto!AL17))*Supuestos!$G$19/30 - MAX(0,(ER_Proyecto!AL34-ER_Proyecto!AL17))*Supuestos!$G$20/30)*(1-Supuestos!$B$24)</f>
        <v>1108748019</v>
      </c>
      <c r="AM13" s="28">
        <f>(MAX(0,ER_Proyecto!AM47)*Supuestos!$G$18/30 + MAX(0,(ER_Proyecto!AM34-ER_Proyecto!AM17))*Supuestos!$G$19/30 - MAX(0,(ER_Proyecto!AM34-ER_Proyecto!AM17))*Supuestos!$G$20/30)*(1-Supuestos!$B$24)</f>
        <v>1110124516</v>
      </c>
      <c r="AN13" s="28">
        <f>(MAX(0,ER_Proyecto!AN47)*Supuestos!$G$18/30 + MAX(0,(ER_Proyecto!AN34-ER_Proyecto!AN17))*Supuestos!$G$19/30 - MAX(0,(ER_Proyecto!AN34-ER_Proyecto!AN17))*Supuestos!$G$20/30)*(1-Supuestos!$B$24)</f>
        <v>1111502722</v>
      </c>
      <c r="AO13" s="28">
        <f>(MAX(0,ER_Proyecto!AO47)*Supuestos!$G$18/30 + MAX(0,(ER_Proyecto!AO34-ER_Proyecto!AO17))*Supuestos!$G$19/30 - MAX(0,(ER_Proyecto!AO34-ER_Proyecto!AO17))*Supuestos!$G$20/30)*(1-Supuestos!$B$24)</f>
        <v>1112882639</v>
      </c>
      <c r="AP13" s="28">
        <f>(MAX(0,ER_Proyecto!AP47)*Supuestos!$G$18/30 + MAX(0,(ER_Proyecto!AP34-ER_Proyecto!AP17))*Supuestos!$G$19/30 - MAX(0,(ER_Proyecto!AP34-ER_Proyecto!AP17))*Supuestos!$G$20/30)*(1-Supuestos!$B$24)</f>
        <v>1114264269</v>
      </c>
      <c r="AQ13" s="28">
        <f>(MAX(0,ER_Proyecto!AQ47)*Supuestos!$G$18/30 + MAX(0,(ER_Proyecto!AQ34-ER_Proyecto!AQ17))*Supuestos!$G$19/30 - MAX(0,(ER_Proyecto!AQ34-ER_Proyecto!AQ17))*Supuestos!$G$20/30)*(1-Supuestos!$B$24)</f>
        <v>1115647615</v>
      </c>
      <c r="AR13" s="28">
        <f>(MAX(0,ER_Proyecto!AR47)*Supuestos!$G$18/30 + MAX(0,(ER_Proyecto!AR34-ER_Proyecto!AR17))*Supuestos!$G$19/30 - MAX(0,(ER_Proyecto!AR34-ER_Proyecto!AR17))*Supuestos!$G$20/30)*(1-Supuestos!$B$24)</f>
        <v>1117032677</v>
      </c>
      <c r="AS13" s="28">
        <f>(MAX(0,ER_Proyecto!AS47)*Supuestos!$G$18/30 + MAX(0,(ER_Proyecto!AS34-ER_Proyecto!AS17))*Supuestos!$G$19/30 - MAX(0,(ER_Proyecto!AS34-ER_Proyecto!AS17))*Supuestos!$G$20/30)*(1-Supuestos!$B$24)</f>
        <v>1118419460</v>
      </c>
      <c r="AT13" s="28">
        <f>(MAX(0,ER_Proyecto!AT47)*Supuestos!$G$18/30 + MAX(0,(ER_Proyecto!AT34-ER_Proyecto!AT17))*Supuestos!$G$19/30 - MAX(0,(ER_Proyecto!AT34-ER_Proyecto!AT17))*Supuestos!$G$20/30)*(1-Supuestos!$B$24)</f>
        <v>1119807964</v>
      </c>
      <c r="AU13" s="28">
        <f>(MAX(0,ER_Proyecto!AU47)*Supuestos!$G$18/30 + MAX(0,(ER_Proyecto!AU34-ER_Proyecto!AU17))*Supuestos!$G$19/30 - MAX(0,(ER_Proyecto!AU34-ER_Proyecto!AU17))*Supuestos!$G$20/30)*(1-Supuestos!$B$24)</f>
        <v>1121198192</v>
      </c>
      <c r="AV13" s="28">
        <f>(MAX(0,ER_Proyecto!AV47)*Supuestos!$G$18/30 + MAX(0,(ER_Proyecto!AV34-ER_Proyecto!AV17))*Supuestos!$G$19/30 - MAX(0,(ER_Proyecto!AV34-ER_Proyecto!AV17))*Supuestos!$G$20/30)*(1-Supuestos!$B$24)</f>
        <v>1122590145</v>
      </c>
      <c r="AW13" s="28">
        <f>(MAX(0,ER_Proyecto!AW47)*Supuestos!$G$18/30 + MAX(0,(ER_Proyecto!AW34-ER_Proyecto!AW17))*Supuestos!$G$19/30 - MAX(0,(ER_Proyecto!AW34-ER_Proyecto!AW17))*Supuestos!$G$20/30)*(1-Supuestos!$B$24)</f>
        <v>1123983827</v>
      </c>
      <c r="AX13" s="28">
        <f>(MAX(0,ER_Proyecto!AX47)*Supuestos!$G$18/30 + MAX(0,(ER_Proyecto!AX34-ER_Proyecto!AX17))*Supuestos!$G$19/30 - MAX(0,(ER_Proyecto!AX34-ER_Proyecto!AX17))*Supuestos!$G$20/30)*(1-Supuestos!$B$24)</f>
        <v>1125379239</v>
      </c>
      <c r="AY13" s="28">
        <f>(MAX(0,ER_Proyecto!AY47)*Supuestos!$G$18/30 + MAX(0,(ER_Proyecto!AY34-ER_Proyecto!AY17))*Supuestos!$G$19/30 - MAX(0,(ER_Proyecto!AY34-ER_Proyecto!AY17))*Supuestos!$G$20/30)*(1-Supuestos!$B$24)</f>
        <v>1126776384</v>
      </c>
      <c r="AZ13" s="28">
        <f>(MAX(0,ER_Proyecto!AZ47)*Supuestos!$G$18/30 + MAX(0,(ER_Proyecto!AZ34-ER_Proyecto!AZ17))*Supuestos!$G$19/30 - MAX(0,(ER_Proyecto!AZ34-ER_Proyecto!AZ17))*Supuestos!$G$20/30)*(1-Supuestos!$B$24)</f>
        <v>1128175263</v>
      </c>
      <c r="BA13" s="28">
        <f>(MAX(0,ER_Proyecto!BA47)*Supuestos!$G$18/30 + MAX(0,(ER_Proyecto!BA34-ER_Proyecto!BA17))*Supuestos!$G$19/30 - MAX(0,(ER_Proyecto!BA34-ER_Proyecto!BA17))*Supuestos!$G$20/30)*(1-Supuestos!$B$24)</f>
        <v>1129575879</v>
      </c>
      <c r="BB13" s="28">
        <f>(MAX(0,ER_Proyecto!BB47)*Supuestos!$G$18/30 + MAX(0,(ER_Proyecto!BB34-ER_Proyecto!BB17))*Supuestos!$G$19/30 - MAX(0,(ER_Proyecto!BB34-ER_Proyecto!BB17))*Supuestos!$G$20/30)*(1-Supuestos!$B$24)</f>
        <v>1130978233</v>
      </c>
      <c r="BC13" s="28">
        <f>(MAX(0,ER_Proyecto!BC47)*Supuestos!$G$18/30 + MAX(0,(ER_Proyecto!BC34-ER_Proyecto!BC17))*Supuestos!$G$19/30 - MAX(0,(ER_Proyecto!BC34-ER_Proyecto!BC17))*Supuestos!$G$20/30)*(1-Supuestos!$B$24)</f>
        <v>1132382329</v>
      </c>
      <c r="BD13" s="28">
        <f>(MAX(0,ER_Proyecto!BD47)*Supuestos!$G$18/30 + MAX(0,(ER_Proyecto!BD34-ER_Proyecto!BD17))*Supuestos!$G$19/30 - MAX(0,(ER_Proyecto!BD34-ER_Proyecto!BD17))*Supuestos!$G$20/30)*(1-Supuestos!$B$24)</f>
        <v>1133788168</v>
      </c>
      <c r="BE13" s="28">
        <f>(MAX(0,ER_Proyecto!BE47)*Supuestos!$G$18/30 + MAX(0,(ER_Proyecto!BE34-ER_Proyecto!BE17))*Supuestos!$G$19/30 - MAX(0,(ER_Proyecto!BE34-ER_Proyecto!BE17))*Supuestos!$G$20/30)*(1-Supuestos!$B$24)</f>
        <v>1135195752</v>
      </c>
      <c r="BF13" s="28">
        <f>(MAX(0,ER_Proyecto!BF47)*Supuestos!$G$18/30 + MAX(0,(ER_Proyecto!BF34-ER_Proyecto!BF17))*Supuestos!$G$19/30 - MAX(0,(ER_Proyecto!BF34-ER_Proyecto!BF17))*Supuestos!$G$20/30)*(1-Supuestos!$B$24)</f>
        <v>1136605083</v>
      </c>
      <c r="BG13" s="28">
        <f>(MAX(0,ER_Proyecto!BG47)*Supuestos!$G$18/30 + MAX(0,(ER_Proyecto!BG34-ER_Proyecto!BG17))*Supuestos!$G$19/30 - MAX(0,(ER_Proyecto!BG34-ER_Proyecto!BG17))*Supuestos!$G$20/30)*(1-Supuestos!$B$24)</f>
        <v>1138016164</v>
      </c>
      <c r="BH13" s="28">
        <f>(MAX(0,ER_Proyecto!BH47)*Supuestos!$G$18/30 + MAX(0,(ER_Proyecto!BH34-ER_Proyecto!BH17))*Supuestos!$G$19/30 - MAX(0,(ER_Proyecto!BH34-ER_Proyecto!BH17))*Supuestos!$G$20/30)*(1-Supuestos!$B$24)</f>
        <v>1139428998</v>
      </c>
      <c r="BI13" s="28">
        <f>(MAX(0,ER_Proyecto!BI47)*Supuestos!$G$18/30 + MAX(0,(ER_Proyecto!BI34-ER_Proyecto!BI17))*Supuestos!$G$19/30 - MAX(0,(ER_Proyecto!BI34-ER_Proyecto!BI17))*Supuestos!$G$20/30)*(1-Supuestos!$B$24)</f>
        <v>1140843585</v>
      </c>
      <c r="BJ13" s="28">
        <f>(MAX(0,ER_Proyecto!BJ47)*Supuestos!$G$18/30 + MAX(0,(ER_Proyecto!BJ34-ER_Proyecto!BJ17))*Supuestos!$G$19/30 - MAX(0,(ER_Proyecto!BJ34-ER_Proyecto!BJ17))*Supuestos!$G$20/30)*(1-Supuestos!$B$24)</f>
        <v>1142259928</v>
      </c>
    </row>
    <row r="14">
      <c r="A14" s="22" t="s">
        <v>174</v>
      </c>
      <c r="B14" s="22" t="s">
        <v>626</v>
      </c>
      <c r="C14" s="28">
        <f>C13</f>
        <v>0</v>
      </c>
      <c r="D14" s="28">
        <f t="shared" ref="D14:BJ14" si="2">D13-C13</f>
        <v>0</v>
      </c>
      <c r="E14" s="28">
        <f t="shared" si="2"/>
        <v>534017020.6</v>
      </c>
      <c r="F14" s="28">
        <f t="shared" si="2"/>
        <v>319208891.5</v>
      </c>
      <c r="G14" s="28">
        <f t="shared" si="2"/>
        <v>213686860.7</v>
      </c>
      <c r="H14" s="28">
        <f t="shared" si="2"/>
        <v>1324559.102</v>
      </c>
      <c r="I14" s="28">
        <f t="shared" si="2"/>
        <v>1326203.526</v>
      </c>
      <c r="J14" s="28">
        <f t="shared" si="2"/>
        <v>1327849.991</v>
      </c>
      <c r="K14" s="28">
        <f t="shared" si="2"/>
        <v>1329498.501</v>
      </c>
      <c r="L14" s="28">
        <f t="shared" si="2"/>
        <v>1331149.057</v>
      </c>
      <c r="M14" s="28">
        <f t="shared" si="2"/>
        <v>1332801.662</v>
      </c>
      <c r="N14" s="28">
        <f t="shared" si="2"/>
        <v>1334456.319</v>
      </c>
      <c r="O14" s="28">
        <f t="shared" si="2"/>
        <v>1336113.03</v>
      </c>
      <c r="P14" s="28">
        <f t="shared" si="2"/>
        <v>1337771.798</v>
      </c>
      <c r="Q14" s="28">
        <f t="shared" si="2"/>
        <v>1339432.625</v>
      </c>
      <c r="R14" s="28">
        <f t="shared" si="2"/>
        <v>1341095.514</v>
      </c>
      <c r="S14" s="28">
        <f t="shared" si="2"/>
        <v>1342760.468</v>
      </c>
      <c r="T14" s="28">
        <f t="shared" si="2"/>
        <v>1344427.489</v>
      </c>
      <c r="U14" s="28">
        <f t="shared" si="2"/>
        <v>1346096.579</v>
      </c>
      <c r="V14" s="28">
        <f t="shared" si="2"/>
        <v>1347767.741</v>
      </c>
      <c r="W14" s="28">
        <f t="shared" si="2"/>
        <v>1349440.978</v>
      </c>
      <c r="X14" s="28">
        <f t="shared" si="2"/>
        <v>1351116.293</v>
      </c>
      <c r="Y14" s="28">
        <f t="shared" si="2"/>
        <v>1352793.687</v>
      </c>
      <c r="Z14" s="28">
        <f t="shared" si="2"/>
        <v>1354473.164</v>
      </c>
      <c r="AA14" s="28">
        <f t="shared" si="2"/>
        <v>1356154.725</v>
      </c>
      <c r="AB14" s="28">
        <f t="shared" si="2"/>
        <v>1357838.375</v>
      </c>
      <c r="AC14" s="28">
        <f t="shared" si="2"/>
        <v>1359524.115</v>
      </c>
      <c r="AD14" s="28">
        <f t="shared" si="2"/>
        <v>1361211.947</v>
      </c>
      <c r="AE14" s="28">
        <f t="shared" si="2"/>
        <v>1362901.875</v>
      </c>
      <c r="AF14" s="28">
        <f t="shared" si="2"/>
        <v>1364593.901</v>
      </c>
      <c r="AG14" s="28">
        <f t="shared" si="2"/>
        <v>1366288.027</v>
      </c>
      <c r="AH14" s="28">
        <f t="shared" si="2"/>
        <v>1367984.257</v>
      </c>
      <c r="AI14" s="28">
        <f t="shared" si="2"/>
        <v>1369682.593</v>
      </c>
      <c r="AJ14" s="28">
        <f t="shared" si="2"/>
        <v>1371383.037</v>
      </c>
      <c r="AK14" s="28">
        <f t="shared" si="2"/>
        <v>1373085.592</v>
      </c>
      <c r="AL14" s="28">
        <f t="shared" si="2"/>
        <v>1374790.261</v>
      </c>
      <c r="AM14" s="28">
        <f t="shared" si="2"/>
        <v>1376497.046</v>
      </c>
      <c r="AN14" s="28">
        <f t="shared" si="2"/>
        <v>1378205.95</v>
      </c>
      <c r="AO14" s="28">
        <f t="shared" si="2"/>
        <v>1379916.976</v>
      </c>
      <c r="AP14" s="28">
        <f t="shared" si="2"/>
        <v>1381630.126</v>
      </c>
      <c r="AQ14" s="28">
        <f t="shared" si="2"/>
        <v>1383345.403</v>
      </c>
      <c r="AR14" s="28">
        <f t="shared" si="2"/>
        <v>1385062.809</v>
      </c>
      <c r="AS14" s="28">
        <f t="shared" si="2"/>
        <v>1386782.348</v>
      </c>
      <c r="AT14" s="28">
        <f t="shared" si="2"/>
        <v>1388504.021</v>
      </c>
      <c r="AU14" s="28">
        <f t="shared" si="2"/>
        <v>1390227.832</v>
      </c>
      <c r="AV14" s="28">
        <f t="shared" si="2"/>
        <v>1391953.783</v>
      </c>
      <c r="AW14" s="28">
        <f t="shared" si="2"/>
        <v>1393681.876</v>
      </c>
      <c r="AX14" s="28">
        <f t="shared" si="2"/>
        <v>1395412.115</v>
      </c>
      <c r="AY14" s="28">
        <f t="shared" si="2"/>
        <v>1397144.502</v>
      </c>
      <c r="AZ14" s="28">
        <f t="shared" si="2"/>
        <v>1398879.04</v>
      </c>
      <c r="BA14" s="28">
        <f t="shared" si="2"/>
        <v>1400615.731</v>
      </c>
      <c r="BB14" s="28">
        <f t="shared" si="2"/>
        <v>1402354.578</v>
      </c>
      <c r="BC14" s="28">
        <f t="shared" si="2"/>
        <v>1404095.584</v>
      </c>
      <c r="BD14" s="28">
        <f t="shared" si="2"/>
        <v>1405838.752</v>
      </c>
      <c r="BE14" s="28">
        <f t="shared" si="2"/>
        <v>1407584.083</v>
      </c>
      <c r="BF14" s="28">
        <f t="shared" si="2"/>
        <v>1409331.581</v>
      </c>
      <c r="BG14" s="28">
        <f t="shared" si="2"/>
        <v>1411081.249</v>
      </c>
      <c r="BH14" s="28">
        <f t="shared" si="2"/>
        <v>1412833.089</v>
      </c>
      <c r="BI14" s="28">
        <f t="shared" si="2"/>
        <v>1414587.104</v>
      </c>
      <c r="BJ14" s="28">
        <f t="shared" si="2"/>
        <v>1416343.297</v>
      </c>
    </row>
    <row r="15">
      <c r="A15" s="22" t="s">
        <v>176</v>
      </c>
      <c r="B15" s="22" t="s">
        <v>627</v>
      </c>
      <c r="C15" s="28">
        <f t="shared" ref="C15:BJ15" si="3">C9+C6-C10-C11-C12-C14</f>
        <v>-4579424039</v>
      </c>
      <c r="D15" s="28">
        <f t="shared" si="3"/>
        <v>-7889206371</v>
      </c>
      <c r="E15" s="28">
        <f t="shared" si="3"/>
        <v>-5872166788</v>
      </c>
      <c r="F15" s="28">
        <f t="shared" si="3"/>
        <v>-4370154308</v>
      </c>
      <c r="G15" s="28">
        <f t="shared" si="3"/>
        <v>432748140.6</v>
      </c>
      <c r="H15" s="28">
        <f t="shared" si="3"/>
        <v>645878993.9</v>
      </c>
      <c r="I15" s="28">
        <f t="shared" si="3"/>
        <v>646646855.4</v>
      </c>
      <c r="J15" s="28">
        <f t="shared" si="3"/>
        <v>647415670.1</v>
      </c>
      <c r="K15" s="28">
        <f t="shared" si="3"/>
        <v>648185439.4</v>
      </c>
      <c r="L15" s="28">
        <f t="shared" si="3"/>
        <v>648956164.2</v>
      </c>
      <c r="M15" s="28">
        <f t="shared" si="3"/>
        <v>649727846</v>
      </c>
      <c r="N15" s="28">
        <f t="shared" si="3"/>
        <v>650500485.7</v>
      </c>
      <c r="O15" s="28">
        <f t="shared" si="3"/>
        <v>651274084.7</v>
      </c>
      <c r="P15" s="28">
        <f t="shared" si="3"/>
        <v>652048644.1</v>
      </c>
      <c r="Q15" s="28">
        <f t="shared" si="3"/>
        <v>652824165.1</v>
      </c>
      <c r="R15" s="28">
        <f t="shared" si="3"/>
        <v>653600648.9</v>
      </c>
      <c r="S15" s="28">
        <f t="shared" si="3"/>
        <v>654378096.7</v>
      </c>
      <c r="T15" s="28">
        <f t="shared" si="3"/>
        <v>655156509.7</v>
      </c>
      <c r="U15" s="28">
        <f t="shared" si="3"/>
        <v>655935889</v>
      </c>
      <c r="V15" s="28">
        <f t="shared" si="3"/>
        <v>656716236</v>
      </c>
      <c r="W15" s="28">
        <f t="shared" si="3"/>
        <v>657497551.8</v>
      </c>
      <c r="X15" s="28">
        <f t="shared" si="3"/>
        <v>658279837.5</v>
      </c>
      <c r="Y15" s="28">
        <f t="shared" si="3"/>
        <v>659063094.5</v>
      </c>
      <c r="Z15" s="28">
        <f t="shared" si="3"/>
        <v>659847323.8</v>
      </c>
      <c r="AA15" s="28">
        <f t="shared" si="3"/>
        <v>660632526.8</v>
      </c>
      <c r="AB15" s="28">
        <f t="shared" si="3"/>
        <v>661418704.6</v>
      </c>
      <c r="AC15" s="28">
        <f t="shared" si="3"/>
        <v>662205858.4</v>
      </c>
      <c r="AD15" s="28">
        <f t="shared" si="3"/>
        <v>662993989.4</v>
      </c>
      <c r="AE15" s="28">
        <f t="shared" si="3"/>
        <v>663783098.9</v>
      </c>
      <c r="AF15" s="28">
        <f t="shared" si="3"/>
        <v>664573188.1</v>
      </c>
      <c r="AG15" s="28">
        <f t="shared" si="3"/>
        <v>665364258.2</v>
      </c>
      <c r="AH15" s="28">
        <f t="shared" si="3"/>
        <v>666156310.3</v>
      </c>
      <c r="AI15" s="28">
        <f t="shared" si="3"/>
        <v>666949345.8</v>
      </c>
      <c r="AJ15" s="28">
        <f t="shared" si="3"/>
        <v>667743365.9</v>
      </c>
      <c r="AK15" s="28">
        <f t="shared" si="3"/>
        <v>668538371.7</v>
      </c>
      <c r="AL15" s="28">
        <f t="shared" si="3"/>
        <v>669334364.5</v>
      </c>
      <c r="AM15" s="28">
        <f t="shared" si="3"/>
        <v>670131345.5</v>
      </c>
      <c r="AN15" s="28">
        <f t="shared" si="3"/>
        <v>670929315.9</v>
      </c>
      <c r="AO15" s="28">
        <f t="shared" si="3"/>
        <v>671728277</v>
      </c>
      <c r="AP15" s="28">
        <f t="shared" si="3"/>
        <v>672528230.1</v>
      </c>
      <c r="AQ15" s="28">
        <f t="shared" si="3"/>
        <v>673329176.2</v>
      </c>
      <c r="AR15" s="28">
        <f t="shared" si="3"/>
        <v>674131116.7</v>
      </c>
      <c r="AS15" s="28">
        <f t="shared" si="3"/>
        <v>674934052.8</v>
      </c>
      <c r="AT15" s="28">
        <f t="shared" si="3"/>
        <v>675737985.8</v>
      </c>
      <c r="AU15" s="28">
        <f t="shared" si="3"/>
        <v>676542916.8</v>
      </c>
      <c r="AV15" s="28">
        <f t="shared" si="3"/>
        <v>677348847.2</v>
      </c>
      <c r="AW15" s="28">
        <f t="shared" si="3"/>
        <v>678155778.1</v>
      </c>
      <c r="AX15" s="28">
        <f t="shared" si="3"/>
        <v>678963710.7</v>
      </c>
      <c r="AY15" s="28">
        <f t="shared" si="3"/>
        <v>679772646.5</v>
      </c>
      <c r="AZ15" s="28">
        <f t="shared" si="3"/>
        <v>680582586.5</v>
      </c>
      <c r="BA15" s="28">
        <f t="shared" si="3"/>
        <v>681393532</v>
      </c>
      <c r="BB15" s="28">
        <f t="shared" si="3"/>
        <v>682205484.3</v>
      </c>
      <c r="BC15" s="28">
        <f t="shared" si="3"/>
        <v>683018444.7</v>
      </c>
      <c r="BD15" s="28">
        <f t="shared" si="3"/>
        <v>683832414.3</v>
      </c>
      <c r="BE15" s="28">
        <f t="shared" si="3"/>
        <v>684647394.4</v>
      </c>
      <c r="BF15" s="28">
        <f t="shared" si="3"/>
        <v>685463386.4</v>
      </c>
      <c r="BG15" s="28">
        <f t="shared" si="3"/>
        <v>686280391.4</v>
      </c>
      <c r="BH15" s="28">
        <f t="shared" si="3"/>
        <v>687098410.7</v>
      </c>
      <c r="BI15" s="28">
        <f t="shared" si="3"/>
        <v>687917445.5</v>
      </c>
      <c r="BJ15" s="28">
        <f t="shared" si="3"/>
        <v>688737497.2</v>
      </c>
    </row>
    <row r="16">
      <c r="A16" s="22" t="s">
        <v>178</v>
      </c>
      <c r="B16" s="22" t="s">
        <v>628</v>
      </c>
      <c r="C16" s="28">
        <f>C15</f>
        <v>-4579424039</v>
      </c>
      <c r="D16" s="28">
        <f t="shared" ref="D16:BJ16" si="4">C16+D15</f>
        <v>-12468630410</v>
      </c>
      <c r="E16" s="28">
        <f t="shared" si="4"/>
        <v>-18340797198</v>
      </c>
      <c r="F16" s="28">
        <f t="shared" si="4"/>
        <v>-22710951506</v>
      </c>
      <c r="G16" s="28">
        <f t="shared" si="4"/>
        <v>-22278203365</v>
      </c>
      <c r="H16" s="28">
        <f t="shared" si="4"/>
        <v>-21632324371</v>
      </c>
      <c r="I16" s="28">
        <f t="shared" si="4"/>
        <v>-20985677516</v>
      </c>
      <c r="J16" s="28">
        <f t="shared" si="4"/>
        <v>-20338261846</v>
      </c>
      <c r="K16" s="28">
        <f t="shared" si="4"/>
        <v>-19690076406</v>
      </c>
      <c r="L16" s="28">
        <f t="shared" si="4"/>
        <v>-19041120242</v>
      </c>
      <c r="M16" s="28">
        <f t="shared" si="4"/>
        <v>-18391392396</v>
      </c>
      <c r="N16" s="28">
        <f t="shared" si="4"/>
        <v>-17740891911</v>
      </c>
      <c r="O16" s="28">
        <f t="shared" si="4"/>
        <v>-17089617826</v>
      </c>
      <c r="P16" s="28">
        <f t="shared" si="4"/>
        <v>-16437569182</v>
      </c>
      <c r="Q16" s="28">
        <f t="shared" si="4"/>
        <v>-15784745017</v>
      </c>
      <c r="R16" s="28">
        <f t="shared" si="4"/>
        <v>-15131144368</v>
      </c>
      <c r="S16" s="28">
        <f t="shared" si="4"/>
        <v>-14476766271</v>
      </c>
      <c r="T16" s="28">
        <f t="shared" si="4"/>
        <v>-13821609761</v>
      </c>
      <c r="U16" s="28">
        <f t="shared" si="4"/>
        <v>-13165673872</v>
      </c>
      <c r="V16" s="28">
        <f t="shared" si="4"/>
        <v>-12508957636</v>
      </c>
      <c r="W16" s="28">
        <f t="shared" si="4"/>
        <v>-11851460085</v>
      </c>
      <c r="X16" s="28">
        <f t="shared" si="4"/>
        <v>-11193180247</v>
      </c>
      <c r="Y16" s="28">
        <f t="shared" si="4"/>
        <v>-10534117153</v>
      </c>
      <c r="Z16" s="28">
        <f t="shared" si="4"/>
        <v>-9874269829</v>
      </c>
      <c r="AA16" s="28">
        <f t="shared" si="4"/>
        <v>-9213637302</v>
      </c>
      <c r="AB16" s="28">
        <f t="shared" si="4"/>
        <v>-8552218598</v>
      </c>
      <c r="AC16" s="28">
        <f t="shared" si="4"/>
        <v>-7890012739</v>
      </c>
      <c r="AD16" s="28">
        <f t="shared" si="4"/>
        <v>-7227018750</v>
      </c>
      <c r="AE16" s="28">
        <f t="shared" si="4"/>
        <v>-6563235651</v>
      </c>
      <c r="AF16" s="28">
        <f t="shared" si="4"/>
        <v>-5898662463</v>
      </c>
      <c r="AG16" s="28">
        <f t="shared" si="4"/>
        <v>-5233298205</v>
      </c>
      <c r="AH16" s="28">
        <f t="shared" si="4"/>
        <v>-4567141894</v>
      </c>
      <c r="AI16" s="28">
        <f t="shared" si="4"/>
        <v>-3900192548</v>
      </c>
      <c r="AJ16" s="28">
        <f t="shared" si="4"/>
        <v>-3232449183</v>
      </c>
      <c r="AK16" s="28">
        <f t="shared" si="4"/>
        <v>-2563910811</v>
      </c>
      <c r="AL16" s="28">
        <f t="shared" si="4"/>
        <v>-1894576446</v>
      </c>
      <c r="AM16" s="28">
        <f t="shared" si="4"/>
        <v>-1224445101</v>
      </c>
      <c r="AN16" s="28">
        <f t="shared" si="4"/>
        <v>-553515785</v>
      </c>
      <c r="AO16" s="28">
        <f t="shared" si="4"/>
        <v>118212492.1</v>
      </c>
      <c r="AP16" s="28">
        <f t="shared" si="4"/>
        <v>790740722.1</v>
      </c>
      <c r="AQ16" s="28">
        <f t="shared" si="4"/>
        <v>1464069898</v>
      </c>
      <c r="AR16" s="28">
        <f t="shared" si="4"/>
        <v>2138201015</v>
      </c>
      <c r="AS16" s="28">
        <f t="shared" si="4"/>
        <v>2813135068</v>
      </c>
      <c r="AT16" s="28">
        <f t="shared" si="4"/>
        <v>3488873054</v>
      </c>
      <c r="AU16" s="28">
        <f t="shared" si="4"/>
        <v>4165415971</v>
      </c>
      <c r="AV16" s="28">
        <f t="shared" si="4"/>
        <v>4842764818</v>
      </c>
      <c r="AW16" s="28">
        <f t="shared" si="4"/>
        <v>5520920596</v>
      </c>
      <c r="AX16" s="28">
        <f t="shared" si="4"/>
        <v>6199884307</v>
      </c>
      <c r="AY16" s="28">
        <f t="shared" si="4"/>
        <v>6879656953</v>
      </c>
      <c r="AZ16" s="28">
        <f t="shared" si="4"/>
        <v>7560239539</v>
      </c>
      <c r="BA16" s="28">
        <f t="shared" si="4"/>
        <v>8241633071</v>
      </c>
      <c r="BB16" s="28">
        <f t="shared" si="4"/>
        <v>8923838556</v>
      </c>
      <c r="BC16" s="28">
        <f t="shared" si="4"/>
        <v>9606857000</v>
      </c>
      <c r="BD16" s="28">
        <f t="shared" si="4"/>
        <v>10290689415</v>
      </c>
      <c r="BE16" s="28">
        <f t="shared" si="4"/>
        <v>10975336809</v>
      </c>
      <c r="BF16" s="28">
        <f t="shared" si="4"/>
        <v>11660800196</v>
      </c>
      <c r="BG16" s="28">
        <f t="shared" si="4"/>
        <v>12347080587</v>
      </c>
      <c r="BH16" s="28">
        <f t="shared" si="4"/>
        <v>13034178998</v>
      </c>
      <c r="BI16" s="28">
        <f t="shared" si="4"/>
        <v>13722096443</v>
      </c>
      <c r="BJ16" s="28">
        <f t="shared" si="4"/>
        <v>14410833940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">
    <mergeCell ref="A1:J1"/>
  </mergeCells>
  <printOptions/>
  <pageMargins bottom="0.75" footer="0.0" header="0.0" left="0.7" right="0.7" top="0.75"/>
  <pageSetup orientation="landscape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8.0"/>
    <col customWidth="1" min="2" max="2" width="28.0"/>
    <col customWidth="1" min="3" max="62" width="8.63"/>
  </cols>
  <sheetData>
    <row r="1">
      <c r="A1" s="25" t="s">
        <v>629</v>
      </c>
    </row>
    <row r="3">
      <c r="C3" s="30">
        <v>46113.0</v>
      </c>
      <c r="D3" s="30">
        <v>46143.0</v>
      </c>
      <c r="E3" s="30">
        <v>46174.0</v>
      </c>
      <c r="F3" s="30">
        <v>46204.0</v>
      </c>
      <c r="G3" s="30">
        <v>46235.0</v>
      </c>
      <c r="H3" s="30">
        <v>46266.0</v>
      </c>
      <c r="I3" s="30">
        <v>46296.0</v>
      </c>
      <c r="J3" s="30">
        <v>46327.0</v>
      </c>
      <c r="K3" s="30">
        <v>46357.0</v>
      </c>
      <c r="L3" s="30">
        <v>46388.0</v>
      </c>
      <c r="M3" s="30">
        <v>46419.0</v>
      </c>
      <c r="N3" s="30">
        <v>46447.0</v>
      </c>
      <c r="O3" s="30">
        <v>46478.0</v>
      </c>
      <c r="P3" s="30">
        <v>46508.0</v>
      </c>
      <c r="Q3" s="30">
        <v>46539.0</v>
      </c>
      <c r="R3" s="30">
        <v>46569.0</v>
      </c>
      <c r="S3" s="30">
        <v>46600.0</v>
      </c>
      <c r="T3" s="30">
        <v>46631.0</v>
      </c>
      <c r="U3" s="30">
        <v>46661.0</v>
      </c>
      <c r="V3" s="30">
        <v>46692.0</v>
      </c>
      <c r="W3" s="30">
        <v>46722.0</v>
      </c>
      <c r="X3" s="30">
        <v>46753.0</v>
      </c>
      <c r="Y3" s="30">
        <v>46784.0</v>
      </c>
      <c r="Z3" s="30">
        <v>46813.0</v>
      </c>
      <c r="AA3" s="30">
        <v>46844.0</v>
      </c>
      <c r="AB3" s="30">
        <v>46874.0</v>
      </c>
      <c r="AC3" s="30">
        <v>46905.0</v>
      </c>
      <c r="AD3" s="30">
        <v>46935.0</v>
      </c>
      <c r="AE3" s="30">
        <v>46966.0</v>
      </c>
      <c r="AF3" s="30">
        <v>46997.0</v>
      </c>
      <c r="AG3" s="30">
        <v>47027.0</v>
      </c>
      <c r="AH3" s="30">
        <v>47058.0</v>
      </c>
      <c r="AI3" s="30">
        <v>47088.0</v>
      </c>
      <c r="AJ3" s="30">
        <v>47119.0</v>
      </c>
      <c r="AK3" s="30">
        <v>47150.0</v>
      </c>
      <c r="AL3" s="30">
        <v>47178.0</v>
      </c>
      <c r="AM3" s="30">
        <v>47209.0</v>
      </c>
      <c r="AN3" s="30">
        <v>47239.0</v>
      </c>
      <c r="AO3" s="30">
        <v>47270.0</v>
      </c>
      <c r="AP3" s="30">
        <v>47300.0</v>
      </c>
      <c r="AQ3" s="30">
        <v>47331.0</v>
      </c>
      <c r="AR3" s="30">
        <v>47362.0</v>
      </c>
      <c r="AS3" s="30">
        <v>47392.0</v>
      </c>
      <c r="AT3" s="30">
        <v>47423.0</v>
      </c>
      <c r="AU3" s="30">
        <v>47453.0</v>
      </c>
      <c r="AV3" s="30">
        <v>47484.0</v>
      </c>
      <c r="AW3" s="30">
        <v>47515.0</v>
      </c>
      <c r="AX3" s="30">
        <v>47543.0</v>
      </c>
      <c r="AY3" s="30">
        <v>47574.0</v>
      </c>
      <c r="AZ3" s="30">
        <v>47604.0</v>
      </c>
      <c r="BA3" s="30">
        <v>47635.0</v>
      </c>
      <c r="BB3" s="30">
        <v>47665.0</v>
      </c>
      <c r="BC3" s="30">
        <v>47696.0</v>
      </c>
      <c r="BD3" s="30">
        <v>47727.0</v>
      </c>
      <c r="BE3" s="30">
        <v>47757.0</v>
      </c>
      <c r="BF3" s="30">
        <v>47788.0</v>
      </c>
      <c r="BG3" s="30">
        <v>47818.0</v>
      </c>
      <c r="BH3" s="30">
        <v>47849.0</v>
      </c>
      <c r="BI3" s="30">
        <v>47880.0</v>
      </c>
      <c r="BJ3" s="30">
        <v>47908.0</v>
      </c>
    </row>
    <row r="4">
      <c r="A4" s="4" t="s">
        <v>166</v>
      </c>
      <c r="B4" s="4" t="s">
        <v>167</v>
      </c>
      <c r="C4" s="22">
        <v>1.0</v>
      </c>
      <c r="D4" s="22">
        <v>2.0</v>
      </c>
      <c r="E4" s="22">
        <v>3.0</v>
      </c>
      <c r="F4" s="22">
        <v>4.0</v>
      </c>
      <c r="G4" s="22">
        <v>5.0</v>
      </c>
      <c r="H4" s="22">
        <v>6.0</v>
      </c>
      <c r="I4" s="22">
        <v>7.0</v>
      </c>
      <c r="J4" s="22">
        <v>8.0</v>
      </c>
      <c r="K4" s="22">
        <v>9.0</v>
      </c>
      <c r="L4" s="22">
        <v>10.0</v>
      </c>
      <c r="M4" s="22">
        <v>11.0</v>
      </c>
      <c r="N4" s="22">
        <v>12.0</v>
      </c>
      <c r="O4" s="22">
        <v>13.0</v>
      </c>
      <c r="P4" s="22">
        <v>14.0</v>
      </c>
      <c r="Q4" s="22">
        <v>15.0</v>
      </c>
      <c r="R4" s="22">
        <v>16.0</v>
      </c>
      <c r="S4" s="22">
        <v>17.0</v>
      </c>
      <c r="T4" s="22">
        <v>18.0</v>
      </c>
      <c r="U4" s="22">
        <v>19.0</v>
      </c>
      <c r="V4" s="22">
        <v>20.0</v>
      </c>
      <c r="W4" s="22">
        <v>21.0</v>
      </c>
      <c r="X4" s="22">
        <v>22.0</v>
      </c>
      <c r="Y4" s="22">
        <v>23.0</v>
      </c>
      <c r="Z4" s="22">
        <v>24.0</v>
      </c>
      <c r="AA4" s="22">
        <v>25.0</v>
      </c>
      <c r="AB4" s="22">
        <v>26.0</v>
      </c>
      <c r="AC4" s="22">
        <v>27.0</v>
      </c>
      <c r="AD4" s="22">
        <v>28.0</v>
      </c>
      <c r="AE4" s="22">
        <v>29.0</v>
      </c>
      <c r="AF4" s="22">
        <v>30.0</v>
      </c>
      <c r="AG4" s="22">
        <v>31.0</v>
      </c>
      <c r="AH4" s="22">
        <v>32.0</v>
      </c>
      <c r="AI4" s="22">
        <v>33.0</v>
      </c>
      <c r="AJ4" s="22">
        <v>34.0</v>
      </c>
      <c r="AK4" s="22">
        <v>35.0</v>
      </c>
      <c r="AL4" s="22">
        <v>36.0</v>
      </c>
      <c r="AM4" s="22">
        <v>37.0</v>
      </c>
      <c r="AN4" s="22">
        <v>38.0</v>
      </c>
      <c r="AO4" s="22">
        <v>39.0</v>
      </c>
      <c r="AP4" s="22">
        <v>40.0</v>
      </c>
      <c r="AQ4" s="22">
        <v>41.0</v>
      </c>
      <c r="AR4" s="22">
        <v>42.0</v>
      </c>
      <c r="AS4" s="22">
        <v>43.0</v>
      </c>
      <c r="AT4" s="22">
        <v>44.0</v>
      </c>
      <c r="AU4" s="22">
        <v>45.0</v>
      </c>
      <c r="AV4" s="22">
        <v>46.0</v>
      </c>
      <c r="AW4" s="22">
        <v>47.0</v>
      </c>
      <c r="AX4" s="22">
        <v>48.0</v>
      </c>
      <c r="AY4" s="22">
        <v>49.0</v>
      </c>
      <c r="AZ4" s="22">
        <v>50.0</v>
      </c>
      <c r="BA4" s="22">
        <v>51.0</v>
      </c>
      <c r="BB4" s="22">
        <v>52.0</v>
      </c>
      <c r="BC4" s="22">
        <v>53.0</v>
      </c>
      <c r="BD4" s="22">
        <v>54.0</v>
      </c>
      <c r="BE4" s="22">
        <v>55.0</v>
      </c>
      <c r="BF4" s="22">
        <v>56.0</v>
      </c>
      <c r="BG4" s="22">
        <v>57.0</v>
      </c>
      <c r="BH4" s="22">
        <v>58.0</v>
      </c>
      <c r="BI4" s="22">
        <v>59.0</v>
      </c>
      <c r="BJ4" s="22">
        <v>60.0</v>
      </c>
    </row>
    <row r="5">
      <c r="A5" s="22" t="s">
        <v>497</v>
      </c>
      <c r="B5" s="22" t="s">
        <v>630</v>
      </c>
      <c r="C5" s="28">
        <f>MAX(0,Flujo_Caja!C16)</f>
        <v>0</v>
      </c>
      <c r="D5" s="28">
        <f>MAX(0,Flujo_Caja!D16)</f>
        <v>0</v>
      </c>
      <c r="E5" s="28">
        <f>MAX(0,Flujo_Caja!E16)</f>
        <v>0</v>
      </c>
      <c r="F5" s="28">
        <f>MAX(0,Flujo_Caja!F16)</f>
        <v>0</v>
      </c>
      <c r="G5" s="28">
        <f>MAX(0,Flujo_Caja!G16)</f>
        <v>0</v>
      </c>
      <c r="H5" s="28">
        <f>MAX(0,Flujo_Caja!H16)</f>
        <v>0</v>
      </c>
      <c r="I5" s="28">
        <f>MAX(0,Flujo_Caja!I16)</f>
        <v>0</v>
      </c>
      <c r="J5" s="28">
        <f>MAX(0,Flujo_Caja!J16)</f>
        <v>0</v>
      </c>
      <c r="K5" s="28">
        <f>MAX(0,Flujo_Caja!K16)</f>
        <v>0</v>
      </c>
      <c r="L5" s="28">
        <f>MAX(0,Flujo_Caja!L16)</f>
        <v>0</v>
      </c>
      <c r="M5" s="28">
        <f>MAX(0,Flujo_Caja!M16)</f>
        <v>0</v>
      </c>
      <c r="N5" s="28">
        <f>MAX(0,Flujo_Caja!N16)</f>
        <v>0</v>
      </c>
      <c r="O5" s="28">
        <f>MAX(0,Flujo_Caja!O16)</f>
        <v>0</v>
      </c>
      <c r="P5" s="28">
        <f>MAX(0,Flujo_Caja!P16)</f>
        <v>0</v>
      </c>
      <c r="Q5" s="28">
        <f>MAX(0,Flujo_Caja!Q16)</f>
        <v>0</v>
      </c>
      <c r="R5" s="28">
        <f>MAX(0,Flujo_Caja!R16)</f>
        <v>0</v>
      </c>
      <c r="S5" s="28">
        <f>MAX(0,Flujo_Caja!S16)</f>
        <v>0</v>
      </c>
      <c r="T5" s="28">
        <f>MAX(0,Flujo_Caja!T16)</f>
        <v>0</v>
      </c>
      <c r="U5" s="28">
        <f>MAX(0,Flujo_Caja!U16)</f>
        <v>0</v>
      </c>
      <c r="V5" s="28">
        <f>MAX(0,Flujo_Caja!V16)</f>
        <v>0</v>
      </c>
      <c r="W5" s="28">
        <f>MAX(0,Flujo_Caja!W16)</f>
        <v>0</v>
      </c>
      <c r="X5" s="28">
        <f>MAX(0,Flujo_Caja!X16)</f>
        <v>0</v>
      </c>
      <c r="Y5" s="28">
        <f>MAX(0,Flujo_Caja!Y16)</f>
        <v>0</v>
      </c>
      <c r="Z5" s="28">
        <f>MAX(0,Flujo_Caja!Z16)</f>
        <v>0</v>
      </c>
      <c r="AA5" s="28">
        <f>MAX(0,Flujo_Caja!AA16)</f>
        <v>0</v>
      </c>
      <c r="AB5" s="28">
        <f>MAX(0,Flujo_Caja!AB16)</f>
        <v>0</v>
      </c>
      <c r="AC5" s="28">
        <f>MAX(0,Flujo_Caja!AC16)</f>
        <v>0</v>
      </c>
      <c r="AD5" s="28">
        <f>MAX(0,Flujo_Caja!AD16)</f>
        <v>0</v>
      </c>
      <c r="AE5" s="28">
        <f>MAX(0,Flujo_Caja!AE16)</f>
        <v>0</v>
      </c>
      <c r="AF5" s="28">
        <f>MAX(0,Flujo_Caja!AF16)</f>
        <v>0</v>
      </c>
      <c r="AG5" s="28">
        <f>MAX(0,Flujo_Caja!AG16)</f>
        <v>0</v>
      </c>
      <c r="AH5" s="28">
        <f>MAX(0,Flujo_Caja!AH16)</f>
        <v>0</v>
      </c>
      <c r="AI5" s="28">
        <f>MAX(0,Flujo_Caja!AI16)</f>
        <v>0</v>
      </c>
      <c r="AJ5" s="28">
        <f>MAX(0,Flujo_Caja!AJ16)</f>
        <v>0</v>
      </c>
      <c r="AK5" s="28">
        <f>MAX(0,Flujo_Caja!AK16)</f>
        <v>0</v>
      </c>
      <c r="AL5" s="28">
        <f>MAX(0,Flujo_Caja!AL16)</f>
        <v>0</v>
      </c>
      <c r="AM5" s="28">
        <f>MAX(0,Flujo_Caja!AM16)</f>
        <v>0</v>
      </c>
      <c r="AN5" s="28">
        <f>MAX(0,Flujo_Caja!AN16)</f>
        <v>0</v>
      </c>
      <c r="AO5" s="28">
        <f>MAX(0,Flujo_Caja!AO16)</f>
        <v>118212492.1</v>
      </c>
      <c r="AP5" s="28">
        <f>MAX(0,Flujo_Caja!AP16)</f>
        <v>790740722.1</v>
      </c>
      <c r="AQ5" s="28">
        <f>MAX(0,Flujo_Caja!AQ16)</f>
        <v>1464069898</v>
      </c>
      <c r="AR5" s="28">
        <f>MAX(0,Flujo_Caja!AR16)</f>
        <v>2138201015</v>
      </c>
      <c r="AS5" s="28">
        <f>MAX(0,Flujo_Caja!AS16)</f>
        <v>2813135068</v>
      </c>
      <c r="AT5" s="28">
        <f>MAX(0,Flujo_Caja!AT16)</f>
        <v>3488873054</v>
      </c>
      <c r="AU5" s="28">
        <f>MAX(0,Flujo_Caja!AU16)</f>
        <v>4165415971</v>
      </c>
      <c r="AV5" s="28">
        <f>MAX(0,Flujo_Caja!AV16)</f>
        <v>4842764818</v>
      </c>
      <c r="AW5" s="28">
        <f>MAX(0,Flujo_Caja!AW16)</f>
        <v>5520920596</v>
      </c>
      <c r="AX5" s="28">
        <f>MAX(0,Flujo_Caja!AX16)</f>
        <v>6199884307</v>
      </c>
      <c r="AY5" s="28">
        <f>MAX(0,Flujo_Caja!AY16)</f>
        <v>6879656953</v>
      </c>
      <c r="AZ5" s="28">
        <f>MAX(0,Flujo_Caja!AZ16)</f>
        <v>7560239539</v>
      </c>
      <c r="BA5" s="28">
        <f>MAX(0,Flujo_Caja!BA16)</f>
        <v>8241633071</v>
      </c>
      <c r="BB5" s="28">
        <f>MAX(0,Flujo_Caja!BB16)</f>
        <v>8923838556</v>
      </c>
      <c r="BC5" s="28">
        <f>MAX(0,Flujo_Caja!BC16)</f>
        <v>9606857000</v>
      </c>
      <c r="BD5" s="28">
        <f>MAX(0,Flujo_Caja!BD16)</f>
        <v>10290689415</v>
      </c>
      <c r="BE5" s="28">
        <f>MAX(0,Flujo_Caja!BE16)</f>
        <v>10975336809</v>
      </c>
      <c r="BF5" s="28">
        <f>MAX(0,Flujo_Caja!BF16)</f>
        <v>11660800196</v>
      </c>
      <c r="BG5" s="28">
        <f>MAX(0,Flujo_Caja!BG16)</f>
        <v>12347080587</v>
      </c>
      <c r="BH5" s="28">
        <f>MAX(0,Flujo_Caja!BH16)</f>
        <v>13034178998</v>
      </c>
      <c r="BI5" s="28">
        <f>MAX(0,Flujo_Caja!BI16)</f>
        <v>13722096443</v>
      </c>
      <c r="BJ5" s="28">
        <f>MAX(0,Flujo_Caja!BJ16)</f>
        <v>14410833940</v>
      </c>
    </row>
    <row r="6">
      <c r="A6" s="22" t="s">
        <v>499</v>
      </c>
      <c r="B6" s="22" t="s">
        <v>631</v>
      </c>
      <c r="C6" s="28">
        <f>ER_Proyecto!C30*Supuestos!$G$18/30</f>
        <v>45808562500</v>
      </c>
      <c r="D6" s="28">
        <f>ER_Proyecto!D30*Supuestos!$G$18/30</f>
        <v>45865433268</v>
      </c>
      <c r="E6" s="28">
        <f>ER_Proyecto!E30*Supuestos!$G$18/30</f>
        <v>46634171447</v>
      </c>
      <c r="F6" s="28">
        <f>ER_Proyecto!F30*Supuestos!$G$18/30</f>
        <v>47119675494</v>
      </c>
      <c r="G6" s="28">
        <f>ER_Proyecto!G30*Supuestos!$G$18/30</f>
        <v>47463600103</v>
      </c>
      <c r="H6" s="28">
        <f>ER_Proyecto!H30*Supuestos!$G$18/30</f>
        <v>47522525580</v>
      </c>
      <c r="I6" s="28">
        <f>ER_Proyecto!I30*Supuestos!$G$18/30</f>
        <v>47581524212</v>
      </c>
      <c r="J6" s="28">
        <f>ER_Proyecto!J30*Supuestos!$G$18/30</f>
        <v>47640596090</v>
      </c>
      <c r="K6" s="28">
        <f>ER_Proyecto!K30*Supuestos!$G$18/30</f>
        <v>47699741304</v>
      </c>
      <c r="L6" s="28">
        <f>ER_Proyecto!L30*Supuestos!$G$18/30</f>
        <v>47758959947</v>
      </c>
      <c r="M6" s="28">
        <f>ER_Proyecto!M30*Supuestos!$G$18/30</f>
        <v>47818252109</v>
      </c>
      <c r="N6" s="28">
        <f>ER_Proyecto!N30*Supuestos!$G$18/30</f>
        <v>47877617882</v>
      </c>
      <c r="O6" s="28">
        <f>ER_Proyecto!O30*Supuestos!$G$18/30</f>
        <v>47937057357</v>
      </c>
      <c r="P6" s="28">
        <f>ER_Proyecto!P30*Supuestos!$G$18/30</f>
        <v>47996570624</v>
      </c>
      <c r="Q6" s="28">
        <f>ER_Proyecto!Q30*Supuestos!$G$18/30</f>
        <v>48056157777</v>
      </c>
      <c r="R6" s="28">
        <f>ER_Proyecto!R30*Supuestos!$G$18/30</f>
        <v>48115818907</v>
      </c>
      <c r="S6" s="28">
        <f>ER_Proyecto!S30*Supuestos!$G$18/30</f>
        <v>48175554105</v>
      </c>
      <c r="T6" s="28">
        <f>ER_Proyecto!T30*Supuestos!$G$18/30</f>
        <v>48235363464</v>
      </c>
      <c r="U6" s="28">
        <f>ER_Proyecto!U30*Supuestos!$G$18/30</f>
        <v>48295247075</v>
      </c>
      <c r="V6" s="28">
        <f>ER_Proyecto!V30*Supuestos!$G$18/30</f>
        <v>48355205031</v>
      </c>
      <c r="W6" s="28">
        <f>ER_Proyecto!W30*Supuestos!$G$18/30</f>
        <v>48415237424</v>
      </c>
      <c r="X6" s="28">
        <f>ER_Proyecto!X30*Supuestos!$G$18/30</f>
        <v>48475344347</v>
      </c>
      <c r="Y6" s="28">
        <f>ER_Proyecto!Y30*Supuestos!$G$18/30</f>
        <v>48535525891</v>
      </c>
      <c r="Z6" s="28">
        <f>ER_Proyecto!Z30*Supuestos!$G$18/30</f>
        <v>48595782150</v>
      </c>
      <c r="AA6" s="28">
        <f>ER_Proyecto!AA30*Supuestos!$G$18/30</f>
        <v>48656113217</v>
      </c>
      <c r="AB6" s="28">
        <f>ER_Proyecto!AB30*Supuestos!$G$18/30</f>
        <v>48716519184</v>
      </c>
      <c r="AC6" s="28">
        <f>ER_Proyecto!AC30*Supuestos!$G$18/30</f>
        <v>48777000144</v>
      </c>
      <c r="AD6" s="28">
        <f>ER_Proyecto!AD30*Supuestos!$G$18/30</f>
        <v>48837556190</v>
      </c>
      <c r="AE6" s="28">
        <f>ER_Proyecto!AE30*Supuestos!$G$18/30</f>
        <v>48898187417</v>
      </c>
      <c r="AF6" s="28">
        <f>ER_Proyecto!AF30*Supuestos!$G$18/30</f>
        <v>48958893916</v>
      </c>
      <c r="AG6" s="28">
        <f>ER_Proyecto!AG30*Supuestos!$G$18/30</f>
        <v>49019675781</v>
      </c>
      <c r="AH6" s="28">
        <f>ER_Proyecto!AH30*Supuestos!$G$18/30</f>
        <v>49080533106</v>
      </c>
      <c r="AI6" s="28">
        <f>ER_Proyecto!AI30*Supuestos!$G$18/30</f>
        <v>49141465985</v>
      </c>
      <c r="AJ6" s="28">
        <f>ER_Proyecto!AJ30*Supuestos!$G$18/30</f>
        <v>49202474512</v>
      </c>
      <c r="AK6" s="28">
        <f>ER_Proyecto!AK30*Supuestos!$G$18/30</f>
        <v>49263558779</v>
      </c>
      <c r="AL6" s="28">
        <f>ER_Proyecto!AL30*Supuestos!$G$18/30</f>
        <v>49324718883</v>
      </c>
      <c r="AM6" s="28">
        <f>ER_Proyecto!AM30*Supuestos!$G$18/30</f>
        <v>49385954915</v>
      </c>
      <c r="AN6" s="28">
        <f>ER_Proyecto!AN30*Supuestos!$G$18/30</f>
        <v>49447266972</v>
      </c>
      <c r="AO6" s="28">
        <f>ER_Proyecto!AO30*Supuestos!$G$18/30</f>
        <v>49508655146</v>
      </c>
      <c r="AP6" s="28">
        <f>ER_Proyecto!AP30*Supuestos!$G$18/30</f>
        <v>49570119533</v>
      </c>
      <c r="AQ6" s="28">
        <f>ER_Proyecto!AQ30*Supuestos!$G$18/30</f>
        <v>49631660228</v>
      </c>
      <c r="AR6" s="28">
        <f>ER_Proyecto!AR30*Supuestos!$G$18/30</f>
        <v>49693277324</v>
      </c>
      <c r="AS6" s="28">
        <f>ER_Proyecto!AS30*Supuestos!$G$18/30</f>
        <v>49754970918</v>
      </c>
      <c r="AT6" s="28">
        <f>ER_Proyecto!AT30*Supuestos!$G$18/30</f>
        <v>49816741103</v>
      </c>
      <c r="AU6" s="28">
        <f>ER_Proyecto!AU30*Supuestos!$G$18/30</f>
        <v>49878587975</v>
      </c>
      <c r="AV6" s="28">
        <f>ER_Proyecto!AV30*Supuestos!$G$18/30</f>
        <v>49940511629</v>
      </c>
      <c r="AW6" s="28">
        <f>ER_Proyecto!AW30*Supuestos!$G$18/30</f>
        <v>50002512161</v>
      </c>
      <c r="AX6" s="28">
        <f>ER_Proyecto!AX30*Supuestos!$G$18/30</f>
        <v>50064589666</v>
      </c>
      <c r="AY6" s="28">
        <f>ER_Proyecto!AY30*Supuestos!$G$18/30</f>
        <v>50126744239</v>
      </c>
      <c r="AZ6" s="28">
        <f>ER_Proyecto!AZ30*Supuestos!$G$18/30</f>
        <v>50188975976</v>
      </c>
      <c r="BA6" s="28">
        <f>ER_Proyecto!BA30*Supuestos!$G$18/30</f>
        <v>50251284973</v>
      </c>
      <c r="BB6" s="28">
        <f>ER_Proyecto!BB30*Supuestos!$G$18/30</f>
        <v>50313671326</v>
      </c>
      <c r="BC6" s="28">
        <f>ER_Proyecto!BC30*Supuestos!$G$18/30</f>
        <v>50376135131</v>
      </c>
      <c r="BD6" s="28">
        <f>ER_Proyecto!BD30*Supuestos!$G$18/30</f>
        <v>50438676484</v>
      </c>
      <c r="BE6" s="28">
        <f>ER_Proyecto!BE30*Supuestos!$G$18/30</f>
        <v>50501295482</v>
      </c>
      <c r="BF6" s="28">
        <f>ER_Proyecto!BF30*Supuestos!$G$18/30</f>
        <v>50563992220</v>
      </c>
      <c r="BG6" s="28">
        <f>ER_Proyecto!BG30*Supuestos!$G$18/30</f>
        <v>50626766795</v>
      </c>
      <c r="BH6" s="28">
        <f>ER_Proyecto!BH30*Supuestos!$G$18/30</f>
        <v>50689619304</v>
      </c>
      <c r="BI6" s="28">
        <f>ER_Proyecto!BI30*Supuestos!$G$18/30</f>
        <v>50752549844</v>
      </c>
      <c r="BJ6" s="28">
        <f>ER_Proyecto!BJ30*Supuestos!$G$18/30</f>
        <v>50815558511</v>
      </c>
    </row>
    <row r="7">
      <c r="A7" s="22" t="s">
        <v>501</v>
      </c>
      <c r="B7" s="22" t="s">
        <v>632</v>
      </c>
      <c r="C7" s="28">
        <f>ER_Proyecto!C34*Supuestos!$G$19/30*(1-Supuestos!$B$24)</f>
        <v>14089710728</v>
      </c>
      <c r="D7" s="28">
        <f>ER_Proyecto!D34*Supuestos!$G$19/30*(1-Supuestos!$B$24)</f>
        <v>14107202931</v>
      </c>
      <c r="E7" s="28">
        <f>ER_Proyecto!E34*Supuestos!$G$19/30*(1-Supuestos!$B$24)</f>
        <v>14343649961</v>
      </c>
      <c r="F7" s="28">
        <f>ER_Proyecto!F34*Supuestos!$G$19/30*(1-Supuestos!$B$24)</f>
        <v>14492980375</v>
      </c>
      <c r="G7" s="28">
        <f>ER_Proyecto!G34*Supuestos!$G$19/30*(1-Supuestos!$B$24)</f>
        <v>14598764053</v>
      </c>
      <c r="H7" s="28">
        <f>ER_Proyecto!H34*Supuestos!$G$19/30*(1-Supuestos!$B$24)</f>
        <v>14616888240</v>
      </c>
      <c r="I7" s="28">
        <f>ER_Proyecto!I34*Supuestos!$G$19/30*(1-Supuestos!$B$24)</f>
        <v>14635034927</v>
      </c>
      <c r="J7" s="28">
        <f>ER_Proyecto!J34*Supuestos!$G$19/30*(1-Supuestos!$B$24)</f>
        <v>14653204143</v>
      </c>
      <c r="K7" s="28">
        <f>ER_Proyecto!K34*Supuestos!$G$19/30*(1-Supuestos!$B$24)</f>
        <v>14671395916</v>
      </c>
      <c r="L7" s="28">
        <f>ER_Proyecto!L34*Supuestos!$G$19/30*(1-Supuestos!$B$24)</f>
        <v>14689610274</v>
      </c>
      <c r="M7" s="28">
        <f>ER_Proyecto!M34*Supuestos!$G$19/30*(1-Supuestos!$B$24)</f>
        <v>14707847245</v>
      </c>
      <c r="N7" s="28">
        <f>ER_Proyecto!N34*Supuestos!$G$19/30*(1-Supuestos!$B$24)</f>
        <v>14726106856</v>
      </c>
      <c r="O7" s="28">
        <f>ER_Proyecto!O34*Supuestos!$G$19/30*(1-Supuestos!$B$24)</f>
        <v>14744389137</v>
      </c>
      <c r="P7" s="28">
        <f>ER_Proyecto!P34*Supuestos!$G$19/30*(1-Supuestos!$B$24)</f>
        <v>14762694115</v>
      </c>
      <c r="Q7" s="28">
        <f>ER_Proyecto!Q34*Supuestos!$G$19/30*(1-Supuestos!$B$24)</f>
        <v>14781021818</v>
      </c>
      <c r="R7" s="28">
        <f>ER_Proyecto!R34*Supuestos!$G$19/30*(1-Supuestos!$B$24)</f>
        <v>14799372275</v>
      </c>
      <c r="S7" s="28">
        <f>ER_Proyecto!S34*Supuestos!$G$19/30*(1-Supuestos!$B$24)</f>
        <v>14817745514</v>
      </c>
      <c r="T7" s="28">
        <f>ER_Proyecto!T34*Supuestos!$G$19/30*(1-Supuestos!$B$24)</f>
        <v>14836141563</v>
      </c>
      <c r="U7" s="28">
        <f>ER_Proyecto!U34*Supuestos!$G$19/30*(1-Supuestos!$B$24)</f>
        <v>14854560451</v>
      </c>
      <c r="V7" s="28">
        <f>ER_Proyecto!V34*Supuestos!$G$19/30*(1-Supuestos!$B$24)</f>
        <v>14873002205</v>
      </c>
      <c r="W7" s="28">
        <f>ER_Proyecto!W34*Supuestos!$G$19/30*(1-Supuestos!$B$24)</f>
        <v>14891466855</v>
      </c>
      <c r="X7" s="28">
        <f>ER_Proyecto!X34*Supuestos!$G$19/30*(1-Supuestos!$B$24)</f>
        <v>14909954428</v>
      </c>
      <c r="Y7" s="28">
        <f>ER_Proyecto!Y34*Supuestos!$G$19/30*(1-Supuestos!$B$24)</f>
        <v>14928464953</v>
      </c>
      <c r="Z7" s="28">
        <f>ER_Proyecto!Z34*Supuestos!$G$19/30*(1-Supuestos!$B$24)</f>
        <v>14946998459</v>
      </c>
      <c r="AA7" s="28">
        <f>ER_Proyecto!AA34*Supuestos!$G$19/30*(1-Supuestos!$B$24)</f>
        <v>14965554974</v>
      </c>
      <c r="AB7" s="28">
        <f>ER_Proyecto!AB34*Supuestos!$G$19/30*(1-Supuestos!$B$24)</f>
        <v>14984134527</v>
      </c>
      <c r="AC7" s="28">
        <f>ER_Proyecto!AC34*Supuestos!$G$19/30*(1-Supuestos!$B$24)</f>
        <v>15002737146</v>
      </c>
      <c r="AD7" s="28">
        <f>ER_Proyecto!AD34*Supuestos!$G$19/30*(1-Supuestos!$B$24)</f>
        <v>15021362860</v>
      </c>
      <c r="AE7" s="28">
        <f>ER_Proyecto!AE34*Supuestos!$G$19/30*(1-Supuestos!$B$24)</f>
        <v>15040011697</v>
      </c>
      <c r="AF7" s="28">
        <f>ER_Proyecto!AF34*Supuestos!$G$19/30*(1-Supuestos!$B$24)</f>
        <v>15058683687</v>
      </c>
      <c r="AG7" s="28">
        <f>ER_Proyecto!AG34*Supuestos!$G$19/30*(1-Supuestos!$B$24)</f>
        <v>15077378858</v>
      </c>
      <c r="AH7" s="28">
        <f>ER_Proyecto!AH34*Supuestos!$G$19/30*(1-Supuestos!$B$24)</f>
        <v>15096097238</v>
      </c>
      <c r="AI7" s="28">
        <f>ER_Proyecto!AI34*Supuestos!$G$19/30*(1-Supuestos!$B$24)</f>
        <v>15114838858</v>
      </c>
      <c r="AJ7" s="28">
        <f>ER_Proyecto!AJ34*Supuestos!$G$19/30*(1-Supuestos!$B$24)</f>
        <v>15133603744</v>
      </c>
      <c r="AK7" s="28">
        <f>ER_Proyecto!AK34*Supuestos!$G$19/30*(1-Supuestos!$B$24)</f>
        <v>15152391927</v>
      </c>
      <c r="AL7" s="28">
        <f>ER_Proyecto!AL34*Supuestos!$G$19/30*(1-Supuestos!$B$24)</f>
        <v>15171203436</v>
      </c>
      <c r="AM7" s="28">
        <f>ER_Proyecto!AM34*Supuestos!$G$19/30*(1-Supuestos!$B$24)</f>
        <v>15190038299</v>
      </c>
      <c r="AN7" s="28">
        <f>ER_Proyecto!AN34*Supuestos!$G$19/30*(1-Supuestos!$B$24)</f>
        <v>15208896545</v>
      </c>
      <c r="AO7" s="28">
        <f>ER_Proyecto!AO34*Supuestos!$G$19/30*(1-Supuestos!$B$24)</f>
        <v>15227778203</v>
      </c>
      <c r="AP7" s="28">
        <f>ER_Proyecto!AP34*Supuestos!$G$19/30*(1-Supuestos!$B$24)</f>
        <v>15246683302</v>
      </c>
      <c r="AQ7" s="28">
        <f>ER_Proyecto!AQ34*Supuestos!$G$19/30*(1-Supuestos!$B$24)</f>
        <v>15265611872</v>
      </c>
      <c r="AR7" s="28">
        <f>ER_Proyecto!AR34*Supuestos!$G$19/30*(1-Supuestos!$B$24)</f>
        <v>15284563942</v>
      </c>
      <c r="AS7" s="28">
        <f>ER_Proyecto!AS34*Supuestos!$G$19/30*(1-Supuestos!$B$24)</f>
        <v>15303539540</v>
      </c>
      <c r="AT7" s="28">
        <f>ER_Proyecto!AT34*Supuestos!$G$19/30*(1-Supuestos!$B$24)</f>
        <v>15322538697</v>
      </c>
      <c r="AU7" s="28">
        <f>ER_Proyecto!AU34*Supuestos!$G$19/30*(1-Supuestos!$B$24)</f>
        <v>15341561440</v>
      </c>
      <c r="AV7" s="28">
        <f>ER_Proyecto!AV34*Supuestos!$G$19/30*(1-Supuestos!$B$24)</f>
        <v>15360607800</v>
      </c>
      <c r="AW7" s="28">
        <f>ER_Proyecto!AW34*Supuestos!$G$19/30*(1-Supuestos!$B$24)</f>
        <v>15379677806</v>
      </c>
      <c r="AX7" s="28">
        <f>ER_Proyecto!AX34*Supuestos!$G$19/30*(1-Supuestos!$B$24)</f>
        <v>15398771487</v>
      </c>
      <c r="AY7" s="28">
        <f>ER_Proyecto!AY34*Supuestos!$G$19/30*(1-Supuestos!$B$24)</f>
        <v>15417888873</v>
      </c>
      <c r="AZ7" s="28">
        <f>ER_Proyecto!AZ34*Supuestos!$G$19/30*(1-Supuestos!$B$24)</f>
        <v>15437029993</v>
      </c>
      <c r="BA7" s="28">
        <f>ER_Proyecto!BA34*Supuestos!$G$19/30*(1-Supuestos!$B$24)</f>
        <v>15456194876</v>
      </c>
      <c r="BB7" s="28">
        <f>ER_Proyecto!BB34*Supuestos!$G$19/30*(1-Supuestos!$B$24)</f>
        <v>15475383552</v>
      </c>
      <c r="BC7" s="28">
        <f>ER_Proyecto!BC34*Supuestos!$G$19/30*(1-Supuestos!$B$24)</f>
        <v>15494596051</v>
      </c>
      <c r="BD7" s="28">
        <f>ER_Proyecto!BD34*Supuestos!$G$19/30*(1-Supuestos!$B$24)</f>
        <v>15513832401</v>
      </c>
      <c r="BE7" s="28">
        <f>ER_Proyecto!BE34*Supuestos!$G$19/30*(1-Supuestos!$B$24)</f>
        <v>15533092634</v>
      </c>
      <c r="BF7" s="28">
        <f>ER_Proyecto!BF34*Supuestos!$G$19/30*(1-Supuestos!$B$24)</f>
        <v>15552376777</v>
      </c>
      <c r="BG7" s="28">
        <f>ER_Proyecto!BG34*Supuestos!$G$19/30*(1-Supuestos!$B$24)</f>
        <v>15571684862</v>
      </c>
      <c r="BH7" s="28">
        <f>ER_Proyecto!BH34*Supuestos!$G$19/30*(1-Supuestos!$B$24)</f>
        <v>15591016917</v>
      </c>
      <c r="BI7" s="28">
        <f>ER_Proyecto!BI34*Supuestos!$G$19/30*(1-Supuestos!$B$24)</f>
        <v>15610372973</v>
      </c>
      <c r="BJ7" s="28">
        <f>ER_Proyecto!BJ34*Supuestos!$G$19/30*(1-Supuestos!$B$24)</f>
        <v>15629753060</v>
      </c>
    </row>
    <row r="8">
      <c r="A8" s="22" t="s">
        <v>564</v>
      </c>
      <c r="B8" s="22" t="s">
        <v>633</v>
      </c>
      <c r="C8" s="28">
        <f t="array" ref="C8">INDEX(Dep_Amort!$G$17:$BN$17,1,C$4)</f>
        <v>4430384472</v>
      </c>
      <c r="D8" s="28">
        <f t="array" ref="D8">INDEX(Dep_Amort!$G$17:$BN$17,1,D$4)</f>
        <v>12170563547</v>
      </c>
      <c r="E8" s="28">
        <f t="array" ref="E8">INDEX(Dep_Amort!$G$17:$BN$17,1,E$4)</f>
        <v>17686887886</v>
      </c>
      <c r="F8" s="28">
        <f t="array" ref="F8">INDEX(Dep_Amort!$G$17:$BN$17,1,F$4)</f>
        <v>22099947358</v>
      </c>
      <c r="G8" s="28">
        <f t="array" ref="G8">INDEX(Dep_Amort!$G$17:$BN$17,1,G$4)</f>
        <v>21888451702</v>
      </c>
      <c r="H8" s="28">
        <f t="array" ref="H8">INDEX(Dep_Amort!$G$17:$BN$17,1,H$4)</f>
        <v>21676956047</v>
      </c>
      <c r="I8" s="28">
        <f t="array" ref="I8">INDEX(Dep_Amort!$G$17:$BN$17,1,I$4)</f>
        <v>21465460391</v>
      </c>
      <c r="J8" s="28">
        <f t="array" ref="J8">INDEX(Dep_Amort!$G$17:$BN$17,1,J$4)</f>
        <v>21253964736</v>
      </c>
      <c r="K8" s="28">
        <f t="array" ref="K8">INDEX(Dep_Amort!$G$17:$BN$17,1,K$4)</f>
        <v>21042469080</v>
      </c>
      <c r="L8" s="28">
        <f t="array" ref="L8">INDEX(Dep_Amort!$G$17:$BN$17,1,L$4)</f>
        <v>20830973425</v>
      </c>
      <c r="M8" s="28">
        <f t="array" ref="M8">INDEX(Dep_Amort!$G$17:$BN$17,1,M$4)</f>
        <v>20619477769</v>
      </c>
      <c r="N8" s="28">
        <f t="array" ref="N8">INDEX(Dep_Amort!$G$17:$BN$17,1,N$4)</f>
        <v>20407982113</v>
      </c>
      <c r="O8" s="28">
        <f t="array" ref="O8">INDEX(Dep_Amort!$G$17:$BN$17,1,O$4)</f>
        <v>20196486458</v>
      </c>
      <c r="P8" s="28">
        <f t="array" ref="P8">INDEX(Dep_Amort!$G$17:$BN$17,1,P$4)</f>
        <v>19984990802</v>
      </c>
      <c r="Q8" s="28">
        <f t="array" ref="Q8">INDEX(Dep_Amort!$G$17:$BN$17,1,Q$4)</f>
        <v>19773495147</v>
      </c>
      <c r="R8" s="28">
        <f t="array" ref="R8">INDEX(Dep_Amort!$G$17:$BN$17,1,R$4)</f>
        <v>19561999491</v>
      </c>
      <c r="S8" s="28">
        <f t="array" ref="S8">INDEX(Dep_Amort!$G$17:$BN$17,1,S$4)</f>
        <v>19350503836</v>
      </c>
      <c r="T8" s="28">
        <f t="array" ref="T8">INDEX(Dep_Amort!$G$17:$BN$17,1,T$4)</f>
        <v>19139008180</v>
      </c>
      <c r="U8" s="28">
        <f t="array" ref="U8">INDEX(Dep_Amort!$G$17:$BN$17,1,U$4)</f>
        <v>18927512524</v>
      </c>
      <c r="V8" s="28">
        <f t="array" ref="V8">INDEX(Dep_Amort!$G$17:$BN$17,1,V$4)</f>
        <v>18716016869</v>
      </c>
      <c r="W8" s="28">
        <f t="array" ref="W8">INDEX(Dep_Amort!$G$17:$BN$17,1,W$4)</f>
        <v>18504521213</v>
      </c>
      <c r="X8" s="28">
        <f t="array" ref="X8">INDEX(Dep_Amort!$G$17:$BN$17,1,X$4)</f>
        <v>18293025558</v>
      </c>
      <c r="Y8" s="28">
        <f t="array" ref="Y8">INDEX(Dep_Amort!$G$17:$BN$17,1,Y$4)</f>
        <v>18081529902</v>
      </c>
      <c r="Z8" s="28">
        <f t="array" ref="Z8">INDEX(Dep_Amort!$G$17:$BN$17,1,Z$4)</f>
        <v>17870034247</v>
      </c>
      <c r="AA8" s="28">
        <f t="array" ref="AA8">INDEX(Dep_Amort!$G$17:$BN$17,1,AA$4)</f>
        <v>17658538591</v>
      </c>
      <c r="AB8" s="28">
        <f t="array" ref="AB8">INDEX(Dep_Amort!$G$17:$BN$17,1,AB$4)</f>
        <v>17447042935</v>
      </c>
      <c r="AC8" s="28">
        <f t="array" ref="AC8">INDEX(Dep_Amort!$G$17:$BN$17,1,AC$4)</f>
        <v>17235547280</v>
      </c>
      <c r="AD8" s="28">
        <f t="array" ref="AD8">INDEX(Dep_Amort!$G$17:$BN$17,1,AD$4)</f>
        <v>17024051624</v>
      </c>
      <c r="AE8" s="28">
        <f t="array" ref="AE8">INDEX(Dep_Amort!$G$17:$BN$17,1,AE$4)</f>
        <v>16812555969</v>
      </c>
      <c r="AF8" s="28">
        <f t="array" ref="AF8">INDEX(Dep_Amort!$G$17:$BN$17,1,AF$4)</f>
        <v>16601060313</v>
      </c>
      <c r="AG8" s="28">
        <f t="array" ref="AG8">INDEX(Dep_Amort!$G$17:$BN$17,1,AG$4)</f>
        <v>16389564658</v>
      </c>
      <c r="AH8" s="28">
        <f t="array" ref="AH8">INDEX(Dep_Amort!$G$17:$BN$17,1,AH$4)</f>
        <v>16178069002</v>
      </c>
      <c r="AI8" s="28">
        <f t="array" ref="AI8">INDEX(Dep_Amort!$G$17:$BN$17,1,AI$4)</f>
        <v>15966573346</v>
      </c>
      <c r="AJ8" s="28">
        <f t="array" ref="AJ8">INDEX(Dep_Amort!$G$17:$BN$17,1,AJ$4)</f>
        <v>15755077691</v>
      </c>
      <c r="AK8" s="28">
        <f t="array" ref="AK8">INDEX(Dep_Amort!$G$17:$BN$17,1,AK$4)</f>
        <v>15543582035</v>
      </c>
      <c r="AL8" s="28">
        <f t="array" ref="AL8">INDEX(Dep_Amort!$G$17:$BN$17,1,AL$4)</f>
        <v>15332086380</v>
      </c>
      <c r="AM8" s="28">
        <f t="array" ref="AM8">INDEX(Dep_Amort!$G$17:$BN$17,1,AM$4)</f>
        <v>15120590724</v>
      </c>
      <c r="AN8" s="28">
        <f t="array" ref="AN8">INDEX(Dep_Amort!$G$17:$BN$17,1,AN$4)</f>
        <v>14909095069</v>
      </c>
      <c r="AO8" s="28">
        <f t="array" ref="AO8">INDEX(Dep_Amort!$G$17:$BN$17,1,AO$4)</f>
        <v>14697599413</v>
      </c>
      <c r="AP8" s="28">
        <f t="array" ref="AP8">INDEX(Dep_Amort!$G$17:$BN$17,1,AP$4)</f>
        <v>14486103757</v>
      </c>
      <c r="AQ8" s="28">
        <f t="array" ref="AQ8">INDEX(Dep_Amort!$G$17:$BN$17,1,AQ$4)</f>
        <v>14274608102</v>
      </c>
      <c r="AR8" s="28">
        <f t="array" ref="AR8">INDEX(Dep_Amort!$G$17:$BN$17,1,AR$4)</f>
        <v>14063112446</v>
      </c>
      <c r="AS8" s="28">
        <f t="array" ref="AS8">INDEX(Dep_Amort!$G$17:$BN$17,1,AS$4)</f>
        <v>13851616791</v>
      </c>
      <c r="AT8" s="28">
        <f t="array" ref="AT8">INDEX(Dep_Amort!$G$17:$BN$17,1,AT$4)</f>
        <v>13640121135</v>
      </c>
      <c r="AU8" s="28">
        <f t="array" ref="AU8">INDEX(Dep_Amort!$G$17:$BN$17,1,AU$4)</f>
        <v>13428625480</v>
      </c>
      <c r="AV8" s="28">
        <f t="array" ref="AV8">INDEX(Dep_Amort!$G$17:$BN$17,1,AV$4)</f>
        <v>13217129824</v>
      </c>
      <c r="AW8" s="28">
        <f t="array" ref="AW8">INDEX(Dep_Amort!$G$17:$BN$17,1,AW$4)</f>
        <v>13005634168</v>
      </c>
      <c r="AX8" s="28">
        <f t="array" ref="AX8">INDEX(Dep_Amort!$G$17:$BN$17,1,AX$4)</f>
        <v>12794138513</v>
      </c>
      <c r="AY8" s="28">
        <f t="array" ref="AY8">INDEX(Dep_Amort!$G$17:$BN$17,1,AY$4)</f>
        <v>12582642857</v>
      </c>
      <c r="AZ8" s="28">
        <f t="array" ref="AZ8">INDEX(Dep_Amort!$G$17:$BN$17,1,AZ$4)</f>
        <v>12371147202</v>
      </c>
      <c r="BA8" s="28">
        <f t="array" ref="BA8">INDEX(Dep_Amort!$G$17:$BN$17,1,BA$4)</f>
        <v>12159651546</v>
      </c>
      <c r="BB8" s="28">
        <f t="array" ref="BB8">INDEX(Dep_Amort!$G$17:$BN$17,1,BB$4)</f>
        <v>11948155891</v>
      </c>
      <c r="BC8" s="28">
        <f t="array" ref="BC8">INDEX(Dep_Amort!$G$17:$BN$17,1,BC$4)</f>
        <v>11736660235</v>
      </c>
      <c r="BD8" s="28">
        <f t="array" ref="BD8">INDEX(Dep_Amort!$G$17:$BN$17,1,BD$4)</f>
        <v>11525164579</v>
      </c>
      <c r="BE8" s="28">
        <f t="array" ref="BE8">INDEX(Dep_Amort!$G$17:$BN$17,1,BE$4)</f>
        <v>11313668924</v>
      </c>
      <c r="BF8" s="28">
        <f t="array" ref="BF8">INDEX(Dep_Amort!$G$17:$BN$17,1,BF$4)</f>
        <v>11102173268</v>
      </c>
      <c r="BG8" s="28">
        <f t="array" ref="BG8">INDEX(Dep_Amort!$G$17:$BN$17,1,BG$4)</f>
        <v>10890677613</v>
      </c>
      <c r="BH8" s="28">
        <f t="array" ref="BH8">INDEX(Dep_Amort!$G$17:$BN$17,1,BH$4)</f>
        <v>10679181957</v>
      </c>
      <c r="BI8" s="28">
        <f t="array" ref="BI8">INDEX(Dep_Amort!$G$17:$BN$17,1,BI$4)</f>
        <v>10467686302</v>
      </c>
      <c r="BJ8" s="28">
        <f t="array" ref="BJ8">INDEX(Dep_Amort!$G$17:$BN$17,1,BJ$4)</f>
        <v>10256190646</v>
      </c>
    </row>
    <row r="9">
      <c r="A9" s="22" t="s">
        <v>566</v>
      </c>
      <c r="B9" s="22" t="s">
        <v>634</v>
      </c>
      <c r="C9" s="28">
        <f t="shared" ref="C9:BJ9" si="1">SUM(C5:C8)</f>
        <v>64328657700</v>
      </c>
      <c r="D9" s="28">
        <f t="shared" si="1"/>
        <v>72143199745</v>
      </c>
      <c r="E9" s="28">
        <f t="shared" si="1"/>
        <v>78664709294</v>
      </c>
      <c r="F9" s="28">
        <f t="shared" si="1"/>
        <v>83712603227</v>
      </c>
      <c r="G9" s="28">
        <f t="shared" si="1"/>
        <v>83950815859</v>
      </c>
      <c r="H9" s="28">
        <f t="shared" si="1"/>
        <v>83816369867</v>
      </c>
      <c r="I9" s="28">
        <f t="shared" si="1"/>
        <v>83682019530</v>
      </c>
      <c r="J9" s="28">
        <f t="shared" si="1"/>
        <v>83547764968</v>
      </c>
      <c r="K9" s="28">
        <f t="shared" si="1"/>
        <v>83413606301</v>
      </c>
      <c r="L9" s="28">
        <f t="shared" si="1"/>
        <v>83279543646</v>
      </c>
      <c r="M9" s="28">
        <f t="shared" si="1"/>
        <v>83145577123</v>
      </c>
      <c r="N9" s="28">
        <f t="shared" si="1"/>
        <v>83011706852</v>
      </c>
      <c r="O9" s="28">
        <f t="shared" si="1"/>
        <v>82877932951</v>
      </c>
      <c r="P9" s="28">
        <f t="shared" si="1"/>
        <v>82744255542</v>
      </c>
      <c r="Q9" s="28">
        <f t="shared" si="1"/>
        <v>82610674742</v>
      </c>
      <c r="R9" s="28">
        <f t="shared" si="1"/>
        <v>82477190673</v>
      </c>
      <c r="S9" s="28">
        <f t="shared" si="1"/>
        <v>82343803455</v>
      </c>
      <c r="T9" s="28">
        <f t="shared" si="1"/>
        <v>82210513207</v>
      </c>
      <c r="U9" s="28">
        <f t="shared" si="1"/>
        <v>82077320050</v>
      </c>
      <c r="V9" s="28">
        <f t="shared" si="1"/>
        <v>81944224105</v>
      </c>
      <c r="W9" s="28">
        <f t="shared" si="1"/>
        <v>81811225492</v>
      </c>
      <c r="X9" s="28">
        <f t="shared" si="1"/>
        <v>81678324332</v>
      </c>
      <c r="Y9" s="28">
        <f t="shared" si="1"/>
        <v>81545520746</v>
      </c>
      <c r="Z9" s="28">
        <f t="shared" si="1"/>
        <v>81412814856</v>
      </c>
      <c r="AA9" s="28">
        <f t="shared" si="1"/>
        <v>81280206782</v>
      </c>
      <c r="AB9" s="28">
        <f t="shared" si="1"/>
        <v>81147696646</v>
      </c>
      <c r="AC9" s="28">
        <f t="shared" si="1"/>
        <v>81015284569</v>
      </c>
      <c r="AD9" s="28">
        <f t="shared" si="1"/>
        <v>80882970674</v>
      </c>
      <c r="AE9" s="28">
        <f t="shared" si="1"/>
        <v>80750755082</v>
      </c>
      <c r="AF9" s="28">
        <f t="shared" si="1"/>
        <v>80618637916</v>
      </c>
      <c r="AG9" s="28">
        <f t="shared" si="1"/>
        <v>80486619296</v>
      </c>
      <c r="AH9" s="28">
        <f t="shared" si="1"/>
        <v>80354699347</v>
      </c>
      <c r="AI9" s="28">
        <f t="shared" si="1"/>
        <v>80222878189</v>
      </c>
      <c r="AJ9" s="28">
        <f t="shared" si="1"/>
        <v>80091155947</v>
      </c>
      <c r="AK9" s="28">
        <f t="shared" si="1"/>
        <v>79959532742</v>
      </c>
      <c r="AL9" s="28">
        <f t="shared" si="1"/>
        <v>79828008698</v>
      </c>
      <c r="AM9" s="28">
        <f t="shared" si="1"/>
        <v>79696583938</v>
      </c>
      <c r="AN9" s="28">
        <f t="shared" si="1"/>
        <v>79565258585</v>
      </c>
      <c r="AO9" s="28">
        <f t="shared" si="1"/>
        <v>79552245254</v>
      </c>
      <c r="AP9" s="28">
        <f t="shared" si="1"/>
        <v>80093647315</v>
      </c>
      <c r="AQ9" s="28">
        <f t="shared" si="1"/>
        <v>80635950101</v>
      </c>
      <c r="AR9" s="28">
        <f t="shared" si="1"/>
        <v>81179154728</v>
      </c>
      <c r="AS9" s="28">
        <f t="shared" si="1"/>
        <v>81723262317</v>
      </c>
      <c r="AT9" s="28">
        <f t="shared" si="1"/>
        <v>82268273989</v>
      </c>
      <c r="AU9" s="28">
        <f t="shared" si="1"/>
        <v>82814190866</v>
      </c>
      <c r="AV9" s="28">
        <f t="shared" si="1"/>
        <v>83361014072</v>
      </c>
      <c r="AW9" s="28">
        <f t="shared" si="1"/>
        <v>83908744732</v>
      </c>
      <c r="AX9" s="28">
        <f t="shared" si="1"/>
        <v>84457383973</v>
      </c>
      <c r="AY9" s="28">
        <f t="shared" si="1"/>
        <v>85006932922</v>
      </c>
      <c r="AZ9" s="28">
        <f t="shared" si="1"/>
        <v>85557392710</v>
      </c>
      <c r="BA9" s="28">
        <f t="shared" si="1"/>
        <v>86108764467</v>
      </c>
      <c r="BB9" s="28">
        <f t="shared" si="1"/>
        <v>86661049325</v>
      </c>
      <c r="BC9" s="28">
        <f t="shared" si="1"/>
        <v>87214248417</v>
      </c>
      <c r="BD9" s="28">
        <f t="shared" si="1"/>
        <v>87768362880</v>
      </c>
      <c r="BE9" s="28">
        <f t="shared" si="1"/>
        <v>88323393848</v>
      </c>
      <c r="BF9" s="28">
        <f t="shared" si="1"/>
        <v>88879342461</v>
      </c>
      <c r="BG9" s="28">
        <f t="shared" si="1"/>
        <v>89436209856</v>
      </c>
      <c r="BH9" s="28">
        <f t="shared" si="1"/>
        <v>89993997176</v>
      </c>
      <c r="BI9" s="28">
        <f t="shared" si="1"/>
        <v>90552705562</v>
      </c>
      <c r="BJ9" s="28">
        <f t="shared" si="1"/>
        <v>91112336157</v>
      </c>
    </row>
    <row r="10">
      <c r="A10" s="22" t="s">
        <v>568</v>
      </c>
      <c r="C10" s="28"/>
      <c r="D10" s="28"/>
      <c r="E10" s="28"/>
      <c r="F10" s="28"/>
      <c r="G10" s="28"/>
      <c r="H10" s="28"/>
      <c r="I10" s="28"/>
      <c r="J10" s="28"/>
      <c r="K10" s="28"/>
      <c r="L10" s="28"/>
      <c r="M10" s="28"/>
      <c r="N10" s="28"/>
      <c r="O10" s="28"/>
      <c r="P10" s="28"/>
      <c r="Q10" s="28"/>
      <c r="R10" s="28"/>
      <c r="S10" s="28"/>
      <c r="T10" s="28"/>
      <c r="U10" s="28"/>
      <c r="V10" s="28"/>
      <c r="W10" s="28"/>
      <c r="X10" s="28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</row>
    <row r="11">
      <c r="A11" s="22" t="s">
        <v>168</v>
      </c>
      <c r="B11" s="22" t="s">
        <v>114</v>
      </c>
      <c r="C11" s="28">
        <f>ER_Proyecto!C34*Supuestos!$G$20/30</f>
        <v>24718790751</v>
      </c>
      <c r="D11" s="28">
        <f>ER_Proyecto!D34*Supuestos!$G$20/30</f>
        <v>24749478826</v>
      </c>
      <c r="E11" s="28">
        <f>ER_Proyecto!E34*Supuestos!$G$20/30</f>
        <v>25164298177</v>
      </c>
      <c r="F11" s="28">
        <f>ER_Proyecto!F34*Supuestos!$G$20/30</f>
        <v>25426281359</v>
      </c>
      <c r="G11" s="28">
        <f>ER_Proyecto!G34*Supuestos!$G$20/30</f>
        <v>25611866761</v>
      </c>
      <c r="H11" s="28">
        <f>ER_Proyecto!H34*Supuestos!$G$20/30</f>
        <v>25643663578</v>
      </c>
      <c r="I11" s="28">
        <f>ER_Proyecto!I34*Supuestos!$G$20/30</f>
        <v>25675499872</v>
      </c>
      <c r="J11" s="28">
        <f>ER_Proyecto!J34*Supuestos!$G$20/30</f>
        <v>25707375690</v>
      </c>
      <c r="K11" s="28">
        <f>ER_Proyecto!K34*Supuestos!$G$20/30</f>
        <v>25739291081</v>
      </c>
      <c r="L11" s="28">
        <f>ER_Proyecto!L34*Supuestos!$G$20/30</f>
        <v>25771246094</v>
      </c>
      <c r="M11" s="28">
        <f>ER_Proyecto!M34*Supuestos!$G$20/30</f>
        <v>25803240780</v>
      </c>
      <c r="N11" s="28">
        <f>ER_Proyecto!N34*Supuestos!$G$20/30</f>
        <v>25835275186</v>
      </c>
      <c r="O11" s="28">
        <f>ER_Proyecto!O34*Supuestos!$G$20/30</f>
        <v>25867349363</v>
      </c>
      <c r="P11" s="28">
        <f>ER_Proyecto!P34*Supuestos!$G$20/30</f>
        <v>25899463360</v>
      </c>
      <c r="Q11" s="28">
        <f>ER_Proyecto!Q34*Supuestos!$G$20/30</f>
        <v>25931617225</v>
      </c>
      <c r="R11" s="28">
        <f>ER_Proyecto!R34*Supuestos!$G$20/30</f>
        <v>25963811009</v>
      </c>
      <c r="S11" s="28">
        <f>ER_Proyecto!S34*Supuestos!$G$20/30</f>
        <v>25996044762</v>
      </c>
      <c r="T11" s="28">
        <f>ER_Proyecto!T34*Supuestos!$G$20/30</f>
        <v>26028318532</v>
      </c>
      <c r="U11" s="28">
        <f>ER_Proyecto!U34*Supuestos!$G$20/30</f>
        <v>26060632370</v>
      </c>
      <c r="V11" s="28">
        <f>ER_Proyecto!V34*Supuestos!$G$20/30</f>
        <v>26092986325</v>
      </c>
      <c r="W11" s="28">
        <f>ER_Proyecto!W34*Supuestos!$G$20/30</f>
        <v>26125380447</v>
      </c>
      <c r="X11" s="28">
        <f>ER_Proyecto!X34*Supuestos!$G$20/30</f>
        <v>26157814786</v>
      </c>
      <c r="Y11" s="28">
        <f>ER_Proyecto!Y34*Supuestos!$G$20/30</f>
        <v>26190289392</v>
      </c>
      <c r="Z11" s="28">
        <f>ER_Proyecto!Z34*Supuestos!$G$20/30</f>
        <v>26222804314</v>
      </c>
      <c r="AA11" s="28">
        <f>ER_Proyecto!AA34*Supuestos!$G$20/30</f>
        <v>26255359604</v>
      </c>
      <c r="AB11" s="28">
        <f>ER_Proyecto!AB34*Supuestos!$G$20/30</f>
        <v>26287955310</v>
      </c>
      <c r="AC11" s="28">
        <f>ER_Proyecto!AC34*Supuestos!$G$20/30</f>
        <v>26320591484</v>
      </c>
      <c r="AD11" s="28">
        <f>ER_Proyecto!AD34*Supuestos!$G$20/30</f>
        <v>26353268175</v>
      </c>
      <c r="AE11" s="28">
        <f>ER_Proyecto!AE34*Supuestos!$G$20/30</f>
        <v>26385985433</v>
      </c>
      <c r="AF11" s="28">
        <f>ER_Proyecto!AF34*Supuestos!$G$20/30</f>
        <v>26418743310</v>
      </c>
      <c r="AG11" s="28">
        <f>ER_Proyecto!AG34*Supuestos!$G$20/30</f>
        <v>26451541855</v>
      </c>
      <c r="AH11" s="28">
        <f>ER_Proyecto!AH34*Supuestos!$G$20/30</f>
        <v>26484381120</v>
      </c>
      <c r="AI11" s="28">
        <f>ER_Proyecto!AI34*Supuestos!$G$20/30</f>
        <v>26517261154</v>
      </c>
      <c r="AJ11" s="28">
        <f>ER_Proyecto!AJ34*Supuestos!$G$20/30</f>
        <v>26550182008</v>
      </c>
      <c r="AK11" s="28">
        <f>ER_Proyecto!AK34*Supuestos!$G$20/30</f>
        <v>26583143732</v>
      </c>
      <c r="AL11" s="28">
        <f>ER_Proyecto!AL34*Supuestos!$G$20/30</f>
        <v>26616146379</v>
      </c>
      <c r="AM11" s="28">
        <f>ER_Proyecto!AM34*Supuestos!$G$20/30</f>
        <v>26649189998</v>
      </c>
      <c r="AN11" s="28">
        <f>ER_Proyecto!AN34*Supuestos!$G$20/30</f>
        <v>26682274640</v>
      </c>
      <c r="AO11" s="28">
        <f>ER_Proyecto!AO34*Supuestos!$G$20/30</f>
        <v>26715400356</v>
      </c>
      <c r="AP11" s="28">
        <f>ER_Proyecto!AP34*Supuestos!$G$20/30</f>
        <v>26748567197</v>
      </c>
      <c r="AQ11" s="28">
        <f>ER_Proyecto!AQ34*Supuestos!$G$20/30</f>
        <v>26781775215</v>
      </c>
      <c r="AR11" s="28">
        <f>ER_Proyecto!AR34*Supuestos!$G$20/30</f>
        <v>26815024460</v>
      </c>
      <c r="AS11" s="28">
        <f>ER_Proyecto!AS34*Supuestos!$G$20/30</f>
        <v>26848314983</v>
      </c>
      <c r="AT11" s="28">
        <f>ER_Proyecto!AT34*Supuestos!$G$20/30</f>
        <v>26881646837</v>
      </c>
      <c r="AU11" s="28">
        <f>ER_Proyecto!AU34*Supuestos!$G$20/30</f>
        <v>26915020071</v>
      </c>
      <c r="AV11" s="28">
        <f>ER_Proyecto!AV34*Supuestos!$G$20/30</f>
        <v>26948434738</v>
      </c>
      <c r="AW11" s="28">
        <f>ER_Proyecto!AW34*Supuestos!$G$20/30</f>
        <v>26981890888</v>
      </c>
      <c r="AX11" s="28">
        <f>ER_Proyecto!AX34*Supuestos!$G$20/30</f>
        <v>27015388574</v>
      </c>
      <c r="AY11" s="28">
        <f>ER_Proyecto!AY34*Supuestos!$G$20/30</f>
        <v>27048927848</v>
      </c>
      <c r="AZ11" s="28">
        <f>ER_Proyecto!AZ34*Supuestos!$G$20/30</f>
        <v>27082508759</v>
      </c>
      <c r="BA11" s="28">
        <f>ER_Proyecto!BA34*Supuestos!$G$20/30</f>
        <v>27116131361</v>
      </c>
      <c r="BB11" s="28">
        <f>ER_Proyecto!BB34*Supuestos!$G$20/30</f>
        <v>27149795705</v>
      </c>
      <c r="BC11" s="28">
        <f>ER_Proyecto!BC34*Supuestos!$G$20/30</f>
        <v>27183501843</v>
      </c>
      <c r="BD11" s="28">
        <f>ER_Proyecto!BD34*Supuestos!$G$20/30</f>
        <v>27217249827</v>
      </c>
      <c r="BE11" s="28">
        <f>ER_Proyecto!BE34*Supuestos!$G$20/30</f>
        <v>27251039708</v>
      </c>
      <c r="BF11" s="28">
        <f>ER_Proyecto!BF34*Supuestos!$G$20/30</f>
        <v>27284871539</v>
      </c>
      <c r="BG11" s="28">
        <f>ER_Proyecto!BG34*Supuestos!$G$20/30</f>
        <v>27318745372</v>
      </c>
      <c r="BH11" s="28">
        <f>ER_Proyecto!BH34*Supuestos!$G$20/30</f>
        <v>27352661259</v>
      </c>
      <c r="BI11" s="28">
        <f>ER_Proyecto!BI34*Supuestos!$G$20/30</f>
        <v>27386619252</v>
      </c>
      <c r="BJ11" s="28">
        <f>ER_Proyecto!BJ34*Supuestos!$G$20/30</f>
        <v>27420619403</v>
      </c>
    </row>
    <row r="12">
      <c r="A12" s="22" t="s">
        <v>170</v>
      </c>
      <c r="B12" s="22" t="s">
        <v>635</v>
      </c>
      <c r="C12" s="28">
        <f>ER_Proyecto!C43</f>
        <v>10445332278</v>
      </c>
      <c r="D12" s="28">
        <f>ER_Proyecto!D43</f>
        <v>10458477174</v>
      </c>
      <c r="E12" s="28">
        <f>ER_Proyecto!E43</f>
        <v>10636160436</v>
      </c>
      <c r="F12" s="28">
        <f>ER_Proyecto!F43</f>
        <v>10748378023</v>
      </c>
      <c r="G12" s="28">
        <f>ER_Proyecto!G43</f>
        <v>10753847989</v>
      </c>
      <c r="H12" s="28">
        <f>ER_Proyecto!H43</f>
        <v>10767467803</v>
      </c>
      <c r="I12" s="28">
        <f>ER_Proyecto!I43</f>
        <v>10781104525</v>
      </c>
      <c r="J12" s="28">
        <f>ER_Proyecto!J43</f>
        <v>10794758178</v>
      </c>
      <c r="K12" s="28">
        <f>ER_Proyecto!K43</f>
        <v>10808428781</v>
      </c>
      <c r="L12" s="28">
        <f>ER_Proyecto!L43</f>
        <v>10822116356</v>
      </c>
      <c r="M12" s="28">
        <f>ER_Proyecto!M43</f>
        <v>10835820924</v>
      </c>
      <c r="N12" s="28">
        <f>ER_Proyecto!N43</f>
        <v>10849542507</v>
      </c>
      <c r="O12" s="28">
        <f>ER_Proyecto!O43</f>
        <v>10863281124</v>
      </c>
      <c r="P12" s="28">
        <f>ER_Proyecto!P43</f>
        <v>10877036798</v>
      </c>
      <c r="Q12" s="28">
        <f>ER_Proyecto!Q43</f>
        <v>10890809549</v>
      </c>
      <c r="R12" s="28">
        <f>ER_Proyecto!R43</f>
        <v>10904599399</v>
      </c>
      <c r="S12" s="28">
        <f>ER_Proyecto!S43</f>
        <v>10918406369</v>
      </c>
      <c r="T12" s="28">
        <f>ER_Proyecto!T43</f>
        <v>10932230480</v>
      </c>
      <c r="U12" s="28">
        <f>ER_Proyecto!U43</f>
        <v>10946071753</v>
      </c>
      <c r="V12" s="28">
        <f>ER_Proyecto!V43</f>
        <v>10959930211</v>
      </c>
      <c r="W12" s="28">
        <f>ER_Proyecto!W43</f>
        <v>10973805873</v>
      </c>
      <c r="X12" s="28">
        <f>ER_Proyecto!X43</f>
        <v>10987698762</v>
      </c>
      <c r="Y12" s="28">
        <f>ER_Proyecto!Y43</f>
        <v>11001608899</v>
      </c>
      <c r="Z12" s="28">
        <f>ER_Proyecto!Z43</f>
        <v>11015536305</v>
      </c>
      <c r="AA12" s="28">
        <f>ER_Proyecto!AA43</f>
        <v>11029481001</v>
      </c>
      <c r="AB12" s="28">
        <f>ER_Proyecto!AB43</f>
        <v>11043443010</v>
      </c>
      <c r="AC12" s="28">
        <f>ER_Proyecto!AC43</f>
        <v>11057422353</v>
      </c>
      <c r="AD12" s="28">
        <f>ER_Proyecto!AD43</f>
        <v>11071419050</v>
      </c>
      <c r="AE12" s="28">
        <f>ER_Proyecto!AE43</f>
        <v>11085433125</v>
      </c>
      <c r="AF12" s="28">
        <f>ER_Proyecto!AF43</f>
        <v>11099464597</v>
      </c>
      <c r="AG12" s="28">
        <f>ER_Proyecto!AG43</f>
        <v>11113513490</v>
      </c>
      <c r="AH12" s="28">
        <f>ER_Proyecto!AH43</f>
        <v>11127579824</v>
      </c>
      <c r="AI12" s="28">
        <f>ER_Proyecto!AI43</f>
        <v>11141663622</v>
      </c>
      <c r="AJ12" s="28">
        <f>ER_Proyecto!AJ43</f>
        <v>11155764904</v>
      </c>
      <c r="AK12" s="28">
        <f>ER_Proyecto!AK43</f>
        <v>11169883692</v>
      </c>
      <c r="AL12" s="28">
        <f>ER_Proyecto!AL43</f>
        <v>11184020010</v>
      </c>
      <c r="AM12" s="28">
        <f>ER_Proyecto!AM43</f>
        <v>11198173877</v>
      </c>
      <c r="AN12" s="28">
        <f>ER_Proyecto!AN43</f>
        <v>11212345316</v>
      </c>
      <c r="AO12" s="28">
        <f>ER_Proyecto!AO43</f>
        <v>11226534348</v>
      </c>
      <c r="AP12" s="28">
        <f>ER_Proyecto!AP43</f>
        <v>11240740996</v>
      </c>
      <c r="AQ12" s="28">
        <f>ER_Proyecto!AQ43</f>
        <v>11254965282</v>
      </c>
      <c r="AR12" s="28">
        <f>ER_Proyecto!AR43</f>
        <v>11269207227</v>
      </c>
      <c r="AS12" s="28">
        <f>ER_Proyecto!AS43</f>
        <v>11283466853</v>
      </c>
      <c r="AT12" s="28">
        <f>ER_Proyecto!AT43</f>
        <v>11297744182</v>
      </c>
      <c r="AU12" s="28">
        <f>ER_Proyecto!AU43</f>
        <v>11312039236</v>
      </c>
      <c r="AV12" s="28">
        <f>ER_Proyecto!AV43</f>
        <v>11326352038</v>
      </c>
      <c r="AW12" s="28">
        <f>ER_Proyecto!AW43</f>
        <v>11340682608</v>
      </c>
      <c r="AX12" s="28">
        <f>ER_Proyecto!AX43</f>
        <v>11355030970</v>
      </c>
      <c r="AY12" s="28">
        <f>ER_Proyecto!AY43</f>
        <v>11369397145</v>
      </c>
      <c r="AZ12" s="28">
        <f>ER_Proyecto!AZ43</f>
        <v>11383781156</v>
      </c>
      <c r="BA12" s="28">
        <f>ER_Proyecto!BA43</f>
        <v>11398183024</v>
      </c>
      <c r="BB12" s="28">
        <f>ER_Proyecto!BB43</f>
        <v>11412602772</v>
      </c>
      <c r="BC12" s="28">
        <f>ER_Proyecto!BC43</f>
        <v>11427040421</v>
      </c>
      <c r="BD12" s="28">
        <f>ER_Proyecto!BD43</f>
        <v>11441495995</v>
      </c>
      <c r="BE12" s="28">
        <f>ER_Proyecto!BE43</f>
        <v>11455969516</v>
      </c>
      <c r="BF12" s="28">
        <f>ER_Proyecto!BF43</f>
        <v>11470461005</v>
      </c>
      <c r="BG12" s="28">
        <f>ER_Proyecto!BG43</f>
        <v>11484970485</v>
      </c>
      <c r="BH12" s="28">
        <f>ER_Proyecto!BH43</f>
        <v>11499497978</v>
      </c>
      <c r="BI12" s="28">
        <f>ER_Proyecto!BI43</f>
        <v>11514043508</v>
      </c>
      <c r="BJ12" s="28">
        <f>ER_Proyecto!BJ43</f>
        <v>11528607095</v>
      </c>
    </row>
    <row r="13">
      <c r="A13" s="22" t="s">
        <v>172</v>
      </c>
      <c r="B13" s="22" t="s">
        <v>636</v>
      </c>
      <c r="C13" s="28">
        <f t="shared" ref="C13:BJ13" si="2">SUM(C11:C12)</f>
        <v>35164123029</v>
      </c>
      <c r="D13" s="28">
        <f t="shared" si="2"/>
        <v>35207956000</v>
      </c>
      <c r="E13" s="28">
        <f t="shared" si="2"/>
        <v>35800458614</v>
      </c>
      <c r="F13" s="28">
        <f t="shared" si="2"/>
        <v>36174659382</v>
      </c>
      <c r="G13" s="28">
        <f t="shared" si="2"/>
        <v>36365714749</v>
      </c>
      <c r="H13" s="28">
        <f t="shared" si="2"/>
        <v>36411131381</v>
      </c>
      <c r="I13" s="28">
        <f t="shared" si="2"/>
        <v>36456604397</v>
      </c>
      <c r="J13" s="28">
        <f t="shared" si="2"/>
        <v>36502133867</v>
      </c>
      <c r="K13" s="28">
        <f t="shared" si="2"/>
        <v>36547719862</v>
      </c>
      <c r="L13" s="28">
        <f t="shared" si="2"/>
        <v>36593362451</v>
      </c>
      <c r="M13" s="28">
        <f t="shared" si="2"/>
        <v>36639061704</v>
      </c>
      <c r="N13" s="28">
        <f t="shared" si="2"/>
        <v>36684817693</v>
      </c>
      <c r="O13" s="28">
        <f t="shared" si="2"/>
        <v>36730630487</v>
      </c>
      <c r="P13" s="28">
        <f t="shared" si="2"/>
        <v>36776500157</v>
      </c>
      <c r="Q13" s="28">
        <f t="shared" si="2"/>
        <v>36822426774</v>
      </c>
      <c r="R13" s="28">
        <f t="shared" si="2"/>
        <v>36868410408</v>
      </c>
      <c r="S13" s="28">
        <f t="shared" si="2"/>
        <v>36914451131</v>
      </c>
      <c r="T13" s="28">
        <f t="shared" si="2"/>
        <v>36960549012</v>
      </c>
      <c r="U13" s="28">
        <f t="shared" si="2"/>
        <v>37006704123</v>
      </c>
      <c r="V13" s="28">
        <f t="shared" si="2"/>
        <v>37052916536</v>
      </c>
      <c r="W13" s="28">
        <f t="shared" si="2"/>
        <v>37099186320</v>
      </c>
      <c r="X13" s="28">
        <f t="shared" si="2"/>
        <v>37145513548</v>
      </c>
      <c r="Y13" s="28">
        <f t="shared" si="2"/>
        <v>37191898290</v>
      </c>
      <c r="Z13" s="28">
        <f t="shared" si="2"/>
        <v>37238340619</v>
      </c>
      <c r="AA13" s="28">
        <f t="shared" si="2"/>
        <v>37284840605</v>
      </c>
      <c r="AB13" s="28">
        <f t="shared" si="2"/>
        <v>37331398320</v>
      </c>
      <c r="AC13" s="28">
        <f t="shared" si="2"/>
        <v>37378013836</v>
      </c>
      <c r="AD13" s="28">
        <f t="shared" si="2"/>
        <v>37424687225</v>
      </c>
      <c r="AE13" s="28">
        <f t="shared" si="2"/>
        <v>37471418558</v>
      </c>
      <c r="AF13" s="28">
        <f t="shared" si="2"/>
        <v>37518207908</v>
      </c>
      <c r="AG13" s="28">
        <f t="shared" si="2"/>
        <v>37565055345</v>
      </c>
      <c r="AH13" s="28">
        <f t="shared" si="2"/>
        <v>37611960944</v>
      </c>
      <c r="AI13" s="28">
        <f t="shared" si="2"/>
        <v>37658924775</v>
      </c>
      <c r="AJ13" s="28">
        <f t="shared" si="2"/>
        <v>37705946911</v>
      </c>
      <c r="AK13" s="28">
        <f t="shared" si="2"/>
        <v>37753027425</v>
      </c>
      <c r="AL13" s="28">
        <f t="shared" si="2"/>
        <v>37800166388</v>
      </c>
      <c r="AM13" s="28">
        <f t="shared" si="2"/>
        <v>37847363874</v>
      </c>
      <c r="AN13" s="28">
        <f t="shared" si="2"/>
        <v>37894619955</v>
      </c>
      <c r="AO13" s="28">
        <f t="shared" si="2"/>
        <v>37941934704</v>
      </c>
      <c r="AP13" s="28">
        <f t="shared" si="2"/>
        <v>37989308194</v>
      </c>
      <c r="AQ13" s="28">
        <f t="shared" si="2"/>
        <v>38036740497</v>
      </c>
      <c r="AR13" s="28">
        <f t="shared" si="2"/>
        <v>38084231687</v>
      </c>
      <c r="AS13" s="28">
        <f t="shared" si="2"/>
        <v>38131781836</v>
      </c>
      <c r="AT13" s="28">
        <f t="shared" si="2"/>
        <v>38179391018</v>
      </c>
      <c r="AU13" s="28">
        <f t="shared" si="2"/>
        <v>38227059307</v>
      </c>
      <c r="AV13" s="28">
        <f t="shared" si="2"/>
        <v>38274786775</v>
      </c>
      <c r="AW13" s="28">
        <f t="shared" si="2"/>
        <v>38322573497</v>
      </c>
      <c r="AX13" s="28">
        <f t="shared" si="2"/>
        <v>38370419544</v>
      </c>
      <c r="AY13" s="28">
        <f t="shared" si="2"/>
        <v>38418324993</v>
      </c>
      <c r="AZ13" s="28">
        <f t="shared" si="2"/>
        <v>38466289915</v>
      </c>
      <c r="BA13" s="28">
        <f t="shared" si="2"/>
        <v>38514314385</v>
      </c>
      <c r="BB13" s="28">
        <f t="shared" si="2"/>
        <v>38562398477</v>
      </c>
      <c r="BC13" s="28">
        <f t="shared" si="2"/>
        <v>38610542265</v>
      </c>
      <c r="BD13" s="28">
        <f t="shared" si="2"/>
        <v>38658745822</v>
      </c>
      <c r="BE13" s="28">
        <f t="shared" si="2"/>
        <v>38707009224</v>
      </c>
      <c r="BF13" s="28">
        <f t="shared" si="2"/>
        <v>38755332544</v>
      </c>
      <c r="BG13" s="28">
        <f t="shared" si="2"/>
        <v>38803715857</v>
      </c>
      <c r="BH13" s="28">
        <f t="shared" si="2"/>
        <v>38852159237</v>
      </c>
      <c r="BI13" s="28">
        <f t="shared" si="2"/>
        <v>38900662759</v>
      </c>
      <c r="BJ13" s="28">
        <f t="shared" si="2"/>
        <v>38949226498</v>
      </c>
    </row>
    <row r="14">
      <c r="A14" s="22" t="s">
        <v>174</v>
      </c>
      <c r="C14" s="28"/>
      <c r="D14" s="28"/>
      <c r="E14" s="28"/>
      <c r="F14" s="28"/>
      <c r="G14" s="28"/>
      <c r="H14" s="28"/>
      <c r="I14" s="28"/>
      <c r="J14" s="28"/>
      <c r="K14" s="28"/>
      <c r="L14" s="28"/>
      <c r="M14" s="28"/>
      <c r="N14" s="28"/>
      <c r="O14" s="28"/>
      <c r="P14" s="28"/>
      <c r="Q14" s="28"/>
      <c r="R14" s="28"/>
      <c r="S14" s="28"/>
      <c r="T14" s="28"/>
      <c r="U14" s="28"/>
      <c r="V14" s="28"/>
      <c r="W14" s="28"/>
      <c r="X14" s="28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</row>
    <row r="15">
      <c r="A15" s="22" t="s">
        <v>176</v>
      </c>
      <c r="B15" s="22" t="s">
        <v>637</v>
      </c>
      <c r="C15" s="28">
        <f t="shared" ref="C15:BJ15" si="3">C9-C13</f>
        <v>29164534671</v>
      </c>
      <c r="D15" s="28">
        <f t="shared" si="3"/>
        <v>36935243745</v>
      </c>
      <c r="E15" s="28">
        <f t="shared" si="3"/>
        <v>42864250680</v>
      </c>
      <c r="F15" s="28">
        <f t="shared" si="3"/>
        <v>47537943845</v>
      </c>
      <c r="G15" s="28">
        <f t="shared" si="3"/>
        <v>47585101110</v>
      </c>
      <c r="H15" s="28">
        <f t="shared" si="3"/>
        <v>47405238485</v>
      </c>
      <c r="I15" s="28">
        <f t="shared" si="3"/>
        <v>47225415133</v>
      </c>
      <c r="J15" s="28">
        <f t="shared" si="3"/>
        <v>47045631101</v>
      </c>
      <c r="K15" s="28">
        <f t="shared" si="3"/>
        <v>46865886439</v>
      </c>
      <c r="L15" s="28">
        <f t="shared" si="3"/>
        <v>46686181195</v>
      </c>
      <c r="M15" s="28">
        <f t="shared" si="3"/>
        <v>46506515419</v>
      </c>
      <c r="N15" s="28">
        <f t="shared" si="3"/>
        <v>46326889159</v>
      </c>
      <c r="O15" s="28">
        <f t="shared" si="3"/>
        <v>46147302464</v>
      </c>
      <c r="P15" s="28">
        <f t="shared" si="3"/>
        <v>45967755384</v>
      </c>
      <c r="Q15" s="28">
        <f t="shared" si="3"/>
        <v>45788247968</v>
      </c>
      <c r="R15" s="28">
        <f t="shared" si="3"/>
        <v>45608780265</v>
      </c>
      <c r="S15" s="28">
        <f t="shared" si="3"/>
        <v>45429352324</v>
      </c>
      <c r="T15" s="28">
        <f t="shared" si="3"/>
        <v>45249964195</v>
      </c>
      <c r="U15" s="28">
        <f t="shared" si="3"/>
        <v>45070615927</v>
      </c>
      <c r="V15" s="28">
        <f t="shared" si="3"/>
        <v>44891307569</v>
      </c>
      <c r="W15" s="28">
        <f t="shared" si="3"/>
        <v>44712039172</v>
      </c>
      <c r="X15" s="28">
        <f t="shared" si="3"/>
        <v>44532810784</v>
      </c>
      <c r="Y15" s="28">
        <f t="shared" si="3"/>
        <v>44353622456</v>
      </c>
      <c r="Z15" s="28">
        <f t="shared" si="3"/>
        <v>44174474237</v>
      </c>
      <c r="AA15" s="28">
        <f t="shared" si="3"/>
        <v>43995366177</v>
      </c>
      <c r="AB15" s="28">
        <f t="shared" si="3"/>
        <v>43816298326</v>
      </c>
      <c r="AC15" s="28">
        <f t="shared" si="3"/>
        <v>43637270733</v>
      </c>
      <c r="AD15" s="28">
        <f t="shared" si="3"/>
        <v>43458283449</v>
      </c>
      <c r="AE15" s="28">
        <f t="shared" si="3"/>
        <v>43279336524</v>
      </c>
      <c r="AF15" s="28">
        <f t="shared" si="3"/>
        <v>43100430008</v>
      </c>
      <c r="AG15" s="28">
        <f t="shared" si="3"/>
        <v>42921563951</v>
      </c>
      <c r="AH15" s="28">
        <f t="shared" si="3"/>
        <v>42742738403</v>
      </c>
      <c r="AI15" s="28">
        <f t="shared" si="3"/>
        <v>42563953414</v>
      </c>
      <c r="AJ15" s="28">
        <f t="shared" si="3"/>
        <v>42385209036</v>
      </c>
      <c r="AK15" s="28">
        <f t="shared" si="3"/>
        <v>42206505317</v>
      </c>
      <c r="AL15" s="28">
        <f t="shared" si="3"/>
        <v>42027842310</v>
      </c>
      <c r="AM15" s="28">
        <f t="shared" si="3"/>
        <v>41849220064</v>
      </c>
      <c r="AN15" s="28">
        <f t="shared" si="3"/>
        <v>41670638629</v>
      </c>
      <c r="AO15" s="28">
        <f t="shared" si="3"/>
        <v>41610310550</v>
      </c>
      <c r="AP15" s="28">
        <f t="shared" si="3"/>
        <v>42104339122</v>
      </c>
      <c r="AQ15" s="28">
        <f t="shared" si="3"/>
        <v>42599209604</v>
      </c>
      <c r="AR15" s="28">
        <f t="shared" si="3"/>
        <v>43094923041</v>
      </c>
      <c r="AS15" s="28">
        <f t="shared" si="3"/>
        <v>43591480481</v>
      </c>
      <c r="AT15" s="28">
        <f t="shared" si="3"/>
        <v>44088882970</v>
      </c>
      <c r="AU15" s="28">
        <f t="shared" si="3"/>
        <v>44587131559</v>
      </c>
      <c r="AV15" s="28">
        <f t="shared" si="3"/>
        <v>45086227296</v>
      </c>
      <c r="AW15" s="28">
        <f t="shared" si="3"/>
        <v>45586171235</v>
      </c>
      <c r="AX15" s="28">
        <f t="shared" si="3"/>
        <v>46086964428</v>
      </c>
      <c r="AY15" s="28">
        <f t="shared" si="3"/>
        <v>46588607930</v>
      </c>
      <c r="AZ15" s="28">
        <f t="shared" si="3"/>
        <v>47091102795</v>
      </c>
      <c r="BA15" s="28">
        <f t="shared" si="3"/>
        <v>47594450082</v>
      </c>
      <c r="BB15" s="28">
        <f t="shared" si="3"/>
        <v>48098650848</v>
      </c>
      <c r="BC15" s="28">
        <f t="shared" si="3"/>
        <v>48603706153</v>
      </c>
      <c r="BD15" s="28">
        <f t="shared" si="3"/>
        <v>49109617057</v>
      </c>
      <c r="BE15" s="28">
        <f t="shared" si="3"/>
        <v>49616384624</v>
      </c>
      <c r="BF15" s="28">
        <f t="shared" si="3"/>
        <v>50124009917</v>
      </c>
      <c r="BG15" s="28">
        <f t="shared" si="3"/>
        <v>50632493999</v>
      </c>
      <c r="BH15" s="28">
        <f t="shared" si="3"/>
        <v>51141837939</v>
      </c>
      <c r="BI15" s="28">
        <f t="shared" si="3"/>
        <v>51652042802</v>
      </c>
      <c r="BJ15" s="28">
        <f t="shared" si="3"/>
        <v>52163109659</v>
      </c>
    </row>
    <row r="16">
      <c r="A16" s="22" t="s">
        <v>178</v>
      </c>
      <c r="B16" s="22" t="s">
        <v>638</v>
      </c>
      <c r="C16" s="28">
        <f t="shared" ref="C16:BJ16" si="4">C13+C15</f>
        <v>64328657700</v>
      </c>
      <c r="D16" s="28">
        <f t="shared" si="4"/>
        <v>72143199745</v>
      </c>
      <c r="E16" s="28">
        <f t="shared" si="4"/>
        <v>78664709294</v>
      </c>
      <c r="F16" s="28">
        <f t="shared" si="4"/>
        <v>83712603227</v>
      </c>
      <c r="G16" s="28">
        <f t="shared" si="4"/>
        <v>83950815859</v>
      </c>
      <c r="H16" s="28">
        <f t="shared" si="4"/>
        <v>83816369867</v>
      </c>
      <c r="I16" s="28">
        <f t="shared" si="4"/>
        <v>83682019530</v>
      </c>
      <c r="J16" s="28">
        <f t="shared" si="4"/>
        <v>83547764968</v>
      </c>
      <c r="K16" s="28">
        <f t="shared" si="4"/>
        <v>83413606301</v>
      </c>
      <c r="L16" s="28">
        <f t="shared" si="4"/>
        <v>83279543646</v>
      </c>
      <c r="M16" s="28">
        <f t="shared" si="4"/>
        <v>83145577123</v>
      </c>
      <c r="N16" s="28">
        <f t="shared" si="4"/>
        <v>83011706852</v>
      </c>
      <c r="O16" s="28">
        <f t="shared" si="4"/>
        <v>82877932951</v>
      </c>
      <c r="P16" s="28">
        <f t="shared" si="4"/>
        <v>82744255542</v>
      </c>
      <c r="Q16" s="28">
        <f t="shared" si="4"/>
        <v>82610674742</v>
      </c>
      <c r="R16" s="28">
        <f t="shared" si="4"/>
        <v>82477190673</v>
      </c>
      <c r="S16" s="28">
        <f t="shared" si="4"/>
        <v>82343803455</v>
      </c>
      <c r="T16" s="28">
        <f t="shared" si="4"/>
        <v>82210513207</v>
      </c>
      <c r="U16" s="28">
        <f t="shared" si="4"/>
        <v>82077320050</v>
      </c>
      <c r="V16" s="28">
        <f t="shared" si="4"/>
        <v>81944224105</v>
      </c>
      <c r="W16" s="28">
        <f t="shared" si="4"/>
        <v>81811225492</v>
      </c>
      <c r="X16" s="28">
        <f t="shared" si="4"/>
        <v>81678324332</v>
      </c>
      <c r="Y16" s="28">
        <f t="shared" si="4"/>
        <v>81545520746</v>
      </c>
      <c r="Z16" s="28">
        <f t="shared" si="4"/>
        <v>81412814856</v>
      </c>
      <c r="AA16" s="28">
        <f t="shared" si="4"/>
        <v>81280206782</v>
      </c>
      <c r="AB16" s="28">
        <f t="shared" si="4"/>
        <v>81147696646</v>
      </c>
      <c r="AC16" s="28">
        <f t="shared" si="4"/>
        <v>81015284569</v>
      </c>
      <c r="AD16" s="28">
        <f t="shared" si="4"/>
        <v>80882970674</v>
      </c>
      <c r="AE16" s="28">
        <f t="shared" si="4"/>
        <v>80750755082</v>
      </c>
      <c r="AF16" s="28">
        <f t="shared" si="4"/>
        <v>80618637916</v>
      </c>
      <c r="AG16" s="28">
        <f t="shared" si="4"/>
        <v>80486619296</v>
      </c>
      <c r="AH16" s="28">
        <f t="shared" si="4"/>
        <v>80354699347</v>
      </c>
      <c r="AI16" s="28">
        <f t="shared" si="4"/>
        <v>80222878189</v>
      </c>
      <c r="AJ16" s="28">
        <f t="shared" si="4"/>
        <v>80091155947</v>
      </c>
      <c r="AK16" s="28">
        <f t="shared" si="4"/>
        <v>79959532742</v>
      </c>
      <c r="AL16" s="28">
        <f t="shared" si="4"/>
        <v>79828008698</v>
      </c>
      <c r="AM16" s="28">
        <f t="shared" si="4"/>
        <v>79696583938</v>
      </c>
      <c r="AN16" s="28">
        <f t="shared" si="4"/>
        <v>79565258585</v>
      </c>
      <c r="AO16" s="28">
        <f t="shared" si="4"/>
        <v>79552245254</v>
      </c>
      <c r="AP16" s="28">
        <f t="shared" si="4"/>
        <v>80093647315</v>
      </c>
      <c r="AQ16" s="28">
        <f t="shared" si="4"/>
        <v>80635950101</v>
      </c>
      <c r="AR16" s="28">
        <f t="shared" si="4"/>
        <v>81179154728</v>
      </c>
      <c r="AS16" s="28">
        <f t="shared" si="4"/>
        <v>81723262317</v>
      </c>
      <c r="AT16" s="28">
        <f t="shared" si="4"/>
        <v>82268273989</v>
      </c>
      <c r="AU16" s="28">
        <f t="shared" si="4"/>
        <v>82814190866</v>
      </c>
      <c r="AV16" s="28">
        <f t="shared" si="4"/>
        <v>83361014072</v>
      </c>
      <c r="AW16" s="28">
        <f t="shared" si="4"/>
        <v>83908744732</v>
      </c>
      <c r="AX16" s="28">
        <f t="shared" si="4"/>
        <v>84457383973</v>
      </c>
      <c r="AY16" s="28">
        <f t="shared" si="4"/>
        <v>85006932922</v>
      </c>
      <c r="AZ16" s="28">
        <f t="shared" si="4"/>
        <v>85557392710</v>
      </c>
      <c r="BA16" s="28">
        <f t="shared" si="4"/>
        <v>86108764467</v>
      </c>
      <c r="BB16" s="28">
        <f t="shared" si="4"/>
        <v>86661049325</v>
      </c>
      <c r="BC16" s="28">
        <f t="shared" si="4"/>
        <v>87214248417</v>
      </c>
      <c r="BD16" s="28">
        <f t="shared" si="4"/>
        <v>87768362880</v>
      </c>
      <c r="BE16" s="28">
        <f t="shared" si="4"/>
        <v>88323393848</v>
      </c>
      <c r="BF16" s="28">
        <f t="shared" si="4"/>
        <v>88879342461</v>
      </c>
      <c r="BG16" s="28">
        <f t="shared" si="4"/>
        <v>89436209856</v>
      </c>
      <c r="BH16" s="28">
        <f t="shared" si="4"/>
        <v>89993997176</v>
      </c>
      <c r="BI16" s="28">
        <f t="shared" si="4"/>
        <v>90552705562</v>
      </c>
      <c r="BJ16" s="28">
        <f t="shared" si="4"/>
        <v>91112336157</v>
      </c>
    </row>
    <row r="17">
      <c r="A17" s="22" t="s">
        <v>180</v>
      </c>
      <c r="B17" s="22" t="s">
        <v>639</v>
      </c>
      <c r="C17" s="28">
        <f t="shared" ref="C17:BJ17" si="5">C9-C16</f>
        <v>0</v>
      </c>
      <c r="D17" s="28">
        <f t="shared" si="5"/>
        <v>0</v>
      </c>
      <c r="E17" s="28">
        <f t="shared" si="5"/>
        <v>0</v>
      </c>
      <c r="F17" s="28">
        <f t="shared" si="5"/>
        <v>0</v>
      </c>
      <c r="G17" s="28">
        <f t="shared" si="5"/>
        <v>0</v>
      </c>
      <c r="H17" s="28">
        <f t="shared" si="5"/>
        <v>0</v>
      </c>
      <c r="I17" s="28">
        <f t="shared" si="5"/>
        <v>0</v>
      </c>
      <c r="J17" s="28">
        <f t="shared" si="5"/>
        <v>0</v>
      </c>
      <c r="K17" s="28">
        <f t="shared" si="5"/>
        <v>0</v>
      </c>
      <c r="L17" s="28">
        <f t="shared" si="5"/>
        <v>0</v>
      </c>
      <c r="M17" s="28">
        <f t="shared" si="5"/>
        <v>0</v>
      </c>
      <c r="N17" s="28">
        <f t="shared" si="5"/>
        <v>0</v>
      </c>
      <c r="O17" s="28">
        <f t="shared" si="5"/>
        <v>0</v>
      </c>
      <c r="P17" s="28">
        <f t="shared" si="5"/>
        <v>0</v>
      </c>
      <c r="Q17" s="28">
        <f t="shared" si="5"/>
        <v>0</v>
      </c>
      <c r="R17" s="28">
        <f t="shared" si="5"/>
        <v>0</v>
      </c>
      <c r="S17" s="28">
        <f t="shared" si="5"/>
        <v>0</v>
      </c>
      <c r="T17" s="28">
        <f t="shared" si="5"/>
        <v>0</v>
      </c>
      <c r="U17" s="28">
        <f t="shared" si="5"/>
        <v>0</v>
      </c>
      <c r="V17" s="28">
        <f t="shared" si="5"/>
        <v>0</v>
      </c>
      <c r="W17" s="28">
        <f t="shared" si="5"/>
        <v>0</v>
      </c>
      <c r="X17" s="28">
        <f t="shared" si="5"/>
        <v>0</v>
      </c>
      <c r="Y17" s="28">
        <f t="shared" si="5"/>
        <v>0</v>
      </c>
      <c r="Z17" s="28">
        <f t="shared" si="5"/>
        <v>0</v>
      </c>
      <c r="AA17" s="28">
        <f t="shared" si="5"/>
        <v>0</v>
      </c>
      <c r="AB17" s="28">
        <f t="shared" si="5"/>
        <v>0</v>
      </c>
      <c r="AC17" s="28">
        <f t="shared" si="5"/>
        <v>0</v>
      </c>
      <c r="AD17" s="28">
        <f t="shared" si="5"/>
        <v>0</v>
      </c>
      <c r="AE17" s="28">
        <f t="shared" si="5"/>
        <v>0</v>
      </c>
      <c r="AF17" s="28">
        <f t="shared" si="5"/>
        <v>0</v>
      </c>
      <c r="AG17" s="28">
        <f t="shared" si="5"/>
        <v>0</v>
      </c>
      <c r="AH17" s="28">
        <f t="shared" si="5"/>
        <v>0</v>
      </c>
      <c r="AI17" s="28">
        <f t="shared" si="5"/>
        <v>0</v>
      </c>
      <c r="AJ17" s="28">
        <f t="shared" si="5"/>
        <v>0</v>
      </c>
      <c r="AK17" s="28">
        <f t="shared" si="5"/>
        <v>0</v>
      </c>
      <c r="AL17" s="28">
        <f t="shared" si="5"/>
        <v>0</v>
      </c>
      <c r="AM17" s="28">
        <f t="shared" si="5"/>
        <v>0</v>
      </c>
      <c r="AN17" s="28">
        <f t="shared" si="5"/>
        <v>0</v>
      </c>
      <c r="AO17" s="28">
        <f t="shared" si="5"/>
        <v>0</v>
      </c>
      <c r="AP17" s="28">
        <f t="shared" si="5"/>
        <v>0</v>
      </c>
      <c r="AQ17" s="28">
        <f t="shared" si="5"/>
        <v>0</v>
      </c>
      <c r="AR17" s="28">
        <f t="shared" si="5"/>
        <v>0</v>
      </c>
      <c r="AS17" s="28">
        <f t="shared" si="5"/>
        <v>0</v>
      </c>
      <c r="AT17" s="28">
        <f t="shared" si="5"/>
        <v>0</v>
      </c>
      <c r="AU17" s="28">
        <f t="shared" si="5"/>
        <v>0</v>
      </c>
      <c r="AV17" s="28">
        <f t="shared" si="5"/>
        <v>0</v>
      </c>
      <c r="AW17" s="28">
        <f t="shared" si="5"/>
        <v>0</v>
      </c>
      <c r="AX17" s="28">
        <f t="shared" si="5"/>
        <v>0</v>
      </c>
      <c r="AY17" s="28">
        <f t="shared" si="5"/>
        <v>0</v>
      </c>
      <c r="AZ17" s="28">
        <f t="shared" si="5"/>
        <v>0</v>
      </c>
      <c r="BA17" s="28">
        <f t="shared" si="5"/>
        <v>0</v>
      </c>
      <c r="BB17" s="28">
        <f t="shared" si="5"/>
        <v>0</v>
      </c>
      <c r="BC17" s="28">
        <f t="shared" si="5"/>
        <v>0</v>
      </c>
      <c r="BD17" s="28">
        <f t="shared" si="5"/>
        <v>0</v>
      </c>
      <c r="BE17" s="28">
        <f t="shared" si="5"/>
        <v>0</v>
      </c>
      <c r="BF17" s="28">
        <f t="shared" si="5"/>
        <v>0</v>
      </c>
      <c r="BG17" s="28">
        <f t="shared" si="5"/>
        <v>0</v>
      </c>
      <c r="BH17" s="28">
        <f t="shared" si="5"/>
        <v>0</v>
      </c>
      <c r="BI17" s="28">
        <f t="shared" si="5"/>
        <v>0</v>
      </c>
      <c r="BJ17" s="28">
        <f t="shared" si="5"/>
        <v>0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">
    <mergeCell ref="A1:H1"/>
  </mergeCells>
  <printOptions/>
  <pageMargins bottom="0.75" footer="0.0" header="0.0" left="0.7" right="0.7" top="0.75"/>
  <pageSetup orientation="landscape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22.0"/>
    <col customWidth="1" min="2" max="2" width="18.0"/>
    <col customWidth="1" min="3" max="3" width="8.63"/>
    <col customWidth="1" min="4" max="4" width="28.0"/>
    <col customWidth="1" min="5" max="5" width="12.0"/>
    <col customWidth="1" min="6" max="6" width="26.0"/>
    <col customWidth="1" min="7" max="7" width="34.0"/>
    <col customWidth="1" min="8" max="8" width="28.0"/>
    <col customWidth="1" min="9" max="62" width="8.63"/>
  </cols>
  <sheetData>
    <row r="1">
      <c r="A1" s="25" t="s">
        <v>640</v>
      </c>
    </row>
    <row r="3">
      <c r="A3" s="4" t="s">
        <v>530</v>
      </c>
      <c r="B3" s="4" t="s">
        <v>641</v>
      </c>
      <c r="D3" s="4" t="s">
        <v>642</v>
      </c>
    </row>
    <row r="4">
      <c r="A4" s="22" t="s">
        <v>643</v>
      </c>
      <c r="B4" s="27">
        <f>Supuestos!$B$18</f>
        <v>0.18</v>
      </c>
      <c r="D4" s="53" t="s">
        <v>442</v>
      </c>
      <c r="E4" s="53" t="s">
        <v>644</v>
      </c>
      <c r="F4" s="53" t="s">
        <v>645</v>
      </c>
      <c r="G4" s="53" t="s">
        <v>646</v>
      </c>
      <c r="H4" s="53" t="s">
        <v>234</v>
      </c>
    </row>
    <row r="5">
      <c r="A5" s="22" t="s">
        <v>107</v>
      </c>
      <c r="B5" s="27">
        <f>Supuestos!$B$19</f>
        <v>0.01388843035</v>
      </c>
      <c r="D5" s="22" t="s">
        <v>647</v>
      </c>
      <c r="E5" s="27">
        <v>0.1025</v>
      </c>
      <c r="F5" s="22" t="s">
        <v>648</v>
      </c>
      <c r="G5" s="54" t="s">
        <v>649</v>
      </c>
      <c r="H5" s="22" t="s">
        <v>650</v>
      </c>
    </row>
    <row r="6">
      <c r="A6" s="22" t="s">
        <v>651</v>
      </c>
      <c r="B6" s="28">
        <f t="array" ref="B6">NPV(B5,Flujo_Caja!C15:BJ15)</f>
        <v>2180752718</v>
      </c>
      <c r="D6" s="22" t="s">
        <v>652</v>
      </c>
      <c r="E6" s="27">
        <v>0.05</v>
      </c>
      <c r="F6" s="22" t="s">
        <v>653</v>
      </c>
      <c r="G6" s="54" t="s">
        <v>654</v>
      </c>
      <c r="H6" s="22" t="s">
        <v>655</v>
      </c>
    </row>
    <row r="7">
      <c r="A7" s="22" t="s">
        <v>656</v>
      </c>
      <c r="B7" s="27">
        <f>IRR(Flujo_Caja!C15:BJ15)</f>
        <v>0.0175088649</v>
      </c>
      <c r="D7" s="22" t="s">
        <v>657</v>
      </c>
      <c r="E7" s="27">
        <v>0.0275</v>
      </c>
      <c r="F7" s="22" t="s">
        <v>658</v>
      </c>
      <c r="G7" s="54" t="s">
        <v>654</v>
      </c>
      <c r="H7" s="22" t="s">
        <v>659</v>
      </c>
    </row>
    <row r="8">
      <c r="A8" s="22" t="s">
        <v>660</v>
      </c>
      <c r="B8" s="27">
        <f>(1+B7)^12-1</f>
        <v>0.231568067</v>
      </c>
      <c r="D8" s="22" t="s">
        <v>661</v>
      </c>
      <c r="E8" s="27">
        <v>0.18</v>
      </c>
      <c r="F8" s="22" t="s">
        <v>662</v>
      </c>
      <c r="G8" s="54" t="s">
        <v>654</v>
      </c>
      <c r="H8" s="22" t="s">
        <v>663</v>
      </c>
    </row>
    <row r="9">
      <c r="A9" s="22" t="s">
        <v>664</v>
      </c>
      <c r="B9" s="22">
        <f t="shared" ref="B9:B10" si="1">IF(COUNTIF(C21:BJ21,1)=0,"No se recupera en 60 meses",MATCH(1,C21:BJ21,0))</f>
        <v>39</v>
      </c>
      <c r="D9" s="22" t="s">
        <v>665</v>
      </c>
      <c r="E9" s="27">
        <v>0.0529</v>
      </c>
      <c r="F9" s="22" t="s">
        <v>666</v>
      </c>
      <c r="G9" s="54" t="s">
        <v>667</v>
      </c>
      <c r="H9" s="22" t="s">
        <v>668</v>
      </c>
    </row>
    <row r="10">
      <c r="A10" s="22" t="s">
        <v>669</v>
      </c>
      <c r="B10" s="22">
        <f t="shared" si="1"/>
        <v>54</v>
      </c>
    </row>
    <row r="11">
      <c r="A11" s="22" t="s">
        <v>670</v>
      </c>
      <c r="B11" s="28">
        <f>SUM(ER_Proyecto!C50:N50)</f>
        <v>8053914020</v>
      </c>
    </row>
    <row r="12">
      <c r="A12" s="22" t="s">
        <v>671</v>
      </c>
      <c r="B12" s="28">
        <f>SUM(ER_Proyecto!C52:N52)</f>
        <v>6361948775</v>
      </c>
    </row>
    <row r="13">
      <c r="A13" s="22" t="s">
        <v>672</v>
      </c>
      <c r="B13" s="22" t="str">
        <f>Supuestos!$B$16&amp;" → "&amp;Supuestos!$B$17</f>
        <v>0,81 → 0,86</v>
      </c>
    </row>
    <row r="14">
      <c r="A14" s="22" t="s">
        <v>673</v>
      </c>
      <c r="B14" s="22" t="s">
        <v>674</v>
      </c>
    </row>
    <row r="15">
      <c r="C15" s="30">
        <v>46113.0</v>
      </c>
      <c r="D15" s="30">
        <v>46143.0</v>
      </c>
      <c r="E15" s="30">
        <v>46174.0</v>
      </c>
      <c r="F15" s="30">
        <v>46204.0</v>
      </c>
      <c r="G15" s="30">
        <v>46235.0</v>
      </c>
      <c r="H15" s="30">
        <v>46266.0</v>
      </c>
      <c r="I15" s="30">
        <v>46296.0</v>
      </c>
      <c r="J15" s="30">
        <v>46327.0</v>
      </c>
      <c r="K15" s="30">
        <v>46357.0</v>
      </c>
      <c r="L15" s="30">
        <v>46388.0</v>
      </c>
      <c r="M15" s="30">
        <v>46419.0</v>
      </c>
      <c r="N15" s="30">
        <v>46447.0</v>
      </c>
      <c r="O15" s="30">
        <v>46478.0</v>
      </c>
      <c r="P15" s="30">
        <v>46508.0</v>
      </c>
      <c r="Q15" s="30">
        <v>46539.0</v>
      </c>
      <c r="R15" s="30">
        <v>46569.0</v>
      </c>
      <c r="S15" s="30">
        <v>46600.0</v>
      </c>
      <c r="T15" s="30">
        <v>46631.0</v>
      </c>
      <c r="U15" s="30">
        <v>46661.0</v>
      </c>
      <c r="V15" s="30">
        <v>46692.0</v>
      </c>
      <c r="W15" s="30">
        <v>46722.0</v>
      </c>
      <c r="X15" s="30">
        <v>46753.0</v>
      </c>
      <c r="Y15" s="30">
        <v>46784.0</v>
      </c>
      <c r="Z15" s="30">
        <v>46813.0</v>
      </c>
      <c r="AA15" s="30">
        <v>46844.0</v>
      </c>
      <c r="AB15" s="30">
        <v>46874.0</v>
      </c>
      <c r="AC15" s="30">
        <v>46905.0</v>
      </c>
      <c r="AD15" s="30">
        <v>46935.0</v>
      </c>
      <c r="AE15" s="30">
        <v>46966.0</v>
      </c>
      <c r="AF15" s="30">
        <v>46997.0</v>
      </c>
      <c r="AG15" s="30">
        <v>47027.0</v>
      </c>
      <c r="AH15" s="30">
        <v>47058.0</v>
      </c>
      <c r="AI15" s="30">
        <v>47088.0</v>
      </c>
      <c r="AJ15" s="30">
        <v>47119.0</v>
      </c>
      <c r="AK15" s="30">
        <v>47150.0</v>
      </c>
      <c r="AL15" s="30">
        <v>47178.0</v>
      </c>
      <c r="AM15" s="30">
        <v>47209.0</v>
      </c>
      <c r="AN15" s="30">
        <v>47239.0</v>
      </c>
      <c r="AO15" s="30">
        <v>47270.0</v>
      </c>
      <c r="AP15" s="30">
        <v>47300.0</v>
      </c>
      <c r="AQ15" s="30">
        <v>47331.0</v>
      </c>
      <c r="AR15" s="30">
        <v>47362.0</v>
      </c>
      <c r="AS15" s="30">
        <v>47392.0</v>
      </c>
      <c r="AT15" s="30">
        <v>47423.0</v>
      </c>
      <c r="AU15" s="30">
        <v>47453.0</v>
      </c>
      <c r="AV15" s="30">
        <v>47484.0</v>
      </c>
      <c r="AW15" s="30">
        <v>47515.0</v>
      </c>
      <c r="AX15" s="30">
        <v>47543.0</v>
      </c>
      <c r="AY15" s="30">
        <v>47574.0</v>
      </c>
      <c r="AZ15" s="30">
        <v>47604.0</v>
      </c>
      <c r="BA15" s="30">
        <v>47635.0</v>
      </c>
      <c r="BB15" s="30">
        <v>47665.0</v>
      </c>
      <c r="BC15" s="30">
        <v>47696.0</v>
      </c>
      <c r="BD15" s="30">
        <v>47727.0</v>
      </c>
      <c r="BE15" s="30">
        <v>47757.0</v>
      </c>
      <c r="BF15" s="30">
        <v>47788.0</v>
      </c>
      <c r="BG15" s="30">
        <v>47818.0</v>
      </c>
      <c r="BH15" s="30">
        <v>47849.0</v>
      </c>
      <c r="BI15" s="30">
        <v>47880.0</v>
      </c>
      <c r="BJ15" s="30">
        <v>47908.0</v>
      </c>
    </row>
    <row r="16">
      <c r="A16" s="4" t="s">
        <v>166</v>
      </c>
      <c r="B16" s="4" t="s">
        <v>167</v>
      </c>
      <c r="C16" s="22">
        <v>1.0</v>
      </c>
      <c r="D16" s="22">
        <v>2.0</v>
      </c>
      <c r="E16" s="22">
        <v>3.0</v>
      </c>
      <c r="F16" s="22">
        <v>4.0</v>
      </c>
      <c r="G16" s="22">
        <v>5.0</v>
      </c>
      <c r="H16" s="22">
        <v>6.0</v>
      </c>
      <c r="I16" s="22">
        <v>7.0</v>
      </c>
      <c r="J16" s="22">
        <v>8.0</v>
      </c>
      <c r="K16" s="22">
        <v>9.0</v>
      </c>
      <c r="L16" s="22">
        <v>10.0</v>
      </c>
      <c r="M16" s="22">
        <v>11.0</v>
      </c>
      <c r="N16" s="22">
        <v>12.0</v>
      </c>
      <c r="O16" s="22">
        <v>13.0</v>
      </c>
      <c r="P16" s="22">
        <v>14.0</v>
      </c>
      <c r="Q16" s="22">
        <v>15.0</v>
      </c>
      <c r="R16" s="22">
        <v>16.0</v>
      </c>
      <c r="S16" s="22">
        <v>17.0</v>
      </c>
      <c r="T16" s="22">
        <v>18.0</v>
      </c>
      <c r="U16" s="22">
        <v>19.0</v>
      </c>
      <c r="V16" s="22">
        <v>20.0</v>
      </c>
      <c r="W16" s="22">
        <v>21.0</v>
      </c>
      <c r="X16" s="22">
        <v>22.0</v>
      </c>
      <c r="Y16" s="22">
        <v>23.0</v>
      </c>
      <c r="Z16" s="22">
        <v>24.0</v>
      </c>
      <c r="AA16" s="22">
        <v>25.0</v>
      </c>
      <c r="AB16" s="22">
        <v>26.0</v>
      </c>
      <c r="AC16" s="22">
        <v>27.0</v>
      </c>
      <c r="AD16" s="22">
        <v>28.0</v>
      </c>
      <c r="AE16" s="22">
        <v>29.0</v>
      </c>
      <c r="AF16" s="22">
        <v>30.0</v>
      </c>
      <c r="AG16" s="22">
        <v>31.0</v>
      </c>
      <c r="AH16" s="22">
        <v>32.0</v>
      </c>
      <c r="AI16" s="22">
        <v>33.0</v>
      </c>
      <c r="AJ16" s="22">
        <v>34.0</v>
      </c>
      <c r="AK16" s="22">
        <v>35.0</v>
      </c>
      <c r="AL16" s="22">
        <v>36.0</v>
      </c>
      <c r="AM16" s="22">
        <v>37.0</v>
      </c>
      <c r="AN16" s="22">
        <v>38.0</v>
      </c>
      <c r="AO16" s="22">
        <v>39.0</v>
      </c>
      <c r="AP16" s="22">
        <v>40.0</v>
      </c>
      <c r="AQ16" s="22">
        <v>41.0</v>
      </c>
      <c r="AR16" s="22">
        <v>42.0</v>
      </c>
      <c r="AS16" s="22">
        <v>43.0</v>
      </c>
      <c r="AT16" s="22">
        <v>44.0</v>
      </c>
      <c r="AU16" s="22">
        <v>45.0</v>
      </c>
      <c r="AV16" s="22">
        <v>46.0</v>
      </c>
      <c r="AW16" s="22">
        <v>47.0</v>
      </c>
      <c r="AX16" s="22">
        <v>48.0</v>
      </c>
      <c r="AY16" s="22">
        <v>49.0</v>
      </c>
      <c r="AZ16" s="22">
        <v>50.0</v>
      </c>
      <c r="BA16" s="22">
        <v>51.0</v>
      </c>
      <c r="BB16" s="22">
        <v>52.0</v>
      </c>
      <c r="BC16" s="22">
        <v>53.0</v>
      </c>
      <c r="BD16" s="22">
        <v>54.0</v>
      </c>
      <c r="BE16" s="22">
        <v>55.0</v>
      </c>
      <c r="BF16" s="22">
        <v>56.0</v>
      </c>
      <c r="BG16" s="22">
        <v>57.0</v>
      </c>
      <c r="BH16" s="22">
        <v>58.0</v>
      </c>
      <c r="BI16" s="22">
        <v>59.0</v>
      </c>
      <c r="BJ16" s="22">
        <v>60.0</v>
      </c>
    </row>
    <row r="17">
      <c r="A17" s="22" t="s">
        <v>180</v>
      </c>
      <c r="B17" s="22" t="s">
        <v>675</v>
      </c>
      <c r="C17" s="28">
        <f>Flujo_Caja!C15</f>
        <v>-4579424039</v>
      </c>
      <c r="D17" s="28">
        <f>Flujo_Caja!D15</f>
        <v>-7889206371</v>
      </c>
      <c r="E17" s="28">
        <f>Flujo_Caja!E15</f>
        <v>-5872166788</v>
      </c>
      <c r="F17" s="28">
        <f>Flujo_Caja!F15</f>
        <v>-4370154308</v>
      </c>
      <c r="G17" s="28">
        <f>Flujo_Caja!G15</f>
        <v>432748140.6</v>
      </c>
      <c r="H17" s="28">
        <f>Flujo_Caja!H15</f>
        <v>645878993.9</v>
      </c>
      <c r="I17" s="28">
        <f>Flujo_Caja!I15</f>
        <v>646646855.4</v>
      </c>
      <c r="J17" s="28">
        <f>Flujo_Caja!J15</f>
        <v>647415670.1</v>
      </c>
      <c r="K17" s="28">
        <f>Flujo_Caja!K15</f>
        <v>648185439.4</v>
      </c>
      <c r="L17" s="28">
        <f>Flujo_Caja!L15</f>
        <v>648956164.2</v>
      </c>
      <c r="M17" s="28">
        <f>Flujo_Caja!M15</f>
        <v>649727846</v>
      </c>
      <c r="N17" s="28">
        <f>Flujo_Caja!N15</f>
        <v>650500485.7</v>
      </c>
      <c r="O17" s="28">
        <f>Flujo_Caja!O15</f>
        <v>651274084.7</v>
      </c>
      <c r="P17" s="28">
        <f>Flujo_Caja!P15</f>
        <v>652048644.1</v>
      </c>
      <c r="Q17" s="28">
        <f>Flujo_Caja!Q15</f>
        <v>652824165.1</v>
      </c>
      <c r="R17" s="28">
        <f>Flujo_Caja!R15</f>
        <v>653600648.9</v>
      </c>
      <c r="S17" s="28">
        <f>Flujo_Caja!S15</f>
        <v>654378096.7</v>
      </c>
      <c r="T17" s="28">
        <f>Flujo_Caja!T15</f>
        <v>655156509.7</v>
      </c>
      <c r="U17" s="28">
        <f>Flujo_Caja!U15</f>
        <v>655935889</v>
      </c>
      <c r="V17" s="28">
        <f>Flujo_Caja!V15</f>
        <v>656716236</v>
      </c>
      <c r="W17" s="28">
        <f>Flujo_Caja!W15</f>
        <v>657497551.8</v>
      </c>
      <c r="X17" s="28">
        <f>Flujo_Caja!X15</f>
        <v>658279837.5</v>
      </c>
      <c r="Y17" s="28">
        <f>Flujo_Caja!Y15</f>
        <v>659063094.5</v>
      </c>
      <c r="Z17" s="28">
        <f>Flujo_Caja!Z15</f>
        <v>659847323.8</v>
      </c>
      <c r="AA17" s="28">
        <f>Flujo_Caja!AA15</f>
        <v>660632526.8</v>
      </c>
      <c r="AB17" s="28">
        <f>Flujo_Caja!AB15</f>
        <v>661418704.6</v>
      </c>
      <c r="AC17" s="28">
        <f>Flujo_Caja!AC15</f>
        <v>662205858.4</v>
      </c>
      <c r="AD17" s="28">
        <f>Flujo_Caja!AD15</f>
        <v>662993989.4</v>
      </c>
      <c r="AE17" s="28">
        <f>Flujo_Caja!AE15</f>
        <v>663783098.9</v>
      </c>
      <c r="AF17" s="28">
        <f>Flujo_Caja!AF15</f>
        <v>664573188.1</v>
      </c>
      <c r="AG17" s="28">
        <f>Flujo_Caja!AG15</f>
        <v>665364258.2</v>
      </c>
      <c r="AH17" s="28">
        <f>Flujo_Caja!AH15</f>
        <v>666156310.3</v>
      </c>
      <c r="AI17" s="28">
        <f>Flujo_Caja!AI15</f>
        <v>666949345.8</v>
      </c>
      <c r="AJ17" s="28">
        <f>Flujo_Caja!AJ15</f>
        <v>667743365.9</v>
      </c>
      <c r="AK17" s="28">
        <f>Flujo_Caja!AK15</f>
        <v>668538371.7</v>
      </c>
      <c r="AL17" s="28">
        <f>Flujo_Caja!AL15</f>
        <v>669334364.5</v>
      </c>
      <c r="AM17" s="28">
        <f>Flujo_Caja!AM15</f>
        <v>670131345.5</v>
      </c>
      <c r="AN17" s="28">
        <f>Flujo_Caja!AN15</f>
        <v>670929315.9</v>
      </c>
      <c r="AO17" s="28">
        <f>Flujo_Caja!AO15</f>
        <v>671728277</v>
      </c>
      <c r="AP17" s="28">
        <f>Flujo_Caja!AP15</f>
        <v>672528230.1</v>
      </c>
      <c r="AQ17" s="28">
        <f>Flujo_Caja!AQ15</f>
        <v>673329176.2</v>
      </c>
      <c r="AR17" s="28">
        <f>Flujo_Caja!AR15</f>
        <v>674131116.7</v>
      </c>
      <c r="AS17" s="28">
        <f>Flujo_Caja!AS15</f>
        <v>674934052.8</v>
      </c>
      <c r="AT17" s="28">
        <f>Flujo_Caja!AT15</f>
        <v>675737985.8</v>
      </c>
      <c r="AU17" s="28">
        <f>Flujo_Caja!AU15</f>
        <v>676542916.8</v>
      </c>
      <c r="AV17" s="28">
        <f>Flujo_Caja!AV15</f>
        <v>677348847.2</v>
      </c>
      <c r="AW17" s="28">
        <f>Flujo_Caja!AW15</f>
        <v>678155778.1</v>
      </c>
      <c r="AX17" s="28">
        <f>Flujo_Caja!AX15</f>
        <v>678963710.7</v>
      </c>
      <c r="AY17" s="28">
        <f>Flujo_Caja!AY15</f>
        <v>679772646.5</v>
      </c>
      <c r="AZ17" s="28">
        <f>Flujo_Caja!AZ15</f>
        <v>680582586.5</v>
      </c>
      <c r="BA17" s="28">
        <f>Flujo_Caja!BA15</f>
        <v>681393532</v>
      </c>
      <c r="BB17" s="28">
        <f>Flujo_Caja!BB15</f>
        <v>682205484.3</v>
      </c>
      <c r="BC17" s="28">
        <f>Flujo_Caja!BC15</f>
        <v>683018444.7</v>
      </c>
      <c r="BD17" s="28">
        <f>Flujo_Caja!BD15</f>
        <v>683832414.3</v>
      </c>
      <c r="BE17" s="28">
        <f>Flujo_Caja!BE15</f>
        <v>684647394.4</v>
      </c>
      <c r="BF17" s="28">
        <f>Flujo_Caja!BF15</f>
        <v>685463386.4</v>
      </c>
      <c r="BG17" s="28">
        <f>Flujo_Caja!BG15</f>
        <v>686280391.4</v>
      </c>
      <c r="BH17" s="28">
        <f>Flujo_Caja!BH15</f>
        <v>687098410.7</v>
      </c>
      <c r="BI17" s="28">
        <f>Flujo_Caja!BI15</f>
        <v>687917445.5</v>
      </c>
      <c r="BJ17" s="28">
        <f>Flujo_Caja!BJ15</f>
        <v>688737497.2</v>
      </c>
    </row>
    <row r="18">
      <c r="A18" s="22" t="s">
        <v>182</v>
      </c>
      <c r="B18" s="22" t="s">
        <v>676</v>
      </c>
      <c r="C18" s="28">
        <f>1/(1+Supuestos!$B$19)^C16</f>
        <v>0.9863018159</v>
      </c>
      <c r="D18" s="28">
        <f>1/(1+Supuestos!$B$19)^D16</f>
        <v>0.9727912721</v>
      </c>
      <c r="E18" s="28">
        <f>1/(1+Supuestos!$B$19)^E16</f>
        <v>0.9594657982</v>
      </c>
      <c r="F18" s="28">
        <f>1/(1+Supuestos!$B$19)^F16</f>
        <v>0.9463228591</v>
      </c>
      <c r="G18" s="28">
        <f>1/(1+Supuestos!$B$19)^G16</f>
        <v>0.9333599544</v>
      </c>
      <c r="H18" s="28">
        <f>1/(1+Supuestos!$B$19)^H16</f>
        <v>0.9205746179</v>
      </c>
      <c r="I18" s="28">
        <f>1/(1+Supuestos!$B$19)^I16</f>
        <v>0.9079644173</v>
      </c>
      <c r="J18" s="28">
        <f>1/(1+Supuestos!$B$19)^J16</f>
        <v>0.8955269536</v>
      </c>
      <c r="K18" s="28">
        <f>1/(1+Supuestos!$B$19)^K16</f>
        <v>0.8832598606</v>
      </c>
      <c r="L18" s="28">
        <f>1/(1+Supuestos!$B$19)^L16</f>
        <v>0.8711608044</v>
      </c>
      <c r="M18" s="28">
        <f>1/(1+Supuestos!$B$19)^M16</f>
        <v>0.8592274833</v>
      </c>
      <c r="N18" s="28">
        <f>1/(1+Supuestos!$B$19)^N16</f>
        <v>0.8474576271</v>
      </c>
      <c r="O18" s="28">
        <f>1/(1+Supuestos!$B$19)^O16</f>
        <v>0.8358489965</v>
      </c>
      <c r="P18" s="28">
        <f>1/(1+Supuestos!$B$19)^P16</f>
        <v>0.8243993831</v>
      </c>
      <c r="Q18" s="28">
        <f>1/(1+Supuestos!$B$19)^Q16</f>
        <v>0.8131066086</v>
      </c>
      <c r="R18" s="28">
        <f>1/(1+Supuestos!$B$19)^R16</f>
        <v>0.8019685246</v>
      </c>
      <c r="S18" s="28">
        <f>1/(1+Supuestos!$B$19)^S16</f>
        <v>0.7909830122</v>
      </c>
      <c r="T18" s="28">
        <f>1/(1+Supuestos!$B$19)^T16</f>
        <v>0.7801479813</v>
      </c>
      <c r="U18" s="28">
        <f>1/(1+Supuestos!$B$19)^U16</f>
        <v>0.7694613706</v>
      </c>
      <c r="V18" s="28">
        <f>1/(1+Supuestos!$B$19)^V16</f>
        <v>0.7589211471</v>
      </c>
      <c r="W18" s="28">
        <f>1/(1+Supuestos!$B$19)^W16</f>
        <v>0.7485253056</v>
      </c>
      <c r="X18" s="28">
        <f>1/(1+Supuestos!$B$19)^X16</f>
        <v>0.7382718681</v>
      </c>
      <c r="Y18" s="28">
        <f>1/(1+Supuestos!$B$19)^Y16</f>
        <v>0.7281588842</v>
      </c>
      <c r="Z18" s="28">
        <f>1/(1+Supuestos!$B$19)^Z16</f>
        <v>0.7181844298</v>
      </c>
      <c r="AA18" s="28">
        <f>1/(1+Supuestos!$B$19)^AA16</f>
        <v>0.7083466072</v>
      </c>
      <c r="AB18" s="28">
        <f>1/(1+Supuestos!$B$19)^AB16</f>
        <v>0.698643545</v>
      </c>
      <c r="AC18" s="28">
        <f>1/(1+Supuestos!$B$19)^AC16</f>
        <v>0.6890733971</v>
      </c>
      <c r="AD18" s="28">
        <f>1/(1+Supuestos!$B$19)^AD16</f>
        <v>0.6796343429</v>
      </c>
      <c r="AE18" s="28">
        <f>1/(1+Supuestos!$B$19)^AE16</f>
        <v>0.6703245866</v>
      </c>
      <c r="AF18" s="28">
        <f>1/(1+Supuestos!$B$19)^AF16</f>
        <v>0.661142357</v>
      </c>
      <c r="AG18" s="28">
        <f>1/(1+Supuestos!$B$19)^AG16</f>
        <v>0.6520859073</v>
      </c>
      <c r="AH18" s="28">
        <f>1/(1+Supuestos!$B$19)^AH16</f>
        <v>0.6431535145</v>
      </c>
      <c r="AI18" s="28">
        <f>1/(1+Supuestos!$B$19)^AI16</f>
        <v>0.6343434793</v>
      </c>
      <c r="AJ18" s="28">
        <f>1/(1+Supuestos!$B$19)^AJ16</f>
        <v>0.6256541255</v>
      </c>
      <c r="AK18" s="28">
        <f>1/(1+Supuestos!$B$19)^AK16</f>
        <v>0.6170838002</v>
      </c>
      <c r="AL18" s="28">
        <f>1/(1+Supuestos!$B$19)^AL16</f>
        <v>0.6086308727</v>
      </c>
      <c r="AM18" s="28">
        <f>1/(1+Supuestos!$B$19)^AM16</f>
        <v>0.600293735</v>
      </c>
      <c r="AN18" s="28">
        <f>1/(1+Supuestos!$B$19)^AN16</f>
        <v>0.5920708009</v>
      </c>
      <c r="AO18" s="28">
        <f>1/(1+Supuestos!$B$19)^AO16</f>
        <v>0.5839605061</v>
      </c>
      <c r="AP18" s="28">
        <f>1/(1+Supuestos!$B$19)^AP16</f>
        <v>0.5759613076</v>
      </c>
      <c r="AQ18" s="28">
        <f>1/(1+Supuestos!$B$19)^AQ16</f>
        <v>0.5680716835</v>
      </c>
      <c r="AR18" s="28">
        <f>1/(1+Supuestos!$B$19)^AR16</f>
        <v>0.5602901331</v>
      </c>
      <c r="AS18" s="28">
        <f>1/(1+Supuestos!$B$19)^AS16</f>
        <v>0.5526151757</v>
      </c>
      <c r="AT18" s="28">
        <f>1/(1+Supuestos!$B$19)^AT16</f>
        <v>0.5450453513</v>
      </c>
      <c r="AU18" s="28">
        <f>1/(1+Supuestos!$B$19)^AU16</f>
        <v>0.5375792197</v>
      </c>
      <c r="AV18" s="28">
        <f>1/(1+Supuestos!$B$19)^AV16</f>
        <v>0.5302153606</v>
      </c>
      <c r="AW18" s="28">
        <f>1/(1+Supuestos!$B$19)^AW16</f>
        <v>0.522952373</v>
      </c>
      <c r="AX18" s="28">
        <f>1/(1+Supuestos!$B$19)^AX16</f>
        <v>0.5157888752</v>
      </c>
      <c r="AY18" s="28">
        <f>1/(1+Supuestos!$B$19)^AY16</f>
        <v>0.5087235042</v>
      </c>
      <c r="AZ18" s="28">
        <f>1/(1+Supuestos!$B$19)^AZ16</f>
        <v>0.501754916</v>
      </c>
      <c r="BA18" s="28">
        <f>1/(1+Supuestos!$B$19)^BA16</f>
        <v>0.4948817848</v>
      </c>
      <c r="BB18" s="28">
        <f>1/(1+Supuestos!$B$19)^BB16</f>
        <v>0.488102803</v>
      </c>
      <c r="BC18" s="28">
        <f>1/(1+Supuestos!$B$19)^BC16</f>
        <v>0.481416681</v>
      </c>
      <c r="BD18" s="28">
        <f>1/(1+Supuestos!$B$19)^BD16</f>
        <v>0.4748221467</v>
      </c>
      <c r="BE18" s="28">
        <f>1/(1+Supuestos!$B$19)^BE16</f>
        <v>0.4683179455</v>
      </c>
      <c r="BF18" s="28">
        <f>1/(1+Supuestos!$B$19)^BF16</f>
        <v>0.4619028401</v>
      </c>
      <c r="BG18" s="28">
        <f>1/(1+Supuestos!$B$19)^BG16</f>
        <v>0.4555756099</v>
      </c>
      <c r="BH18" s="28">
        <f>1/(1+Supuestos!$B$19)^BH16</f>
        <v>0.4493350514</v>
      </c>
      <c r="BI18" s="28">
        <f>1/(1+Supuestos!$B$19)^BI16</f>
        <v>0.4431799771</v>
      </c>
      <c r="BJ18" s="28">
        <f>1/(1+Supuestos!$B$19)^BJ16</f>
        <v>0.4371092162</v>
      </c>
    </row>
    <row r="19">
      <c r="A19" s="22" t="s">
        <v>184</v>
      </c>
      <c r="B19" s="22" t="s">
        <v>677</v>
      </c>
      <c r="C19" s="28">
        <f t="shared" ref="C19:BJ19" si="2">C17*C18</f>
        <v>-4516694246</v>
      </c>
      <c r="D19" s="28">
        <f t="shared" si="2"/>
        <v>-7674551102</v>
      </c>
      <c r="E19" s="28">
        <f t="shared" si="2"/>
        <v>-5634143194</v>
      </c>
      <c r="F19" s="28">
        <f t="shared" si="2"/>
        <v>-4135576919</v>
      </c>
      <c r="G19" s="28">
        <f t="shared" si="2"/>
        <v>403909784.8</v>
      </c>
      <c r="H19" s="28">
        <f t="shared" si="2"/>
        <v>594579808.1</v>
      </c>
      <c r="I19" s="28">
        <f t="shared" si="2"/>
        <v>587132335.3</v>
      </c>
      <c r="J19" s="28">
        <f t="shared" si="2"/>
        <v>579778182.8</v>
      </c>
      <c r="K19" s="28">
        <f t="shared" si="2"/>
        <v>572516180.8</v>
      </c>
      <c r="L19" s="28">
        <f t="shared" si="2"/>
        <v>565345174.1</v>
      </c>
      <c r="M19" s="28">
        <f t="shared" si="2"/>
        <v>558264021.9</v>
      </c>
      <c r="N19" s="28">
        <f t="shared" si="2"/>
        <v>551271598.1</v>
      </c>
      <c r="O19" s="28">
        <f t="shared" si="2"/>
        <v>544366790.2</v>
      </c>
      <c r="P19" s="28">
        <f t="shared" si="2"/>
        <v>537548500</v>
      </c>
      <c r="Q19" s="28">
        <f t="shared" si="2"/>
        <v>530815642.9</v>
      </c>
      <c r="R19" s="28">
        <f t="shared" si="2"/>
        <v>524167148.1</v>
      </c>
      <c r="S19" s="28">
        <f t="shared" si="2"/>
        <v>517601958</v>
      </c>
      <c r="T19" s="28">
        <f t="shared" si="2"/>
        <v>511119028.4</v>
      </c>
      <c r="U19" s="28">
        <f t="shared" si="2"/>
        <v>504717328.2</v>
      </c>
      <c r="V19" s="28">
        <f t="shared" si="2"/>
        <v>498395839.2</v>
      </c>
      <c r="W19" s="28">
        <f t="shared" si="2"/>
        <v>492153555.8</v>
      </c>
      <c r="X19" s="28">
        <f t="shared" si="2"/>
        <v>485989485.4</v>
      </c>
      <c r="Y19" s="28">
        <f t="shared" si="2"/>
        <v>479902647.5</v>
      </c>
      <c r="Z19" s="28">
        <f t="shared" si="2"/>
        <v>473892074</v>
      </c>
      <c r="AA19" s="28">
        <f t="shared" si="2"/>
        <v>467956809</v>
      </c>
      <c r="AB19" s="28">
        <f t="shared" si="2"/>
        <v>462095908.5</v>
      </c>
      <c r="AC19" s="28">
        <f t="shared" si="2"/>
        <v>456308440.4</v>
      </c>
      <c r="AD19" s="28">
        <f t="shared" si="2"/>
        <v>450593484.4</v>
      </c>
      <c r="AE19" s="28">
        <f t="shared" si="2"/>
        <v>444950131.4</v>
      </c>
      <c r="AF19" s="28">
        <f t="shared" si="2"/>
        <v>439377484</v>
      </c>
      <c r="AG19" s="28">
        <f t="shared" si="2"/>
        <v>433874656</v>
      </c>
      <c r="AH19" s="28">
        <f t="shared" si="2"/>
        <v>428440772.2</v>
      </c>
      <c r="AI19" s="28">
        <f t="shared" si="2"/>
        <v>423074968.5</v>
      </c>
      <c r="AJ19" s="28">
        <f t="shared" si="2"/>
        <v>417776391.7</v>
      </c>
      <c r="AK19" s="28">
        <f t="shared" si="2"/>
        <v>412544198.9</v>
      </c>
      <c r="AL19" s="28">
        <f t="shared" si="2"/>
        <v>407377558.4</v>
      </c>
      <c r="AM19" s="28">
        <f t="shared" si="2"/>
        <v>402275648.3</v>
      </c>
      <c r="AN19" s="28">
        <f t="shared" si="2"/>
        <v>397237657.4</v>
      </c>
      <c r="AO19" s="28">
        <f t="shared" si="2"/>
        <v>392262784.6</v>
      </c>
      <c r="AP19" s="28">
        <f t="shared" si="2"/>
        <v>387350238.8</v>
      </c>
      <c r="AQ19" s="28">
        <f t="shared" si="2"/>
        <v>382499238.7</v>
      </c>
      <c r="AR19" s="28">
        <f t="shared" si="2"/>
        <v>377709013.1</v>
      </c>
      <c r="AS19" s="28">
        <f t="shared" si="2"/>
        <v>372978800.2</v>
      </c>
      <c r="AT19" s="28">
        <f t="shared" si="2"/>
        <v>368307847.8</v>
      </c>
      <c r="AU19" s="28">
        <f t="shared" si="2"/>
        <v>363695413.3</v>
      </c>
      <c r="AV19" s="28">
        <f t="shared" si="2"/>
        <v>359140763.3</v>
      </c>
      <c r="AW19" s="28">
        <f t="shared" si="2"/>
        <v>354643173.4</v>
      </c>
      <c r="AX19" s="28">
        <f t="shared" si="2"/>
        <v>350201928.6</v>
      </c>
      <c r="AY19" s="28">
        <f t="shared" si="2"/>
        <v>345816322.8</v>
      </c>
      <c r="AZ19" s="28">
        <f t="shared" si="2"/>
        <v>341485658.5</v>
      </c>
      <c r="BA19" s="28">
        <f t="shared" si="2"/>
        <v>337209247.3</v>
      </c>
      <c r="BB19" s="28">
        <f t="shared" si="2"/>
        <v>332986409.1</v>
      </c>
      <c r="BC19" s="28">
        <f t="shared" si="2"/>
        <v>328816472.7</v>
      </c>
      <c r="BD19" s="28">
        <f t="shared" si="2"/>
        <v>324698774.9</v>
      </c>
      <c r="BE19" s="28">
        <f t="shared" si="2"/>
        <v>320632661.2</v>
      </c>
      <c r="BF19" s="28">
        <f t="shared" si="2"/>
        <v>316617484.9</v>
      </c>
      <c r="BG19" s="28">
        <f t="shared" si="2"/>
        <v>312652607.9</v>
      </c>
      <c r="BH19" s="28">
        <f t="shared" si="2"/>
        <v>308737399.7</v>
      </c>
      <c r="BI19" s="28">
        <f t="shared" si="2"/>
        <v>304871237.8</v>
      </c>
      <c r="BJ19" s="28">
        <f t="shared" si="2"/>
        <v>301053507.6</v>
      </c>
    </row>
    <row r="20">
      <c r="A20" s="22" t="s">
        <v>186</v>
      </c>
      <c r="B20" s="22" t="s">
        <v>678</v>
      </c>
      <c r="C20" s="28">
        <f>C19</f>
        <v>-4516694246</v>
      </c>
      <c r="D20" s="28">
        <f t="shared" ref="D20:BJ20" si="3">C20+D19</f>
        <v>-12191245347</v>
      </c>
      <c r="E20" s="28">
        <f t="shared" si="3"/>
        <v>-17825388542</v>
      </c>
      <c r="F20" s="28">
        <f t="shared" si="3"/>
        <v>-21960965461</v>
      </c>
      <c r="G20" s="28">
        <f t="shared" si="3"/>
        <v>-21557055676</v>
      </c>
      <c r="H20" s="28">
        <f t="shared" si="3"/>
        <v>-20962475868</v>
      </c>
      <c r="I20" s="28">
        <f t="shared" si="3"/>
        <v>-20375343533</v>
      </c>
      <c r="J20" s="28">
        <f t="shared" si="3"/>
        <v>-19795565350</v>
      </c>
      <c r="K20" s="28">
        <f t="shared" si="3"/>
        <v>-19223049169</v>
      </c>
      <c r="L20" s="28">
        <f t="shared" si="3"/>
        <v>-18657703995</v>
      </c>
      <c r="M20" s="28">
        <f t="shared" si="3"/>
        <v>-18099439973</v>
      </c>
      <c r="N20" s="28">
        <f t="shared" si="3"/>
        <v>-17548168375</v>
      </c>
      <c r="O20" s="28">
        <f t="shared" si="3"/>
        <v>-17003801585</v>
      </c>
      <c r="P20" s="28">
        <f t="shared" si="3"/>
        <v>-16466253085</v>
      </c>
      <c r="Q20" s="28">
        <f t="shared" si="3"/>
        <v>-15935437442</v>
      </c>
      <c r="R20" s="28">
        <f t="shared" si="3"/>
        <v>-15411270294</v>
      </c>
      <c r="S20" s="28">
        <f t="shared" si="3"/>
        <v>-14893668336</v>
      </c>
      <c r="T20" s="28">
        <f t="shared" si="3"/>
        <v>-14382549307</v>
      </c>
      <c r="U20" s="28">
        <f t="shared" si="3"/>
        <v>-13877831979</v>
      </c>
      <c r="V20" s="28">
        <f t="shared" si="3"/>
        <v>-13379436140</v>
      </c>
      <c r="W20" s="28">
        <f t="shared" si="3"/>
        <v>-12887282584</v>
      </c>
      <c r="X20" s="28">
        <f t="shared" si="3"/>
        <v>-12401293099</v>
      </c>
      <c r="Y20" s="28">
        <f t="shared" si="3"/>
        <v>-11921390451</v>
      </c>
      <c r="Z20" s="28">
        <f t="shared" si="3"/>
        <v>-11447498377</v>
      </c>
      <c r="AA20" s="28">
        <f t="shared" si="3"/>
        <v>-10979541568</v>
      </c>
      <c r="AB20" s="28">
        <f t="shared" si="3"/>
        <v>-10517445660</v>
      </c>
      <c r="AC20" s="28">
        <f t="shared" si="3"/>
        <v>-10061137219</v>
      </c>
      <c r="AD20" s="28">
        <f t="shared" si="3"/>
        <v>-9610543735</v>
      </c>
      <c r="AE20" s="28">
        <f t="shared" si="3"/>
        <v>-9165593604</v>
      </c>
      <c r="AF20" s="28">
        <f t="shared" si="3"/>
        <v>-8726216120</v>
      </c>
      <c r="AG20" s="28">
        <f t="shared" si="3"/>
        <v>-8292341464</v>
      </c>
      <c r="AH20" s="28">
        <f t="shared" si="3"/>
        <v>-7863900692</v>
      </c>
      <c r="AI20" s="28">
        <f t="shared" si="3"/>
        <v>-7440825723</v>
      </c>
      <c r="AJ20" s="28">
        <f t="shared" si="3"/>
        <v>-7023049331</v>
      </c>
      <c r="AK20" s="28">
        <f t="shared" si="3"/>
        <v>-6610505132</v>
      </c>
      <c r="AL20" s="28">
        <f t="shared" si="3"/>
        <v>-6203127574</v>
      </c>
      <c r="AM20" s="28">
        <f t="shared" si="3"/>
        <v>-5800851926</v>
      </c>
      <c r="AN20" s="28">
        <f t="shared" si="3"/>
        <v>-5403614268</v>
      </c>
      <c r="AO20" s="28">
        <f t="shared" si="3"/>
        <v>-5011351484</v>
      </c>
      <c r="AP20" s="28">
        <f t="shared" si="3"/>
        <v>-4624001245</v>
      </c>
      <c r="AQ20" s="28">
        <f t="shared" si="3"/>
        <v>-4241502006</v>
      </c>
      <c r="AR20" s="28">
        <f t="shared" si="3"/>
        <v>-3863792993</v>
      </c>
      <c r="AS20" s="28">
        <f t="shared" si="3"/>
        <v>-3490814193</v>
      </c>
      <c r="AT20" s="28">
        <f t="shared" si="3"/>
        <v>-3122506345</v>
      </c>
      <c r="AU20" s="28">
        <f t="shared" si="3"/>
        <v>-2758810932</v>
      </c>
      <c r="AV20" s="28">
        <f t="shared" si="3"/>
        <v>-2399670168</v>
      </c>
      <c r="AW20" s="28">
        <f t="shared" si="3"/>
        <v>-2045026995</v>
      </c>
      <c r="AX20" s="28">
        <f t="shared" si="3"/>
        <v>-1694825066</v>
      </c>
      <c r="AY20" s="28">
        <f t="shared" si="3"/>
        <v>-1349008744</v>
      </c>
      <c r="AZ20" s="28">
        <f t="shared" si="3"/>
        <v>-1007523085</v>
      </c>
      <c r="BA20" s="28">
        <f t="shared" si="3"/>
        <v>-670313837.9</v>
      </c>
      <c r="BB20" s="28">
        <f t="shared" si="3"/>
        <v>-337327428.8</v>
      </c>
      <c r="BC20" s="28">
        <f t="shared" si="3"/>
        <v>-8510956.139</v>
      </c>
      <c r="BD20" s="28">
        <f t="shared" si="3"/>
        <v>316187818.8</v>
      </c>
      <c r="BE20" s="28">
        <f t="shared" si="3"/>
        <v>636820479.9</v>
      </c>
      <c r="BF20" s="28">
        <f t="shared" si="3"/>
        <v>953437964.9</v>
      </c>
      <c r="BG20" s="28">
        <f t="shared" si="3"/>
        <v>1266090573</v>
      </c>
      <c r="BH20" s="28">
        <f t="shared" si="3"/>
        <v>1574827972</v>
      </c>
      <c r="BI20" s="28">
        <f t="shared" si="3"/>
        <v>1879699210</v>
      </c>
      <c r="BJ20" s="28">
        <f t="shared" si="3"/>
        <v>2180752718</v>
      </c>
    </row>
    <row r="21" ht="15.75" customHeight="1">
      <c r="A21" s="22" t="s">
        <v>188</v>
      </c>
      <c r="B21" s="22" t="s">
        <v>679</v>
      </c>
      <c r="C21" s="22">
        <f>IF(Flujo_Caja!C16&gt;0,1,0)</f>
        <v>0</v>
      </c>
      <c r="D21" s="22">
        <f>IF(Flujo_Caja!D16&gt;0,1,0)</f>
        <v>0</v>
      </c>
      <c r="E21" s="22">
        <f>IF(Flujo_Caja!E16&gt;0,1,0)</f>
        <v>0</v>
      </c>
      <c r="F21" s="22">
        <f>IF(Flujo_Caja!F16&gt;0,1,0)</f>
        <v>0</v>
      </c>
      <c r="G21" s="22">
        <f>IF(Flujo_Caja!G16&gt;0,1,0)</f>
        <v>0</v>
      </c>
      <c r="H21" s="22">
        <f>IF(Flujo_Caja!H16&gt;0,1,0)</f>
        <v>0</v>
      </c>
      <c r="I21" s="22">
        <f>IF(Flujo_Caja!I16&gt;0,1,0)</f>
        <v>0</v>
      </c>
      <c r="J21" s="22">
        <f>IF(Flujo_Caja!J16&gt;0,1,0)</f>
        <v>0</v>
      </c>
      <c r="K21" s="22">
        <f>IF(Flujo_Caja!K16&gt;0,1,0)</f>
        <v>0</v>
      </c>
      <c r="L21" s="22">
        <f>IF(Flujo_Caja!L16&gt;0,1,0)</f>
        <v>0</v>
      </c>
      <c r="M21" s="22">
        <f>IF(Flujo_Caja!M16&gt;0,1,0)</f>
        <v>0</v>
      </c>
      <c r="N21" s="22">
        <f>IF(Flujo_Caja!N16&gt;0,1,0)</f>
        <v>0</v>
      </c>
      <c r="O21" s="22">
        <f>IF(Flujo_Caja!O16&gt;0,1,0)</f>
        <v>0</v>
      </c>
      <c r="P21" s="22">
        <f>IF(Flujo_Caja!P16&gt;0,1,0)</f>
        <v>0</v>
      </c>
      <c r="Q21" s="22">
        <f>IF(Flujo_Caja!Q16&gt;0,1,0)</f>
        <v>0</v>
      </c>
      <c r="R21" s="22">
        <f>IF(Flujo_Caja!R16&gt;0,1,0)</f>
        <v>0</v>
      </c>
      <c r="S21" s="22">
        <f>IF(Flujo_Caja!S16&gt;0,1,0)</f>
        <v>0</v>
      </c>
      <c r="T21" s="22">
        <f>IF(Flujo_Caja!T16&gt;0,1,0)</f>
        <v>0</v>
      </c>
      <c r="U21" s="22">
        <f>IF(Flujo_Caja!U16&gt;0,1,0)</f>
        <v>0</v>
      </c>
      <c r="V21" s="22">
        <f>IF(Flujo_Caja!V16&gt;0,1,0)</f>
        <v>0</v>
      </c>
      <c r="W21" s="22">
        <f>IF(Flujo_Caja!W16&gt;0,1,0)</f>
        <v>0</v>
      </c>
      <c r="X21" s="22">
        <f>IF(Flujo_Caja!X16&gt;0,1,0)</f>
        <v>0</v>
      </c>
      <c r="Y21" s="22">
        <f>IF(Flujo_Caja!Y16&gt;0,1,0)</f>
        <v>0</v>
      </c>
      <c r="Z21" s="22">
        <f>IF(Flujo_Caja!Z16&gt;0,1,0)</f>
        <v>0</v>
      </c>
      <c r="AA21" s="22">
        <f>IF(Flujo_Caja!AA16&gt;0,1,0)</f>
        <v>0</v>
      </c>
      <c r="AB21" s="22">
        <f>IF(Flujo_Caja!AB16&gt;0,1,0)</f>
        <v>0</v>
      </c>
      <c r="AC21" s="22">
        <f>IF(Flujo_Caja!AC16&gt;0,1,0)</f>
        <v>0</v>
      </c>
      <c r="AD21" s="22">
        <f>IF(Flujo_Caja!AD16&gt;0,1,0)</f>
        <v>0</v>
      </c>
      <c r="AE21" s="22">
        <f>IF(Flujo_Caja!AE16&gt;0,1,0)</f>
        <v>0</v>
      </c>
      <c r="AF21" s="22">
        <f>IF(Flujo_Caja!AF16&gt;0,1,0)</f>
        <v>0</v>
      </c>
      <c r="AG21" s="22">
        <f>IF(Flujo_Caja!AG16&gt;0,1,0)</f>
        <v>0</v>
      </c>
      <c r="AH21" s="22">
        <f>IF(Flujo_Caja!AH16&gt;0,1,0)</f>
        <v>0</v>
      </c>
      <c r="AI21" s="22">
        <f>IF(Flujo_Caja!AI16&gt;0,1,0)</f>
        <v>0</v>
      </c>
      <c r="AJ21" s="22">
        <f>IF(Flujo_Caja!AJ16&gt;0,1,0)</f>
        <v>0</v>
      </c>
      <c r="AK21" s="22">
        <f>IF(Flujo_Caja!AK16&gt;0,1,0)</f>
        <v>0</v>
      </c>
      <c r="AL21" s="22">
        <f>IF(Flujo_Caja!AL16&gt;0,1,0)</f>
        <v>0</v>
      </c>
      <c r="AM21" s="22">
        <f>IF(Flujo_Caja!AM16&gt;0,1,0)</f>
        <v>0</v>
      </c>
      <c r="AN21" s="22">
        <f>IF(Flujo_Caja!AN16&gt;0,1,0)</f>
        <v>0</v>
      </c>
      <c r="AO21" s="22">
        <f>IF(Flujo_Caja!AO16&gt;0,1,0)</f>
        <v>1</v>
      </c>
      <c r="AP21" s="22">
        <f>IF(Flujo_Caja!AP16&gt;0,1,0)</f>
        <v>1</v>
      </c>
      <c r="AQ21" s="22">
        <f>IF(Flujo_Caja!AQ16&gt;0,1,0)</f>
        <v>1</v>
      </c>
      <c r="AR21" s="22">
        <f>IF(Flujo_Caja!AR16&gt;0,1,0)</f>
        <v>1</v>
      </c>
      <c r="AS21" s="22">
        <f>IF(Flujo_Caja!AS16&gt;0,1,0)</f>
        <v>1</v>
      </c>
      <c r="AT21" s="22">
        <f>IF(Flujo_Caja!AT16&gt;0,1,0)</f>
        <v>1</v>
      </c>
      <c r="AU21" s="22">
        <f>IF(Flujo_Caja!AU16&gt;0,1,0)</f>
        <v>1</v>
      </c>
      <c r="AV21" s="22">
        <f>IF(Flujo_Caja!AV16&gt;0,1,0)</f>
        <v>1</v>
      </c>
      <c r="AW21" s="22">
        <f>IF(Flujo_Caja!AW16&gt;0,1,0)</f>
        <v>1</v>
      </c>
      <c r="AX21" s="22">
        <f>IF(Flujo_Caja!AX16&gt;0,1,0)</f>
        <v>1</v>
      </c>
      <c r="AY21" s="22">
        <f>IF(Flujo_Caja!AY16&gt;0,1,0)</f>
        <v>1</v>
      </c>
      <c r="AZ21" s="22">
        <f>IF(Flujo_Caja!AZ16&gt;0,1,0)</f>
        <v>1</v>
      </c>
      <c r="BA21" s="22">
        <f>IF(Flujo_Caja!BA16&gt;0,1,0)</f>
        <v>1</v>
      </c>
      <c r="BB21" s="22">
        <f>IF(Flujo_Caja!BB16&gt;0,1,0)</f>
        <v>1</v>
      </c>
      <c r="BC21" s="22">
        <f>IF(Flujo_Caja!BC16&gt;0,1,0)</f>
        <v>1</v>
      </c>
      <c r="BD21" s="22">
        <f>IF(Flujo_Caja!BD16&gt;0,1,0)</f>
        <v>1</v>
      </c>
      <c r="BE21" s="22">
        <f>IF(Flujo_Caja!BE16&gt;0,1,0)</f>
        <v>1</v>
      </c>
      <c r="BF21" s="22">
        <f>IF(Flujo_Caja!BF16&gt;0,1,0)</f>
        <v>1</v>
      </c>
      <c r="BG21" s="22">
        <f>IF(Flujo_Caja!BG16&gt;0,1,0)</f>
        <v>1</v>
      </c>
      <c r="BH21" s="22">
        <f>IF(Flujo_Caja!BH16&gt;0,1,0)</f>
        <v>1</v>
      </c>
      <c r="BI21" s="22">
        <f>IF(Flujo_Caja!BI16&gt;0,1,0)</f>
        <v>1</v>
      </c>
      <c r="BJ21" s="22">
        <f>IF(Flujo_Caja!BJ16&gt;0,1,0)</f>
        <v>1</v>
      </c>
    </row>
    <row r="22" ht="15.75" customHeight="1">
      <c r="A22" s="22" t="s">
        <v>190</v>
      </c>
      <c r="B22" s="22" t="s">
        <v>680</v>
      </c>
      <c r="C22" s="22">
        <f t="shared" ref="C22:BJ22" si="4">IF(C20&gt;0,1,0)</f>
        <v>0</v>
      </c>
      <c r="D22" s="22">
        <f t="shared" si="4"/>
        <v>0</v>
      </c>
      <c r="E22" s="22">
        <f t="shared" si="4"/>
        <v>0</v>
      </c>
      <c r="F22" s="22">
        <f t="shared" si="4"/>
        <v>0</v>
      </c>
      <c r="G22" s="22">
        <f t="shared" si="4"/>
        <v>0</v>
      </c>
      <c r="H22" s="22">
        <f t="shared" si="4"/>
        <v>0</v>
      </c>
      <c r="I22" s="22">
        <f t="shared" si="4"/>
        <v>0</v>
      </c>
      <c r="J22" s="22">
        <f t="shared" si="4"/>
        <v>0</v>
      </c>
      <c r="K22" s="22">
        <f t="shared" si="4"/>
        <v>0</v>
      </c>
      <c r="L22" s="22">
        <f t="shared" si="4"/>
        <v>0</v>
      </c>
      <c r="M22" s="22">
        <f t="shared" si="4"/>
        <v>0</v>
      </c>
      <c r="N22" s="22">
        <f t="shared" si="4"/>
        <v>0</v>
      </c>
      <c r="O22" s="22">
        <f t="shared" si="4"/>
        <v>0</v>
      </c>
      <c r="P22" s="22">
        <f t="shared" si="4"/>
        <v>0</v>
      </c>
      <c r="Q22" s="22">
        <f t="shared" si="4"/>
        <v>0</v>
      </c>
      <c r="R22" s="22">
        <f t="shared" si="4"/>
        <v>0</v>
      </c>
      <c r="S22" s="22">
        <f t="shared" si="4"/>
        <v>0</v>
      </c>
      <c r="T22" s="22">
        <f t="shared" si="4"/>
        <v>0</v>
      </c>
      <c r="U22" s="22">
        <f t="shared" si="4"/>
        <v>0</v>
      </c>
      <c r="V22" s="22">
        <f t="shared" si="4"/>
        <v>0</v>
      </c>
      <c r="W22" s="22">
        <f t="shared" si="4"/>
        <v>0</v>
      </c>
      <c r="X22" s="22">
        <f t="shared" si="4"/>
        <v>0</v>
      </c>
      <c r="Y22" s="22">
        <f t="shared" si="4"/>
        <v>0</v>
      </c>
      <c r="Z22" s="22">
        <f t="shared" si="4"/>
        <v>0</v>
      </c>
      <c r="AA22" s="22">
        <f t="shared" si="4"/>
        <v>0</v>
      </c>
      <c r="AB22" s="22">
        <f t="shared" si="4"/>
        <v>0</v>
      </c>
      <c r="AC22" s="22">
        <f t="shared" si="4"/>
        <v>0</v>
      </c>
      <c r="AD22" s="22">
        <f t="shared" si="4"/>
        <v>0</v>
      </c>
      <c r="AE22" s="22">
        <f t="shared" si="4"/>
        <v>0</v>
      </c>
      <c r="AF22" s="22">
        <f t="shared" si="4"/>
        <v>0</v>
      </c>
      <c r="AG22" s="22">
        <f t="shared" si="4"/>
        <v>0</v>
      </c>
      <c r="AH22" s="22">
        <f t="shared" si="4"/>
        <v>0</v>
      </c>
      <c r="AI22" s="22">
        <f t="shared" si="4"/>
        <v>0</v>
      </c>
      <c r="AJ22" s="22">
        <f t="shared" si="4"/>
        <v>0</v>
      </c>
      <c r="AK22" s="22">
        <f t="shared" si="4"/>
        <v>0</v>
      </c>
      <c r="AL22" s="22">
        <f t="shared" si="4"/>
        <v>0</v>
      </c>
      <c r="AM22" s="22">
        <f t="shared" si="4"/>
        <v>0</v>
      </c>
      <c r="AN22" s="22">
        <f t="shared" si="4"/>
        <v>0</v>
      </c>
      <c r="AO22" s="22">
        <f t="shared" si="4"/>
        <v>0</v>
      </c>
      <c r="AP22" s="22">
        <f t="shared" si="4"/>
        <v>0</v>
      </c>
      <c r="AQ22" s="22">
        <f t="shared" si="4"/>
        <v>0</v>
      </c>
      <c r="AR22" s="22">
        <f t="shared" si="4"/>
        <v>0</v>
      </c>
      <c r="AS22" s="22">
        <f t="shared" si="4"/>
        <v>0</v>
      </c>
      <c r="AT22" s="22">
        <f t="shared" si="4"/>
        <v>0</v>
      </c>
      <c r="AU22" s="22">
        <f t="shared" si="4"/>
        <v>0</v>
      </c>
      <c r="AV22" s="22">
        <f t="shared" si="4"/>
        <v>0</v>
      </c>
      <c r="AW22" s="22">
        <f t="shared" si="4"/>
        <v>0</v>
      </c>
      <c r="AX22" s="22">
        <f t="shared" si="4"/>
        <v>0</v>
      </c>
      <c r="AY22" s="22">
        <f t="shared" si="4"/>
        <v>0</v>
      </c>
      <c r="AZ22" s="22">
        <f t="shared" si="4"/>
        <v>0</v>
      </c>
      <c r="BA22" s="22">
        <f t="shared" si="4"/>
        <v>0</v>
      </c>
      <c r="BB22" s="22">
        <f t="shared" si="4"/>
        <v>0</v>
      </c>
      <c r="BC22" s="22">
        <f t="shared" si="4"/>
        <v>0</v>
      </c>
      <c r="BD22" s="22">
        <f t="shared" si="4"/>
        <v>1</v>
      </c>
      <c r="BE22" s="22">
        <f t="shared" si="4"/>
        <v>1</v>
      </c>
      <c r="BF22" s="22">
        <f t="shared" si="4"/>
        <v>1</v>
      </c>
      <c r="BG22" s="22">
        <f t="shared" si="4"/>
        <v>1</v>
      </c>
      <c r="BH22" s="22">
        <f t="shared" si="4"/>
        <v>1</v>
      </c>
      <c r="BI22" s="22">
        <f t="shared" si="4"/>
        <v>1</v>
      </c>
      <c r="BJ22" s="22">
        <f t="shared" si="4"/>
        <v>1</v>
      </c>
    </row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2">
    <mergeCell ref="A1:H1"/>
    <mergeCell ref="D3:H3"/>
  </mergeCells>
  <printOptions/>
  <pageMargins bottom="0.75" footer="0.0" header="0.0" left="0.7" right="0.7" top="0.75"/>
  <pageSetup orientation="landscape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18.0"/>
    <col customWidth="1" min="2" max="2" width="16.0"/>
    <col customWidth="1" min="3" max="4" width="14.0"/>
    <col customWidth="1" min="5" max="5" width="12.0"/>
    <col customWidth="1" min="6" max="6" width="16.0"/>
    <col customWidth="1" min="7" max="7" width="12.0"/>
    <col customWidth="1" min="8" max="62" width="8.63"/>
  </cols>
  <sheetData>
    <row r="1">
      <c r="A1" s="25" t="s">
        <v>681</v>
      </c>
    </row>
    <row r="3">
      <c r="A3" s="4" t="s">
        <v>682</v>
      </c>
      <c r="B3" s="4" t="s">
        <v>683</v>
      </c>
      <c r="C3" s="4" t="s">
        <v>684</v>
      </c>
      <c r="D3" s="4" t="s">
        <v>685</v>
      </c>
      <c r="E3" s="4" t="s">
        <v>643</v>
      </c>
      <c r="F3" s="4" t="s">
        <v>686</v>
      </c>
      <c r="G3" s="4" t="s">
        <v>687</v>
      </c>
    </row>
    <row r="4">
      <c r="A4" s="22" t="s">
        <v>688</v>
      </c>
      <c r="B4" s="24">
        <v>0.95</v>
      </c>
      <c r="C4" s="24">
        <v>1.15</v>
      </c>
      <c r="D4" s="24">
        <v>1.05</v>
      </c>
      <c r="E4" s="24">
        <v>0.2</v>
      </c>
      <c r="F4" s="28">
        <f>SUM(C14:BJ14)</f>
        <v>-3070965997</v>
      </c>
      <c r="G4" s="27">
        <f>IRR(C12:BJ12)</f>
        <v>0.0104564512</v>
      </c>
    </row>
    <row r="5">
      <c r="A5" s="22" t="s">
        <v>538</v>
      </c>
      <c r="B5" s="24">
        <v>1.0</v>
      </c>
      <c r="C5" s="24">
        <v>1.0</v>
      </c>
      <c r="D5" s="24">
        <v>1.0</v>
      </c>
      <c r="E5" s="24">
        <v>0.18</v>
      </c>
      <c r="F5" s="28">
        <f>SUM(C20:BJ20)</f>
        <v>2180752718</v>
      </c>
      <c r="G5" s="27">
        <f>IRR(C18:BJ18)</f>
        <v>0.0175088649</v>
      </c>
    </row>
    <row r="6">
      <c r="A6" s="22" t="s">
        <v>689</v>
      </c>
      <c r="B6" s="24">
        <v>1.05</v>
      </c>
      <c r="C6" s="24">
        <v>0.9</v>
      </c>
      <c r="D6" s="24">
        <v>0.95</v>
      </c>
      <c r="E6" s="24">
        <v>0.16</v>
      </c>
      <c r="F6" s="28">
        <f>SUM(C26:BJ26)</f>
        <v>6552278207</v>
      </c>
      <c r="G6" s="27">
        <f>IRR(C24:BJ24)</f>
        <v>0.02359265735</v>
      </c>
    </row>
    <row r="10">
      <c r="C10" s="30">
        <v>46113.0</v>
      </c>
      <c r="D10" s="30">
        <v>46143.0</v>
      </c>
      <c r="E10" s="30">
        <v>46174.0</v>
      </c>
      <c r="F10" s="30">
        <v>46204.0</v>
      </c>
      <c r="G10" s="30">
        <v>46235.0</v>
      </c>
      <c r="H10" s="30">
        <v>46266.0</v>
      </c>
      <c r="I10" s="30">
        <v>46296.0</v>
      </c>
      <c r="J10" s="30">
        <v>46327.0</v>
      </c>
      <c r="K10" s="30">
        <v>46357.0</v>
      </c>
      <c r="L10" s="30">
        <v>46388.0</v>
      </c>
      <c r="M10" s="30">
        <v>46419.0</v>
      </c>
      <c r="N10" s="30">
        <v>46447.0</v>
      </c>
      <c r="O10" s="30">
        <v>46478.0</v>
      </c>
      <c r="P10" s="30">
        <v>46508.0</v>
      </c>
      <c r="Q10" s="30">
        <v>46539.0</v>
      </c>
      <c r="R10" s="30">
        <v>46569.0</v>
      </c>
      <c r="S10" s="30">
        <v>46600.0</v>
      </c>
      <c r="T10" s="30">
        <v>46631.0</v>
      </c>
      <c r="U10" s="30">
        <v>46661.0</v>
      </c>
      <c r="V10" s="30">
        <v>46692.0</v>
      </c>
      <c r="W10" s="30">
        <v>46722.0</v>
      </c>
      <c r="X10" s="30">
        <v>46753.0</v>
      </c>
      <c r="Y10" s="30">
        <v>46784.0</v>
      </c>
      <c r="Z10" s="30">
        <v>46813.0</v>
      </c>
      <c r="AA10" s="30">
        <v>46844.0</v>
      </c>
      <c r="AB10" s="30">
        <v>46874.0</v>
      </c>
      <c r="AC10" s="30">
        <v>46905.0</v>
      </c>
      <c r="AD10" s="30">
        <v>46935.0</v>
      </c>
      <c r="AE10" s="30">
        <v>46966.0</v>
      </c>
      <c r="AF10" s="30">
        <v>46997.0</v>
      </c>
      <c r="AG10" s="30">
        <v>47027.0</v>
      </c>
      <c r="AH10" s="30">
        <v>47058.0</v>
      </c>
      <c r="AI10" s="30">
        <v>47088.0</v>
      </c>
      <c r="AJ10" s="30">
        <v>47119.0</v>
      </c>
      <c r="AK10" s="30">
        <v>47150.0</v>
      </c>
      <c r="AL10" s="30">
        <v>47178.0</v>
      </c>
      <c r="AM10" s="30">
        <v>47209.0</v>
      </c>
      <c r="AN10" s="30">
        <v>47239.0</v>
      </c>
      <c r="AO10" s="30">
        <v>47270.0</v>
      </c>
      <c r="AP10" s="30">
        <v>47300.0</v>
      </c>
      <c r="AQ10" s="30">
        <v>47331.0</v>
      </c>
      <c r="AR10" s="30">
        <v>47362.0</v>
      </c>
      <c r="AS10" s="30">
        <v>47392.0</v>
      </c>
      <c r="AT10" s="30">
        <v>47423.0</v>
      </c>
      <c r="AU10" s="30">
        <v>47453.0</v>
      </c>
      <c r="AV10" s="30">
        <v>47484.0</v>
      </c>
      <c r="AW10" s="30">
        <v>47515.0</v>
      </c>
      <c r="AX10" s="30">
        <v>47543.0</v>
      </c>
      <c r="AY10" s="30">
        <v>47574.0</v>
      </c>
      <c r="AZ10" s="30">
        <v>47604.0</v>
      </c>
      <c r="BA10" s="30">
        <v>47635.0</v>
      </c>
      <c r="BB10" s="30">
        <v>47665.0</v>
      </c>
      <c r="BC10" s="30">
        <v>47696.0</v>
      </c>
      <c r="BD10" s="30">
        <v>47727.0</v>
      </c>
      <c r="BE10" s="30">
        <v>47757.0</v>
      </c>
      <c r="BF10" s="30">
        <v>47788.0</v>
      </c>
      <c r="BG10" s="30">
        <v>47818.0</v>
      </c>
      <c r="BH10" s="30">
        <v>47849.0</v>
      </c>
      <c r="BI10" s="30">
        <v>47880.0</v>
      </c>
      <c r="BJ10" s="30">
        <v>47908.0</v>
      </c>
    </row>
    <row r="11">
      <c r="C11" s="22">
        <v>1.0</v>
      </c>
      <c r="D11" s="22">
        <v>2.0</v>
      </c>
      <c r="E11" s="22">
        <v>3.0</v>
      </c>
      <c r="F11" s="22">
        <v>4.0</v>
      </c>
      <c r="G11" s="22">
        <v>5.0</v>
      </c>
      <c r="H11" s="22">
        <v>6.0</v>
      </c>
      <c r="I11" s="22">
        <v>7.0</v>
      </c>
      <c r="J11" s="22">
        <v>8.0</v>
      </c>
      <c r="K11" s="22">
        <v>9.0</v>
      </c>
      <c r="L11" s="22">
        <v>10.0</v>
      </c>
      <c r="M11" s="22">
        <v>11.0</v>
      </c>
      <c r="N11" s="22">
        <v>12.0</v>
      </c>
      <c r="O11" s="22">
        <v>13.0</v>
      </c>
      <c r="P11" s="22">
        <v>14.0</v>
      </c>
      <c r="Q11" s="22">
        <v>15.0</v>
      </c>
      <c r="R11" s="22">
        <v>16.0</v>
      </c>
      <c r="S11" s="22">
        <v>17.0</v>
      </c>
      <c r="T11" s="22">
        <v>18.0</v>
      </c>
      <c r="U11" s="22">
        <v>19.0</v>
      </c>
      <c r="V11" s="22">
        <v>20.0</v>
      </c>
      <c r="W11" s="22">
        <v>21.0</v>
      </c>
      <c r="X11" s="22">
        <v>22.0</v>
      </c>
      <c r="Y11" s="22">
        <v>23.0</v>
      </c>
      <c r="Z11" s="22">
        <v>24.0</v>
      </c>
      <c r="AA11" s="22">
        <v>25.0</v>
      </c>
      <c r="AB11" s="22">
        <v>26.0</v>
      </c>
      <c r="AC11" s="22">
        <v>27.0</v>
      </c>
      <c r="AD11" s="22">
        <v>28.0</v>
      </c>
      <c r="AE11" s="22">
        <v>29.0</v>
      </c>
      <c r="AF11" s="22">
        <v>30.0</v>
      </c>
      <c r="AG11" s="22">
        <v>31.0</v>
      </c>
      <c r="AH11" s="22">
        <v>32.0</v>
      </c>
      <c r="AI11" s="22">
        <v>33.0</v>
      </c>
      <c r="AJ11" s="22">
        <v>34.0</v>
      </c>
      <c r="AK11" s="22">
        <v>35.0</v>
      </c>
      <c r="AL11" s="22">
        <v>36.0</v>
      </c>
      <c r="AM11" s="22">
        <v>37.0</v>
      </c>
      <c r="AN11" s="22">
        <v>38.0</v>
      </c>
      <c r="AO11" s="22">
        <v>39.0</v>
      </c>
      <c r="AP11" s="22">
        <v>40.0</v>
      </c>
      <c r="AQ11" s="22">
        <v>41.0</v>
      </c>
      <c r="AR11" s="22">
        <v>42.0</v>
      </c>
      <c r="AS11" s="22">
        <v>43.0</v>
      </c>
      <c r="AT11" s="22">
        <v>44.0</v>
      </c>
      <c r="AU11" s="22">
        <v>45.0</v>
      </c>
      <c r="AV11" s="22">
        <v>46.0</v>
      </c>
      <c r="AW11" s="22">
        <v>47.0</v>
      </c>
      <c r="AX11" s="22">
        <v>48.0</v>
      </c>
      <c r="AY11" s="22">
        <v>49.0</v>
      </c>
      <c r="AZ11" s="22">
        <v>50.0</v>
      </c>
      <c r="BA11" s="22">
        <v>51.0</v>
      </c>
      <c r="BB11" s="22">
        <v>52.0</v>
      </c>
      <c r="BC11" s="22">
        <v>53.0</v>
      </c>
      <c r="BD11" s="22">
        <v>54.0</v>
      </c>
      <c r="BE11" s="22">
        <v>55.0</v>
      </c>
      <c r="BF11" s="22">
        <v>56.0</v>
      </c>
      <c r="BG11" s="22">
        <v>57.0</v>
      </c>
      <c r="BH11" s="22">
        <v>58.0</v>
      </c>
      <c r="BI11" s="22">
        <v>59.0</v>
      </c>
      <c r="BJ11" s="22">
        <v>60.0</v>
      </c>
    </row>
    <row r="12">
      <c r="A12" s="53" t="s">
        <v>688</v>
      </c>
      <c r="B12" s="53" t="s">
        <v>690</v>
      </c>
      <c r="C12" s="28">
        <f>(Flujo_Caja!C9+Flujo_Caja!C6-Flujo_Caja!C14)*$B$4 - (Flujo_Caja!C10+Flujo_Caja!C11)*$C$4 - Flujo_Caja!C12*$D$4</f>
        <v>-5245245907</v>
      </c>
      <c r="D12" s="28">
        <f>(Flujo_Caja!D9+Flujo_Caja!D6-Flujo_Caja!D14)*$B$4 - (Flujo_Caja!D10+Flujo_Caja!D11)*$C$4 - Flujo_Caja!D12*$D$4</f>
        <v>-9051498044</v>
      </c>
      <c r="E12" s="28">
        <f>(Flujo_Caja!E9+Flujo_Caja!E6-Flujo_Caja!E14)*$B$4 - (Flujo_Caja!E10+Flujo_Caja!E11)*$C$4 - Flujo_Caja!E12*$D$4</f>
        <v>-6690539493</v>
      </c>
      <c r="F12" s="28">
        <f>(Flujo_Caja!F9+Flujo_Caja!F6-Flujo_Caja!F14)*$B$4 - (Flujo_Caja!F10+Flujo_Caja!F11)*$C$4 - Flujo_Caja!F12*$D$4</f>
        <v>-5042974663</v>
      </c>
      <c r="G12" s="28">
        <f>(Flujo_Caja!G9+Flujo_Caja!G6-Flujo_Caja!G14)*$B$4 - (Flujo_Caja!G10+Flujo_Caja!G11)*$C$4 - Flujo_Caja!G12*$D$4</f>
        <v>411110733.6</v>
      </c>
      <c r="H12" s="28">
        <f>(Flujo_Caja!H9+Flujo_Caja!H6-Flujo_Caja!H14)*$B$4 - (Flujo_Caja!H10+Flujo_Caja!H11)*$C$4 - Flujo_Caja!H12*$D$4</f>
        <v>613585044.3</v>
      </c>
      <c r="I12" s="28">
        <f>(Flujo_Caja!I9+Flujo_Caja!I6-Flujo_Caja!I14)*$B$4 - (Flujo_Caja!I10+Flujo_Caja!I11)*$C$4 - Flujo_Caja!I12*$D$4</f>
        <v>614314512.6</v>
      </c>
      <c r="J12" s="28">
        <f>(Flujo_Caja!J9+Flujo_Caja!J6-Flujo_Caja!J14)*$B$4 - (Flujo_Caja!J10+Flujo_Caja!J11)*$C$4 - Flujo_Caja!J12*$D$4</f>
        <v>615044886.6</v>
      </c>
      <c r="K12" s="28">
        <f>(Flujo_Caja!K9+Flujo_Caja!K6-Flujo_Caja!K14)*$B$4 - (Flujo_Caja!K10+Flujo_Caja!K11)*$C$4 - Flujo_Caja!K12*$D$4</f>
        <v>615776167.4</v>
      </c>
      <c r="L12" s="28">
        <f>(Flujo_Caja!L9+Flujo_Caja!L6-Flujo_Caja!L14)*$B$4 - (Flujo_Caja!L10+Flujo_Caja!L11)*$C$4 - Flujo_Caja!L12*$D$4</f>
        <v>616508356</v>
      </c>
      <c r="M12" s="28">
        <f>(Flujo_Caja!M9+Flujo_Caja!M6-Flujo_Caja!M14)*$B$4 - (Flujo_Caja!M10+Flujo_Caja!M11)*$C$4 - Flujo_Caja!M12*$D$4</f>
        <v>617241453.7</v>
      </c>
      <c r="N12" s="28">
        <f>(Flujo_Caja!N9+Flujo_Caja!N6-Flujo_Caja!N14)*$B$4 - (Flujo_Caja!N10+Flujo_Caja!N11)*$C$4 - Flujo_Caja!N12*$D$4</f>
        <v>617975461.4</v>
      </c>
      <c r="O12" s="28">
        <f>(Flujo_Caja!O9+Flujo_Caja!O6-Flujo_Caja!O14)*$B$4 - (Flujo_Caja!O10+Flujo_Caja!O11)*$C$4 - Flujo_Caja!O12*$D$4</f>
        <v>618710380.5</v>
      </c>
      <c r="P12" s="28">
        <f>(Flujo_Caja!P9+Flujo_Caja!P6-Flujo_Caja!P14)*$B$4 - (Flujo_Caja!P10+Flujo_Caja!P11)*$C$4 - Flujo_Caja!P12*$D$4</f>
        <v>619446211.9</v>
      </c>
      <c r="Q12" s="28">
        <f>(Flujo_Caja!Q9+Flujo_Caja!Q6-Flujo_Caja!Q14)*$B$4 - (Flujo_Caja!Q10+Flujo_Caja!Q11)*$C$4 - Flujo_Caja!Q12*$D$4</f>
        <v>620182956.8</v>
      </c>
      <c r="R12" s="28">
        <f>(Flujo_Caja!R9+Flujo_Caja!R6-Flujo_Caja!R14)*$B$4 - (Flujo_Caja!R10+Flujo_Caja!R11)*$C$4 - Flujo_Caja!R12*$D$4</f>
        <v>620920616.4</v>
      </c>
      <c r="S12" s="28">
        <f>(Flujo_Caja!S9+Flujo_Caja!S6-Flujo_Caja!S14)*$B$4 - (Flujo_Caja!S10+Flujo_Caja!S11)*$C$4 - Flujo_Caja!S12*$D$4</f>
        <v>621659191.8</v>
      </c>
      <c r="T12" s="28">
        <f>(Flujo_Caja!T9+Flujo_Caja!T6-Flujo_Caja!T14)*$B$4 - (Flujo_Caja!T10+Flujo_Caja!T11)*$C$4 - Flujo_Caja!T12*$D$4</f>
        <v>622398684.2</v>
      </c>
      <c r="U12" s="28">
        <f>(Flujo_Caja!U9+Flujo_Caja!U6-Flujo_Caja!U14)*$B$4 - (Flujo_Caja!U10+Flujo_Caja!U11)*$C$4 - Flujo_Caja!U12*$D$4</f>
        <v>623139094.6</v>
      </c>
      <c r="V12" s="28">
        <f>(Flujo_Caja!V9+Flujo_Caja!V6-Flujo_Caja!V14)*$B$4 - (Flujo_Caja!V10+Flujo_Caja!V11)*$C$4 - Flujo_Caja!V12*$D$4</f>
        <v>623880424.2</v>
      </c>
      <c r="W12" s="28">
        <f>(Flujo_Caja!W9+Flujo_Caja!W6-Flujo_Caja!W14)*$B$4 - (Flujo_Caja!W10+Flujo_Caja!W11)*$C$4 - Flujo_Caja!W12*$D$4</f>
        <v>624622674.2</v>
      </c>
      <c r="X12" s="28">
        <f>(Flujo_Caja!X9+Flujo_Caja!X6-Flujo_Caja!X14)*$B$4 - (Flujo_Caja!X10+Flujo_Caja!X11)*$C$4 - Flujo_Caja!X12*$D$4</f>
        <v>625365845.6</v>
      </c>
      <c r="Y12" s="28">
        <f>(Flujo_Caja!Y9+Flujo_Caja!Y6-Flujo_Caja!Y14)*$B$4 - (Flujo_Caja!Y10+Flujo_Caja!Y11)*$C$4 - Flujo_Caja!Y12*$D$4</f>
        <v>626109939.7</v>
      </c>
      <c r="Z12" s="28">
        <f>(Flujo_Caja!Z9+Flujo_Caja!Z6-Flujo_Caja!Z14)*$B$4 - (Flujo_Caja!Z10+Flujo_Caja!Z11)*$C$4 - Flujo_Caja!Z12*$D$4</f>
        <v>626854957.6</v>
      </c>
      <c r="AA12" s="28">
        <f>(Flujo_Caja!AA9+Flujo_Caja!AA6-Flujo_Caja!AA14)*$B$4 - (Flujo_Caja!AA10+Flujo_Caja!AA11)*$C$4 - Flujo_Caja!AA12*$D$4</f>
        <v>627600900.4</v>
      </c>
      <c r="AB12" s="28">
        <f>(Flujo_Caja!AB9+Flujo_Caja!AB6-Flujo_Caja!AB14)*$B$4 - (Flujo_Caja!AB10+Flujo_Caja!AB11)*$C$4 - Flujo_Caja!AB12*$D$4</f>
        <v>628347769.3</v>
      </c>
      <c r="AC12" s="28">
        <f>(Flujo_Caja!AC9+Flujo_Caja!AC6-Flujo_Caja!AC14)*$B$4 - (Flujo_Caja!AC10+Flujo_Caja!AC11)*$C$4 - Flujo_Caja!AC12*$D$4</f>
        <v>629095565.4</v>
      </c>
      <c r="AD12" s="28">
        <f>(Flujo_Caja!AD9+Flujo_Caja!AD6-Flujo_Caja!AD14)*$B$4 - (Flujo_Caja!AD10+Flujo_Caja!AD11)*$C$4 - Flujo_Caja!AD12*$D$4</f>
        <v>629844289.9</v>
      </c>
      <c r="AE12" s="28">
        <f>(Flujo_Caja!AE9+Flujo_Caja!AE6-Flujo_Caja!AE14)*$B$4 - (Flujo_Caja!AE10+Flujo_Caja!AE11)*$C$4 - Flujo_Caja!AE12*$D$4</f>
        <v>630593944</v>
      </c>
      <c r="AF12" s="28">
        <f>(Flujo_Caja!AF9+Flujo_Caja!AF6-Flujo_Caja!AF14)*$B$4 - (Flujo_Caja!AF10+Flujo_Caja!AF11)*$C$4 - Flujo_Caja!AF12*$D$4</f>
        <v>631344528.7</v>
      </c>
      <c r="AG12" s="28">
        <f>(Flujo_Caja!AG9+Flujo_Caja!AG6-Flujo_Caja!AG14)*$B$4 - (Flujo_Caja!AG10+Flujo_Caja!AG11)*$C$4 - Flujo_Caja!AG12*$D$4</f>
        <v>632096045.3</v>
      </c>
      <c r="AH12" s="28">
        <f>(Flujo_Caja!AH9+Flujo_Caja!AH6-Flujo_Caja!AH14)*$B$4 - (Flujo_Caja!AH10+Flujo_Caja!AH11)*$C$4 - Flujo_Caja!AH12*$D$4</f>
        <v>632848494.8</v>
      </c>
      <c r="AI12" s="28">
        <f>(Flujo_Caja!AI9+Flujo_Caja!AI6-Flujo_Caja!AI14)*$B$4 - (Flujo_Caja!AI10+Flujo_Caja!AI11)*$C$4 - Flujo_Caja!AI12*$D$4</f>
        <v>633601878.5</v>
      </c>
      <c r="AJ12" s="28">
        <f>(Flujo_Caja!AJ9+Flujo_Caja!AJ6-Flujo_Caja!AJ14)*$B$4 - (Flujo_Caja!AJ10+Flujo_Caja!AJ11)*$C$4 - Flujo_Caja!AJ12*$D$4</f>
        <v>634356197.6</v>
      </c>
      <c r="AK12" s="28">
        <f>(Flujo_Caja!AK9+Flujo_Caja!AK6-Flujo_Caja!AK14)*$B$4 - (Flujo_Caja!AK10+Flujo_Caja!AK11)*$C$4 - Flujo_Caja!AK12*$D$4</f>
        <v>635111453.1</v>
      </c>
      <c r="AL12" s="28">
        <f>(Flujo_Caja!AL9+Flujo_Caja!AL6-Flujo_Caja!AL14)*$B$4 - (Flujo_Caja!AL10+Flujo_Caja!AL11)*$C$4 - Flujo_Caja!AL12*$D$4</f>
        <v>635867646.2</v>
      </c>
      <c r="AM12" s="28">
        <f>(Flujo_Caja!AM9+Flujo_Caja!AM6-Flujo_Caja!AM14)*$B$4 - (Flujo_Caja!AM10+Flujo_Caja!AM11)*$C$4 - Flujo_Caja!AM12*$D$4</f>
        <v>636624778.2</v>
      </c>
      <c r="AN12" s="28">
        <f>(Flujo_Caja!AN9+Flujo_Caja!AN6-Flujo_Caja!AN14)*$B$4 - (Flujo_Caja!AN10+Flujo_Caja!AN11)*$C$4 - Flujo_Caja!AN12*$D$4</f>
        <v>637382850.1</v>
      </c>
      <c r="AO12" s="28">
        <f>(Flujo_Caja!AO9+Flujo_Caja!AO6-Flujo_Caja!AO14)*$B$4 - (Flujo_Caja!AO10+Flujo_Caja!AO11)*$C$4 - Flujo_Caja!AO12*$D$4</f>
        <v>638141863.2</v>
      </c>
      <c r="AP12" s="28">
        <f>(Flujo_Caja!AP9+Flujo_Caja!AP6-Flujo_Caja!AP14)*$B$4 - (Flujo_Caja!AP10+Flujo_Caja!AP11)*$C$4 - Flujo_Caja!AP12*$D$4</f>
        <v>638901818.6</v>
      </c>
      <c r="AQ12" s="28">
        <f>(Flujo_Caja!AQ9+Flujo_Caja!AQ6-Flujo_Caja!AQ14)*$B$4 - (Flujo_Caja!AQ10+Flujo_Caja!AQ11)*$C$4 - Flujo_Caja!AQ12*$D$4</f>
        <v>639662717.4</v>
      </c>
      <c r="AR12" s="28">
        <f>(Flujo_Caja!AR9+Flujo_Caja!AR6-Flujo_Caja!AR14)*$B$4 - (Flujo_Caja!AR10+Flujo_Caja!AR11)*$C$4 - Flujo_Caja!AR12*$D$4</f>
        <v>640424560.9</v>
      </c>
      <c r="AS12" s="28">
        <f>(Flujo_Caja!AS9+Flujo_Caja!AS6-Flujo_Caja!AS14)*$B$4 - (Flujo_Caja!AS10+Flujo_Caja!AS11)*$C$4 - Flujo_Caja!AS12*$D$4</f>
        <v>641187350.2</v>
      </c>
      <c r="AT12" s="28">
        <f>(Flujo_Caja!AT9+Flujo_Caja!AT6-Flujo_Caja!AT14)*$B$4 - (Flujo_Caja!AT10+Flujo_Caja!AT11)*$C$4 - Flujo_Caja!AT12*$D$4</f>
        <v>641951086.5</v>
      </c>
      <c r="AU12" s="28">
        <f>(Flujo_Caja!AU9+Flujo_Caja!AU6-Flujo_Caja!AU14)*$B$4 - (Flujo_Caja!AU10+Flujo_Caja!AU11)*$C$4 - Flujo_Caja!AU12*$D$4</f>
        <v>642715771</v>
      </c>
      <c r="AV12" s="28">
        <f>(Flujo_Caja!AV9+Flujo_Caja!AV6-Flujo_Caja!AV14)*$B$4 - (Flujo_Caja!AV10+Flujo_Caja!AV11)*$C$4 - Flujo_Caja!AV12*$D$4</f>
        <v>643481404.8</v>
      </c>
      <c r="AW12" s="28">
        <f>(Flujo_Caja!AW9+Flujo_Caja!AW6-Flujo_Caja!AW14)*$B$4 - (Flujo_Caja!AW10+Flujo_Caja!AW11)*$C$4 - Flujo_Caja!AW12*$D$4</f>
        <v>644247989.1</v>
      </c>
      <c r="AX12" s="28">
        <f>(Flujo_Caja!AX9+Flujo_Caja!AX6-Flujo_Caja!AX14)*$B$4 - (Flujo_Caja!AX10+Flujo_Caja!AX11)*$C$4 - Flujo_Caja!AX12*$D$4</f>
        <v>645015525.2</v>
      </c>
      <c r="AY12" s="28">
        <f>(Flujo_Caja!AY9+Flujo_Caja!AY6-Flujo_Caja!AY14)*$B$4 - (Flujo_Caja!AY10+Flujo_Caja!AY11)*$C$4 - Flujo_Caja!AY12*$D$4</f>
        <v>645784014.1</v>
      </c>
      <c r="AZ12" s="28">
        <f>(Flujo_Caja!AZ9+Flujo_Caja!AZ6-Flujo_Caja!AZ14)*$B$4 - (Flujo_Caja!AZ10+Flujo_Caja!AZ11)*$C$4 - Flujo_Caja!AZ12*$D$4</f>
        <v>646553457.1</v>
      </c>
      <c r="BA12" s="28">
        <f>(Flujo_Caja!BA9+Flujo_Caja!BA6-Flujo_Caja!BA14)*$B$4 - (Flujo_Caja!BA10+Flujo_Caja!BA11)*$C$4 - Flujo_Caja!BA12*$D$4</f>
        <v>647323855.4</v>
      </c>
      <c r="BB12" s="28">
        <f>(Flujo_Caja!BB9+Flujo_Caja!BB6-Flujo_Caja!BB14)*$B$4 - (Flujo_Caja!BB10+Flujo_Caja!BB11)*$C$4 - Flujo_Caja!BB12*$D$4</f>
        <v>648095210.1</v>
      </c>
      <c r="BC12" s="28">
        <f>(Flujo_Caja!BC9+Flujo_Caja!BC6-Flujo_Caja!BC14)*$B$4 - (Flujo_Caja!BC10+Flujo_Caja!BC11)*$C$4 - Flujo_Caja!BC12*$D$4</f>
        <v>648867522.4</v>
      </c>
      <c r="BD12" s="28">
        <f>(Flujo_Caja!BD9+Flujo_Caja!BD6-Flujo_Caja!BD14)*$B$4 - (Flujo_Caja!BD10+Flujo_Caja!BD11)*$C$4 - Flujo_Caja!BD12*$D$4</f>
        <v>649640793.6</v>
      </c>
      <c r="BE12" s="28">
        <f>(Flujo_Caja!BE9+Flujo_Caja!BE6-Flujo_Caja!BE14)*$B$4 - (Flujo_Caja!BE10+Flujo_Caja!BE11)*$C$4 - Flujo_Caja!BE12*$D$4</f>
        <v>650415024.7</v>
      </c>
      <c r="BF12" s="28">
        <f>(Flujo_Caja!BF9+Flujo_Caja!BF6-Flujo_Caja!BF14)*$B$4 - (Flujo_Caja!BF10+Flujo_Caja!BF11)*$C$4 - Flujo_Caja!BF12*$D$4</f>
        <v>651190217.1</v>
      </c>
      <c r="BG12" s="28">
        <f>(Flujo_Caja!BG9+Flujo_Caja!BG6-Flujo_Caja!BG14)*$B$4 - (Flujo_Caja!BG10+Flujo_Caja!BG11)*$C$4 - Flujo_Caja!BG12*$D$4</f>
        <v>651966371.8</v>
      </c>
      <c r="BH12" s="28">
        <f>(Flujo_Caja!BH9+Flujo_Caja!BH6-Flujo_Caja!BH14)*$B$4 - (Flujo_Caja!BH10+Flujo_Caja!BH11)*$C$4 - Flujo_Caja!BH12*$D$4</f>
        <v>652743490.1</v>
      </c>
      <c r="BI12" s="28">
        <f>(Flujo_Caja!BI9+Flujo_Caja!BI6-Flujo_Caja!BI14)*$B$4 - (Flujo_Caja!BI10+Flujo_Caja!BI11)*$C$4 - Flujo_Caja!BI12*$D$4</f>
        <v>653521573.2</v>
      </c>
      <c r="BJ12" s="28">
        <f>(Flujo_Caja!BJ9+Flujo_Caja!BJ6-Flujo_Caja!BJ14)*$B$4 - (Flujo_Caja!BJ10+Flujo_Caja!BJ11)*$C$4 - Flujo_Caja!BJ12*$D$4</f>
        <v>654300622.3</v>
      </c>
    </row>
    <row r="13">
      <c r="B13" s="22" t="s">
        <v>676</v>
      </c>
      <c r="C13" s="28">
        <f t="shared" ref="C13:BJ13" si="1">1/(1+($E$4) )^(C11/12)</f>
        <v>0.9849213753</v>
      </c>
      <c r="D13" s="28">
        <f t="shared" si="1"/>
        <v>0.9700701154</v>
      </c>
      <c r="E13" s="28">
        <f t="shared" si="1"/>
        <v>0.9554427922</v>
      </c>
      <c r="F13" s="28">
        <f t="shared" si="1"/>
        <v>0.9410360289</v>
      </c>
      <c r="G13" s="28">
        <f t="shared" si="1"/>
        <v>0.9268464997</v>
      </c>
      <c r="H13" s="28">
        <f t="shared" si="1"/>
        <v>0.9128709292</v>
      </c>
      <c r="I13" s="28">
        <f t="shared" si="1"/>
        <v>0.899106091</v>
      </c>
      <c r="J13" s="28">
        <f t="shared" si="1"/>
        <v>0.8855488077</v>
      </c>
      <c r="K13" s="28">
        <f t="shared" si="1"/>
        <v>0.8721959495</v>
      </c>
      <c r="L13" s="28">
        <f t="shared" si="1"/>
        <v>0.8590444341</v>
      </c>
      <c r="M13" s="28">
        <f t="shared" si="1"/>
        <v>0.8460912254</v>
      </c>
      <c r="N13" s="28">
        <f t="shared" si="1"/>
        <v>0.8333333333</v>
      </c>
      <c r="O13" s="28">
        <f t="shared" si="1"/>
        <v>0.8207678127</v>
      </c>
      <c r="P13" s="28">
        <f t="shared" si="1"/>
        <v>0.8083917629</v>
      </c>
      <c r="Q13" s="28">
        <f t="shared" si="1"/>
        <v>0.7962023268</v>
      </c>
      <c r="R13" s="28">
        <f t="shared" si="1"/>
        <v>0.7841966907</v>
      </c>
      <c r="S13" s="28">
        <f t="shared" si="1"/>
        <v>0.7723720831</v>
      </c>
      <c r="T13" s="28">
        <f t="shared" si="1"/>
        <v>0.7607257743</v>
      </c>
      <c r="U13" s="28">
        <f t="shared" si="1"/>
        <v>0.7492550758</v>
      </c>
      <c r="V13" s="28">
        <f t="shared" si="1"/>
        <v>0.7379573397</v>
      </c>
      <c r="W13" s="28">
        <f t="shared" si="1"/>
        <v>0.7268299579</v>
      </c>
      <c r="X13" s="28">
        <f t="shared" si="1"/>
        <v>0.7158703617</v>
      </c>
      <c r="Y13" s="28">
        <f t="shared" si="1"/>
        <v>0.7050760212</v>
      </c>
      <c r="Z13" s="28">
        <f t="shared" si="1"/>
        <v>0.6944444444</v>
      </c>
      <c r="AA13" s="28">
        <f t="shared" si="1"/>
        <v>0.6839731773</v>
      </c>
      <c r="AB13" s="28">
        <f t="shared" si="1"/>
        <v>0.6736598024</v>
      </c>
      <c r="AC13" s="28">
        <f t="shared" si="1"/>
        <v>0.663501939</v>
      </c>
      <c r="AD13" s="28">
        <f t="shared" si="1"/>
        <v>0.6534972423</v>
      </c>
      <c r="AE13" s="28">
        <f t="shared" si="1"/>
        <v>0.6436434026</v>
      </c>
      <c r="AF13" s="28">
        <f t="shared" si="1"/>
        <v>0.6339381453</v>
      </c>
      <c r="AG13" s="28">
        <f t="shared" si="1"/>
        <v>0.6243792299</v>
      </c>
      <c r="AH13" s="28">
        <f t="shared" si="1"/>
        <v>0.6149644498</v>
      </c>
      <c r="AI13" s="28">
        <f t="shared" si="1"/>
        <v>0.6056916316</v>
      </c>
      <c r="AJ13" s="28">
        <f t="shared" si="1"/>
        <v>0.5965586348</v>
      </c>
      <c r="AK13" s="28">
        <f t="shared" si="1"/>
        <v>0.587563351</v>
      </c>
      <c r="AL13" s="28">
        <f t="shared" si="1"/>
        <v>0.5787037037</v>
      </c>
      <c r="AM13" s="28">
        <f t="shared" si="1"/>
        <v>0.5699776477</v>
      </c>
      <c r="AN13" s="28">
        <f t="shared" si="1"/>
        <v>0.5613831687</v>
      </c>
      <c r="AO13" s="28">
        <f t="shared" si="1"/>
        <v>0.5529182825</v>
      </c>
      <c r="AP13" s="28">
        <f t="shared" si="1"/>
        <v>0.5445810352</v>
      </c>
      <c r="AQ13" s="28">
        <f t="shared" si="1"/>
        <v>0.5363695022</v>
      </c>
      <c r="AR13" s="28">
        <f t="shared" si="1"/>
        <v>0.5282817877</v>
      </c>
      <c r="AS13" s="28">
        <f t="shared" si="1"/>
        <v>0.5203160249</v>
      </c>
      <c r="AT13" s="28">
        <f t="shared" si="1"/>
        <v>0.5124703748</v>
      </c>
      <c r="AU13" s="28">
        <f t="shared" si="1"/>
        <v>0.5047430263</v>
      </c>
      <c r="AV13" s="28">
        <f t="shared" si="1"/>
        <v>0.4971321956</v>
      </c>
      <c r="AW13" s="28">
        <f t="shared" si="1"/>
        <v>0.4896361258</v>
      </c>
      <c r="AX13" s="28">
        <f t="shared" si="1"/>
        <v>0.4822530864</v>
      </c>
      <c r="AY13" s="28">
        <f t="shared" si="1"/>
        <v>0.4749813731</v>
      </c>
      <c r="AZ13" s="28">
        <f t="shared" si="1"/>
        <v>0.4678193072</v>
      </c>
      <c r="BA13" s="28">
        <f t="shared" si="1"/>
        <v>0.4607652354</v>
      </c>
      <c r="BB13" s="28">
        <f t="shared" si="1"/>
        <v>0.4538175294</v>
      </c>
      <c r="BC13" s="28">
        <f t="shared" si="1"/>
        <v>0.4469745851</v>
      </c>
      <c r="BD13" s="28">
        <f t="shared" si="1"/>
        <v>0.4402348231</v>
      </c>
      <c r="BE13" s="28">
        <f t="shared" si="1"/>
        <v>0.4335966874</v>
      </c>
      <c r="BF13" s="28">
        <f t="shared" si="1"/>
        <v>0.4270586457</v>
      </c>
      <c r="BG13" s="28">
        <f t="shared" si="1"/>
        <v>0.4206191886</v>
      </c>
      <c r="BH13" s="28">
        <f t="shared" si="1"/>
        <v>0.4142768297</v>
      </c>
      <c r="BI13" s="28">
        <f t="shared" si="1"/>
        <v>0.4080301048</v>
      </c>
      <c r="BJ13" s="28">
        <f t="shared" si="1"/>
        <v>0.401877572</v>
      </c>
    </row>
    <row r="14">
      <c r="B14" s="22" t="s">
        <v>677</v>
      </c>
      <c r="C14" s="28">
        <f t="shared" ref="C14:BJ14" si="2">C12*C13</f>
        <v>-5166154813</v>
      </c>
      <c r="D14" s="28">
        <f t="shared" si="2"/>
        <v>-8780587752</v>
      </c>
      <c r="E14" s="28">
        <f t="shared" si="2"/>
        <v>-6392427734</v>
      </c>
      <c r="F14" s="28">
        <f t="shared" si="2"/>
        <v>-4745620850</v>
      </c>
      <c r="G14" s="28">
        <f t="shared" si="2"/>
        <v>381036544.4</v>
      </c>
      <c r="H14" s="28">
        <f t="shared" si="2"/>
        <v>560123949.5</v>
      </c>
      <c r="I14" s="28">
        <f t="shared" si="2"/>
        <v>552333920.1</v>
      </c>
      <c r="J14" s="28">
        <f t="shared" si="2"/>
        <v>544652266</v>
      </c>
      <c r="K14" s="28">
        <f t="shared" si="2"/>
        <v>537077479</v>
      </c>
      <c r="L14" s="28">
        <f t="shared" si="2"/>
        <v>529608071.8</v>
      </c>
      <c r="M14" s="28">
        <f t="shared" si="2"/>
        <v>522242577.9</v>
      </c>
      <c r="N14" s="28">
        <f t="shared" si="2"/>
        <v>514979551.2</v>
      </c>
      <c r="O14" s="28">
        <f t="shared" si="2"/>
        <v>507817565.7</v>
      </c>
      <c r="P14" s="28">
        <f t="shared" si="2"/>
        <v>500755215.2</v>
      </c>
      <c r="Q14" s="28">
        <f t="shared" si="2"/>
        <v>493791113.3</v>
      </c>
      <c r="R14" s="28">
        <f t="shared" si="2"/>
        <v>486923892.6</v>
      </c>
      <c r="S14" s="28">
        <f t="shared" si="2"/>
        <v>480152205</v>
      </c>
      <c r="T14" s="28">
        <f t="shared" si="2"/>
        <v>473474721</v>
      </c>
      <c r="U14" s="28">
        <f t="shared" si="2"/>
        <v>466890129.6</v>
      </c>
      <c r="V14" s="28">
        <f t="shared" si="2"/>
        <v>460397138.1</v>
      </c>
      <c r="W14" s="28">
        <f t="shared" si="2"/>
        <v>453994472</v>
      </c>
      <c r="X14" s="28">
        <f t="shared" si="2"/>
        <v>447680874.1</v>
      </c>
      <c r="Y14" s="28">
        <f t="shared" si="2"/>
        <v>441455105.1</v>
      </c>
      <c r="Z14" s="28">
        <f t="shared" si="2"/>
        <v>435315942.8</v>
      </c>
      <c r="AA14" s="28">
        <f t="shared" si="2"/>
        <v>429262181.9</v>
      </c>
      <c r="AB14" s="28">
        <f t="shared" si="2"/>
        <v>423292634.1</v>
      </c>
      <c r="AC14" s="28">
        <f t="shared" si="2"/>
        <v>417406127.5</v>
      </c>
      <c r="AD14" s="28">
        <f t="shared" si="2"/>
        <v>411601506.5</v>
      </c>
      <c r="AE14" s="28">
        <f t="shared" si="2"/>
        <v>405877631.8</v>
      </c>
      <c r="AF14" s="28">
        <f t="shared" si="2"/>
        <v>400233379.5</v>
      </c>
      <c r="AG14" s="28">
        <f t="shared" si="2"/>
        <v>394667641.9</v>
      </c>
      <c r="AH14" s="28">
        <f t="shared" si="2"/>
        <v>389179326.4</v>
      </c>
      <c r="AI14" s="28">
        <f t="shared" si="2"/>
        <v>383767355.6</v>
      </c>
      <c r="AJ14" s="28">
        <f t="shared" si="2"/>
        <v>378430667.2</v>
      </c>
      <c r="AK14" s="28">
        <f t="shared" si="2"/>
        <v>373168213.6</v>
      </c>
      <c r="AL14" s="28">
        <f t="shared" si="2"/>
        <v>367978961.9</v>
      </c>
      <c r="AM14" s="28">
        <f t="shared" si="2"/>
        <v>362861893.6</v>
      </c>
      <c r="AN14" s="28">
        <f t="shared" si="2"/>
        <v>357816004.1</v>
      </c>
      <c r="AO14" s="28">
        <f t="shared" si="2"/>
        <v>352840303</v>
      </c>
      <c r="AP14" s="28">
        <f t="shared" si="2"/>
        <v>347933813.8</v>
      </c>
      <c r="AQ14" s="28">
        <f t="shared" si="2"/>
        <v>343095573.3</v>
      </c>
      <c r="AR14" s="28">
        <f t="shared" si="2"/>
        <v>338324631.9</v>
      </c>
      <c r="AS14" s="28">
        <f t="shared" si="2"/>
        <v>333620053.3</v>
      </c>
      <c r="AT14" s="28">
        <f t="shared" si="2"/>
        <v>328980913.9</v>
      </c>
      <c r="AU14" s="28">
        <f t="shared" si="2"/>
        <v>324406303.3</v>
      </c>
      <c r="AV14" s="28">
        <f t="shared" si="2"/>
        <v>319895323.6</v>
      </c>
      <c r="AW14" s="28">
        <f t="shared" si="2"/>
        <v>315447089.5</v>
      </c>
      <c r="AX14" s="28">
        <f t="shared" si="2"/>
        <v>311060727.8</v>
      </c>
      <c r="AY14" s="28">
        <f t="shared" si="2"/>
        <v>306735377.8</v>
      </c>
      <c r="AZ14" s="28">
        <f t="shared" si="2"/>
        <v>302470190.4</v>
      </c>
      <c r="BA14" s="28">
        <f t="shared" si="2"/>
        <v>298264328.6</v>
      </c>
      <c r="BB14" s="28">
        <f t="shared" si="2"/>
        <v>294116967</v>
      </c>
      <c r="BC14" s="28">
        <f t="shared" si="2"/>
        <v>290027291.6</v>
      </c>
      <c r="BD14" s="28">
        <f t="shared" si="2"/>
        <v>285994499.8</v>
      </c>
      <c r="BE14" s="28">
        <f t="shared" si="2"/>
        <v>282017800.2</v>
      </c>
      <c r="BF14" s="28">
        <f t="shared" si="2"/>
        <v>278096412.2</v>
      </c>
      <c r="BG14" s="28">
        <f t="shared" si="2"/>
        <v>274229566.3</v>
      </c>
      <c r="BH14" s="28">
        <f t="shared" si="2"/>
        <v>270416503.7</v>
      </c>
      <c r="BI14" s="28">
        <f t="shared" si="2"/>
        <v>266656476.1</v>
      </c>
      <c r="BJ14" s="28">
        <f t="shared" si="2"/>
        <v>262948745.5</v>
      </c>
    </row>
    <row r="15">
      <c r="B15" s="22" t="s">
        <v>678</v>
      </c>
      <c r="C15" s="28">
        <f>C14</f>
        <v>-5166154813</v>
      </c>
      <c r="D15" s="28">
        <f t="shared" ref="D15:BJ15" si="3">C15+D14</f>
        <v>-13946742565</v>
      </c>
      <c r="E15" s="28">
        <f t="shared" si="3"/>
        <v>-20339170299</v>
      </c>
      <c r="F15" s="28">
        <f t="shared" si="3"/>
        <v>-25084791149</v>
      </c>
      <c r="G15" s="28">
        <f t="shared" si="3"/>
        <v>-24703754605</v>
      </c>
      <c r="H15" s="28">
        <f t="shared" si="3"/>
        <v>-24143630655</v>
      </c>
      <c r="I15" s="28">
        <f t="shared" si="3"/>
        <v>-23591296735</v>
      </c>
      <c r="J15" s="28">
        <f t="shared" si="3"/>
        <v>-23046644469</v>
      </c>
      <c r="K15" s="28">
        <f t="shared" si="3"/>
        <v>-22509566990</v>
      </c>
      <c r="L15" s="28">
        <f t="shared" si="3"/>
        <v>-21979958918</v>
      </c>
      <c r="M15" s="28">
        <f t="shared" si="3"/>
        <v>-21457716341</v>
      </c>
      <c r="N15" s="28">
        <f t="shared" si="3"/>
        <v>-20942736789</v>
      </c>
      <c r="O15" s="28">
        <f t="shared" si="3"/>
        <v>-20434919224</v>
      </c>
      <c r="P15" s="28">
        <f t="shared" si="3"/>
        <v>-19934164008</v>
      </c>
      <c r="Q15" s="28">
        <f t="shared" si="3"/>
        <v>-19440372895</v>
      </c>
      <c r="R15" s="28">
        <f t="shared" si="3"/>
        <v>-18953449002</v>
      </c>
      <c r="S15" s="28">
        <f t="shared" si="3"/>
        <v>-18473296798</v>
      </c>
      <c r="T15" s="28">
        <f t="shared" si="3"/>
        <v>-17999822077</v>
      </c>
      <c r="U15" s="28">
        <f t="shared" si="3"/>
        <v>-17532931947</v>
      </c>
      <c r="V15" s="28">
        <f t="shared" si="3"/>
        <v>-17072534809</v>
      </c>
      <c r="W15" s="28">
        <f t="shared" si="3"/>
        <v>-16618540337</v>
      </c>
      <c r="X15" s="28">
        <f t="shared" si="3"/>
        <v>-16170859463</v>
      </c>
      <c r="Y15" s="28">
        <f t="shared" si="3"/>
        <v>-15729404358</v>
      </c>
      <c r="Z15" s="28">
        <f t="shared" si="3"/>
        <v>-15294088415</v>
      </c>
      <c r="AA15" s="28">
        <f t="shared" si="3"/>
        <v>-14864826233</v>
      </c>
      <c r="AB15" s="28">
        <f t="shared" si="3"/>
        <v>-14441533599</v>
      </c>
      <c r="AC15" s="28">
        <f t="shared" si="3"/>
        <v>-14024127471</v>
      </c>
      <c r="AD15" s="28">
        <f t="shared" si="3"/>
        <v>-13612525965</v>
      </c>
      <c r="AE15" s="28">
        <f t="shared" si="3"/>
        <v>-13206648333</v>
      </c>
      <c r="AF15" s="28">
        <f t="shared" si="3"/>
        <v>-12806414953</v>
      </c>
      <c r="AG15" s="28">
        <f t="shared" si="3"/>
        <v>-12411747311</v>
      </c>
      <c r="AH15" s="28">
        <f t="shared" si="3"/>
        <v>-12022567985</v>
      </c>
      <c r="AI15" s="28">
        <f t="shared" si="3"/>
        <v>-11638800629</v>
      </c>
      <c r="AJ15" s="28">
        <f t="shared" si="3"/>
        <v>-11260369962</v>
      </c>
      <c r="AK15" s="28">
        <f t="shared" si="3"/>
        <v>-10887201749</v>
      </c>
      <c r="AL15" s="28">
        <f t="shared" si="3"/>
        <v>-10519222787</v>
      </c>
      <c r="AM15" s="28">
        <f t="shared" si="3"/>
        <v>-10156360893</v>
      </c>
      <c r="AN15" s="28">
        <f t="shared" si="3"/>
        <v>-9798544889</v>
      </c>
      <c r="AO15" s="28">
        <f t="shared" si="3"/>
        <v>-9445704586</v>
      </c>
      <c r="AP15" s="28">
        <f t="shared" si="3"/>
        <v>-9097770772</v>
      </c>
      <c r="AQ15" s="28">
        <f t="shared" si="3"/>
        <v>-8754675199</v>
      </c>
      <c r="AR15" s="28">
        <f t="shared" si="3"/>
        <v>-8416350567</v>
      </c>
      <c r="AS15" s="28">
        <f t="shared" si="3"/>
        <v>-8082730514</v>
      </c>
      <c r="AT15" s="28">
        <f t="shared" si="3"/>
        <v>-7753749600</v>
      </c>
      <c r="AU15" s="28">
        <f t="shared" si="3"/>
        <v>-7429343297</v>
      </c>
      <c r="AV15" s="28">
        <f t="shared" si="3"/>
        <v>-7109447973</v>
      </c>
      <c r="AW15" s="28">
        <f t="shared" si="3"/>
        <v>-6794000884</v>
      </c>
      <c r="AX15" s="28">
        <f t="shared" si="3"/>
        <v>-6482940156</v>
      </c>
      <c r="AY15" s="28">
        <f t="shared" si="3"/>
        <v>-6176204778</v>
      </c>
      <c r="AZ15" s="28">
        <f t="shared" si="3"/>
        <v>-5873734588</v>
      </c>
      <c r="BA15" s="28">
        <f t="shared" si="3"/>
        <v>-5575470259</v>
      </c>
      <c r="BB15" s="28">
        <f t="shared" si="3"/>
        <v>-5281353292</v>
      </c>
      <c r="BC15" s="28">
        <f t="shared" si="3"/>
        <v>-4991326000</v>
      </c>
      <c r="BD15" s="28">
        <f t="shared" si="3"/>
        <v>-4705331500</v>
      </c>
      <c r="BE15" s="28">
        <f t="shared" si="3"/>
        <v>-4423313700</v>
      </c>
      <c r="BF15" s="28">
        <f t="shared" si="3"/>
        <v>-4145217288</v>
      </c>
      <c r="BG15" s="28">
        <f t="shared" si="3"/>
        <v>-3870987722</v>
      </c>
      <c r="BH15" s="28">
        <f t="shared" si="3"/>
        <v>-3600571218</v>
      </c>
      <c r="BI15" s="28">
        <f t="shared" si="3"/>
        <v>-3333914742</v>
      </c>
      <c r="BJ15" s="28">
        <f t="shared" si="3"/>
        <v>-3070965997</v>
      </c>
    </row>
    <row r="16">
      <c r="B16" s="22" t="s">
        <v>691</v>
      </c>
      <c r="C16" s="28"/>
      <c r="D16" s="28"/>
      <c r="E16" s="28"/>
      <c r="F16" s="28"/>
      <c r="G16" s="28"/>
      <c r="H16" s="28"/>
      <c r="I16" s="28"/>
      <c r="J16" s="28"/>
      <c r="K16" s="28"/>
      <c r="L16" s="28"/>
      <c r="M16" s="28"/>
      <c r="N16" s="28"/>
      <c r="O16" s="28"/>
      <c r="P16" s="28"/>
      <c r="Q16" s="28"/>
      <c r="R16" s="28"/>
      <c r="S16" s="28"/>
      <c r="T16" s="28"/>
      <c r="U16" s="28"/>
      <c r="V16" s="28"/>
      <c r="W16" s="28"/>
      <c r="X16" s="28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</row>
    <row r="17">
      <c r="C17" s="28"/>
      <c r="D17" s="28"/>
      <c r="E17" s="28"/>
      <c r="F17" s="28"/>
      <c r="G17" s="28"/>
      <c r="H17" s="28"/>
      <c r="I17" s="28"/>
      <c r="J17" s="28"/>
      <c r="K17" s="28"/>
      <c r="L17" s="28"/>
      <c r="M17" s="28"/>
      <c r="N17" s="28"/>
      <c r="O17" s="28"/>
      <c r="P17" s="28"/>
      <c r="Q17" s="28"/>
      <c r="R17" s="28"/>
      <c r="S17" s="28"/>
      <c r="T17" s="28"/>
      <c r="U17" s="28"/>
      <c r="V17" s="28"/>
      <c r="W17" s="28"/>
      <c r="X17" s="28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</row>
    <row r="18">
      <c r="A18" s="53" t="s">
        <v>538</v>
      </c>
      <c r="B18" s="53" t="s">
        <v>690</v>
      </c>
      <c r="C18" s="28">
        <f>(Flujo_Caja!C9+Flujo_Caja!C6-Flujo_Caja!C14)*$B$5 - (Flujo_Caja!C10+Flujo_Caja!C11)*$C$5 - Flujo_Caja!C12*$D$5</f>
        <v>-4579424039</v>
      </c>
      <c r="D18" s="28">
        <f>(Flujo_Caja!D9+Flujo_Caja!D6-Flujo_Caja!D14)*$B$5 - (Flujo_Caja!D10+Flujo_Caja!D11)*$C$5 - Flujo_Caja!D12*$D$5</f>
        <v>-7889206371</v>
      </c>
      <c r="E18" s="28">
        <f>(Flujo_Caja!E9+Flujo_Caja!E6-Flujo_Caja!E14)*$B$5 - (Flujo_Caja!E10+Flujo_Caja!E11)*$C$5 - Flujo_Caja!E12*$D$5</f>
        <v>-5872166788</v>
      </c>
      <c r="F18" s="28">
        <f>(Flujo_Caja!F9+Flujo_Caja!F6-Flujo_Caja!F14)*$B$5 - (Flujo_Caja!F10+Flujo_Caja!F11)*$C$5 - Flujo_Caja!F12*$D$5</f>
        <v>-4370154308</v>
      </c>
      <c r="G18" s="28">
        <f>(Flujo_Caja!G9+Flujo_Caja!G6-Flujo_Caja!G14)*$B$5 - (Flujo_Caja!G10+Flujo_Caja!G11)*$C$5 - Flujo_Caja!G12*$D$5</f>
        <v>432748140.6</v>
      </c>
      <c r="H18" s="28">
        <f>(Flujo_Caja!H9+Flujo_Caja!H6-Flujo_Caja!H14)*$B$5 - (Flujo_Caja!H10+Flujo_Caja!H11)*$C$5 - Flujo_Caja!H12*$D$5</f>
        <v>645878993.9</v>
      </c>
      <c r="I18" s="28">
        <f>(Flujo_Caja!I9+Flujo_Caja!I6-Flujo_Caja!I14)*$B$5 - (Flujo_Caja!I10+Flujo_Caja!I11)*$C$5 - Flujo_Caja!I12*$D$5</f>
        <v>646646855.4</v>
      </c>
      <c r="J18" s="28">
        <f>(Flujo_Caja!J9+Flujo_Caja!J6-Flujo_Caja!J14)*$B$5 - (Flujo_Caja!J10+Flujo_Caja!J11)*$C$5 - Flujo_Caja!J12*$D$5</f>
        <v>647415670.1</v>
      </c>
      <c r="K18" s="28">
        <f>(Flujo_Caja!K9+Flujo_Caja!K6-Flujo_Caja!K14)*$B$5 - (Flujo_Caja!K10+Flujo_Caja!K11)*$C$5 - Flujo_Caja!K12*$D$5</f>
        <v>648185439.4</v>
      </c>
      <c r="L18" s="28">
        <f>(Flujo_Caja!L9+Flujo_Caja!L6-Flujo_Caja!L14)*$B$5 - (Flujo_Caja!L10+Flujo_Caja!L11)*$C$5 - Flujo_Caja!L12*$D$5</f>
        <v>648956164.2</v>
      </c>
      <c r="M18" s="28">
        <f>(Flujo_Caja!M9+Flujo_Caja!M6-Flujo_Caja!M14)*$B$5 - (Flujo_Caja!M10+Flujo_Caja!M11)*$C$5 - Flujo_Caja!M12*$D$5</f>
        <v>649727846</v>
      </c>
      <c r="N18" s="28">
        <f>(Flujo_Caja!N9+Flujo_Caja!N6-Flujo_Caja!N14)*$B$5 - (Flujo_Caja!N10+Flujo_Caja!N11)*$C$5 - Flujo_Caja!N12*$D$5</f>
        <v>650500485.7</v>
      </c>
      <c r="O18" s="28">
        <f>(Flujo_Caja!O9+Flujo_Caja!O6-Flujo_Caja!O14)*$B$5 - (Flujo_Caja!O10+Flujo_Caja!O11)*$C$5 - Flujo_Caja!O12*$D$5</f>
        <v>651274084.7</v>
      </c>
      <c r="P18" s="28">
        <f>(Flujo_Caja!P9+Flujo_Caja!P6-Flujo_Caja!P14)*$B$5 - (Flujo_Caja!P10+Flujo_Caja!P11)*$C$5 - Flujo_Caja!P12*$D$5</f>
        <v>652048644.1</v>
      </c>
      <c r="Q18" s="28">
        <f>(Flujo_Caja!Q9+Flujo_Caja!Q6-Flujo_Caja!Q14)*$B$5 - (Flujo_Caja!Q10+Flujo_Caja!Q11)*$C$5 - Flujo_Caja!Q12*$D$5</f>
        <v>652824165.1</v>
      </c>
      <c r="R18" s="28">
        <f>(Flujo_Caja!R9+Flujo_Caja!R6-Flujo_Caja!R14)*$B$5 - (Flujo_Caja!R10+Flujo_Caja!R11)*$C$5 - Flujo_Caja!R12*$D$5</f>
        <v>653600648.9</v>
      </c>
      <c r="S18" s="28">
        <f>(Flujo_Caja!S9+Flujo_Caja!S6-Flujo_Caja!S14)*$B$5 - (Flujo_Caja!S10+Flujo_Caja!S11)*$C$5 - Flujo_Caja!S12*$D$5</f>
        <v>654378096.7</v>
      </c>
      <c r="T18" s="28">
        <f>(Flujo_Caja!T9+Flujo_Caja!T6-Flujo_Caja!T14)*$B$5 - (Flujo_Caja!T10+Flujo_Caja!T11)*$C$5 - Flujo_Caja!T12*$D$5</f>
        <v>655156509.7</v>
      </c>
      <c r="U18" s="28">
        <f>(Flujo_Caja!U9+Flujo_Caja!U6-Flujo_Caja!U14)*$B$5 - (Flujo_Caja!U10+Flujo_Caja!U11)*$C$5 - Flujo_Caja!U12*$D$5</f>
        <v>655935889</v>
      </c>
      <c r="V18" s="28">
        <f>(Flujo_Caja!V9+Flujo_Caja!V6-Flujo_Caja!V14)*$B$5 - (Flujo_Caja!V10+Flujo_Caja!V11)*$C$5 - Flujo_Caja!V12*$D$5</f>
        <v>656716236</v>
      </c>
      <c r="W18" s="28">
        <f>(Flujo_Caja!W9+Flujo_Caja!W6-Flujo_Caja!W14)*$B$5 - (Flujo_Caja!W10+Flujo_Caja!W11)*$C$5 - Flujo_Caja!W12*$D$5</f>
        <v>657497551.8</v>
      </c>
      <c r="X18" s="28">
        <f>(Flujo_Caja!X9+Flujo_Caja!X6-Flujo_Caja!X14)*$B$5 - (Flujo_Caja!X10+Flujo_Caja!X11)*$C$5 - Flujo_Caja!X12*$D$5</f>
        <v>658279837.5</v>
      </c>
      <c r="Y18" s="28">
        <f>(Flujo_Caja!Y9+Flujo_Caja!Y6-Flujo_Caja!Y14)*$B$5 - (Flujo_Caja!Y10+Flujo_Caja!Y11)*$C$5 - Flujo_Caja!Y12*$D$5</f>
        <v>659063094.5</v>
      </c>
      <c r="Z18" s="28">
        <f>(Flujo_Caja!Z9+Flujo_Caja!Z6-Flujo_Caja!Z14)*$B$5 - (Flujo_Caja!Z10+Flujo_Caja!Z11)*$C$5 - Flujo_Caja!Z12*$D$5</f>
        <v>659847323.8</v>
      </c>
      <c r="AA18" s="28">
        <f>(Flujo_Caja!AA9+Flujo_Caja!AA6-Flujo_Caja!AA14)*$B$5 - (Flujo_Caja!AA10+Flujo_Caja!AA11)*$C$5 - Flujo_Caja!AA12*$D$5</f>
        <v>660632526.8</v>
      </c>
      <c r="AB18" s="28">
        <f>(Flujo_Caja!AB9+Flujo_Caja!AB6-Flujo_Caja!AB14)*$B$5 - (Flujo_Caja!AB10+Flujo_Caja!AB11)*$C$5 - Flujo_Caja!AB12*$D$5</f>
        <v>661418704.6</v>
      </c>
      <c r="AC18" s="28">
        <f>(Flujo_Caja!AC9+Flujo_Caja!AC6-Flujo_Caja!AC14)*$B$5 - (Flujo_Caja!AC10+Flujo_Caja!AC11)*$C$5 - Flujo_Caja!AC12*$D$5</f>
        <v>662205858.4</v>
      </c>
      <c r="AD18" s="28">
        <f>(Flujo_Caja!AD9+Flujo_Caja!AD6-Flujo_Caja!AD14)*$B$5 - (Flujo_Caja!AD10+Flujo_Caja!AD11)*$C$5 - Flujo_Caja!AD12*$D$5</f>
        <v>662993989.4</v>
      </c>
      <c r="AE18" s="28">
        <f>(Flujo_Caja!AE9+Flujo_Caja!AE6-Flujo_Caja!AE14)*$B$5 - (Flujo_Caja!AE10+Flujo_Caja!AE11)*$C$5 - Flujo_Caja!AE12*$D$5</f>
        <v>663783098.9</v>
      </c>
      <c r="AF18" s="28">
        <f>(Flujo_Caja!AF9+Flujo_Caja!AF6-Flujo_Caja!AF14)*$B$5 - (Flujo_Caja!AF10+Flujo_Caja!AF11)*$C$5 - Flujo_Caja!AF12*$D$5</f>
        <v>664573188.1</v>
      </c>
      <c r="AG18" s="28">
        <f>(Flujo_Caja!AG9+Flujo_Caja!AG6-Flujo_Caja!AG14)*$B$5 - (Flujo_Caja!AG10+Flujo_Caja!AG11)*$C$5 - Flujo_Caja!AG12*$D$5</f>
        <v>665364258.2</v>
      </c>
      <c r="AH18" s="28">
        <f>(Flujo_Caja!AH9+Flujo_Caja!AH6-Flujo_Caja!AH14)*$B$5 - (Flujo_Caja!AH10+Flujo_Caja!AH11)*$C$5 - Flujo_Caja!AH12*$D$5</f>
        <v>666156310.3</v>
      </c>
      <c r="AI18" s="28">
        <f>(Flujo_Caja!AI9+Flujo_Caja!AI6-Flujo_Caja!AI14)*$B$5 - (Flujo_Caja!AI10+Flujo_Caja!AI11)*$C$5 - Flujo_Caja!AI12*$D$5</f>
        <v>666949345.8</v>
      </c>
      <c r="AJ18" s="28">
        <f>(Flujo_Caja!AJ9+Flujo_Caja!AJ6-Flujo_Caja!AJ14)*$B$5 - (Flujo_Caja!AJ10+Flujo_Caja!AJ11)*$C$5 - Flujo_Caja!AJ12*$D$5</f>
        <v>667743365.9</v>
      </c>
      <c r="AK18" s="28">
        <f>(Flujo_Caja!AK9+Flujo_Caja!AK6-Flujo_Caja!AK14)*$B$5 - (Flujo_Caja!AK10+Flujo_Caja!AK11)*$C$5 - Flujo_Caja!AK12*$D$5</f>
        <v>668538371.7</v>
      </c>
      <c r="AL18" s="28">
        <f>(Flujo_Caja!AL9+Flujo_Caja!AL6-Flujo_Caja!AL14)*$B$5 - (Flujo_Caja!AL10+Flujo_Caja!AL11)*$C$5 - Flujo_Caja!AL12*$D$5</f>
        <v>669334364.5</v>
      </c>
      <c r="AM18" s="28">
        <f>(Flujo_Caja!AM9+Flujo_Caja!AM6-Flujo_Caja!AM14)*$B$5 - (Flujo_Caja!AM10+Flujo_Caja!AM11)*$C$5 - Flujo_Caja!AM12*$D$5</f>
        <v>670131345.5</v>
      </c>
      <c r="AN18" s="28">
        <f>(Flujo_Caja!AN9+Flujo_Caja!AN6-Flujo_Caja!AN14)*$B$5 - (Flujo_Caja!AN10+Flujo_Caja!AN11)*$C$5 - Flujo_Caja!AN12*$D$5</f>
        <v>670929315.9</v>
      </c>
      <c r="AO18" s="28">
        <f>(Flujo_Caja!AO9+Flujo_Caja!AO6-Flujo_Caja!AO14)*$B$5 - (Flujo_Caja!AO10+Flujo_Caja!AO11)*$C$5 - Flujo_Caja!AO12*$D$5</f>
        <v>671728277</v>
      </c>
      <c r="AP18" s="28">
        <f>(Flujo_Caja!AP9+Flujo_Caja!AP6-Flujo_Caja!AP14)*$B$5 - (Flujo_Caja!AP10+Flujo_Caja!AP11)*$C$5 - Flujo_Caja!AP12*$D$5</f>
        <v>672528230.1</v>
      </c>
      <c r="AQ18" s="28">
        <f>(Flujo_Caja!AQ9+Flujo_Caja!AQ6-Flujo_Caja!AQ14)*$B$5 - (Flujo_Caja!AQ10+Flujo_Caja!AQ11)*$C$5 - Flujo_Caja!AQ12*$D$5</f>
        <v>673329176.2</v>
      </c>
      <c r="AR18" s="28">
        <f>(Flujo_Caja!AR9+Flujo_Caja!AR6-Flujo_Caja!AR14)*$B$5 - (Flujo_Caja!AR10+Flujo_Caja!AR11)*$C$5 - Flujo_Caja!AR12*$D$5</f>
        <v>674131116.7</v>
      </c>
      <c r="AS18" s="28">
        <f>(Flujo_Caja!AS9+Flujo_Caja!AS6-Flujo_Caja!AS14)*$B$5 - (Flujo_Caja!AS10+Flujo_Caja!AS11)*$C$5 - Flujo_Caja!AS12*$D$5</f>
        <v>674934052.8</v>
      </c>
      <c r="AT18" s="28">
        <f>(Flujo_Caja!AT9+Flujo_Caja!AT6-Flujo_Caja!AT14)*$B$5 - (Flujo_Caja!AT10+Flujo_Caja!AT11)*$C$5 - Flujo_Caja!AT12*$D$5</f>
        <v>675737985.8</v>
      </c>
      <c r="AU18" s="28">
        <f>(Flujo_Caja!AU9+Flujo_Caja!AU6-Flujo_Caja!AU14)*$B$5 - (Flujo_Caja!AU10+Flujo_Caja!AU11)*$C$5 - Flujo_Caja!AU12*$D$5</f>
        <v>676542916.8</v>
      </c>
      <c r="AV18" s="28">
        <f>(Flujo_Caja!AV9+Flujo_Caja!AV6-Flujo_Caja!AV14)*$B$5 - (Flujo_Caja!AV10+Flujo_Caja!AV11)*$C$5 - Flujo_Caja!AV12*$D$5</f>
        <v>677348847.2</v>
      </c>
      <c r="AW18" s="28">
        <f>(Flujo_Caja!AW9+Flujo_Caja!AW6-Flujo_Caja!AW14)*$B$5 - (Flujo_Caja!AW10+Flujo_Caja!AW11)*$C$5 - Flujo_Caja!AW12*$D$5</f>
        <v>678155778.1</v>
      </c>
      <c r="AX18" s="28">
        <f>(Flujo_Caja!AX9+Flujo_Caja!AX6-Flujo_Caja!AX14)*$B$5 - (Flujo_Caja!AX10+Flujo_Caja!AX11)*$C$5 - Flujo_Caja!AX12*$D$5</f>
        <v>678963710.7</v>
      </c>
      <c r="AY18" s="28">
        <f>(Flujo_Caja!AY9+Flujo_Caja!AY6-Flujo_Caja!AY14)*$B$5 - (Flujo_Caja!AY10+Flujo_Caja!AY11)*$C$5 - Flujo_Caja!AY12*$D$5</f>
        <v>679772646.5</v>
      </c>
      <c r="AZ18" s="28">
        <f>(Flujo_Caja!AZ9+Flujo_Caja!AZ6-Flujo_Caja!AZ14)*$B$5 - (Flujo_Caja!AZ10+Flujo_Caja!AZ11)*$C$5 - Flujo_Caja!AZ12*$D$5</f>
        <v>680582586.5</v>
      </c>
      <c r="BA18" s="28">
        <f>(Flujo_Caja!BA9+Flujo_Caja!BA6-Flujo_Caja!BA14)*$B$5 - (Flujo_Caja!BA10+Flujo_Caja!BA11)*$C$5 - Flujo_Caja!BA12*$D$5</f>
        <v>681393532</v>
      </c>
      <c r="BB18" s="28">
        <f>(Flujo_Caja!BB9+Flujo_Caja!BB6-Flujo_Caja!BB14)*$B$5 - (Flujo_Caja!BB10+Flujo_Caja!BB11)*$C$5 - Flujo_Caja!BB12*$D$5</f>
        <v>682205484.3</v>
      </c>
      <c r="BC18" s="28">
        <f>(Flujo_Caja!BC9+Flujo_Caja!BC6-Flujo_Caja!BC14)*$B$5 - (Flujo_Caja!BC10+Flujo_Caja!BC11)*$C$5 - Flujo_Caja!BC12*$D$5</f>
        <v>683018444.7</v>
      </c>
      <c r="BD18" s="28">
        <f>(Flujo_Caja!BD9+Flujo_Caja!BD6-Flujo_Caja!BD14)*$B$5 - (Flujo_Caja!BD10+Flujo_Caja!BD11)*$C$5 - Flujo_Caja!BD12*$D$5</f>
        <v>683832414.3</v>
      </c>
      <c r="BE18" s="28">
        <f>(Flujo_Caja!BE9+Flujo_Caja!BE6-Flujo_Caja!BE14)*$B$5 - (Flujo_Caja!BE10+Flujo_Caja!BE11)*$C$5 - Flujo_Caja!BE12*$D$5</f>
        <v>684647394.4</v>
      </c>
      <c r="BF18" s="28">
        <f>(Flujo_Caja!BF9+Flujo_Caja!BF6-Flujo_Caja!BF14)*$B$5 - (Flujo_Caja!BF10+Flujo_Caja!BF11)*$C$5 - Flujo_Caja!BF12*$D$5</f>
        <v>685463386.4</v>
      </c>
      <c r="BG18" s="28">
        <f>(Flujo_Caja!BG9+Flujo_Caja!BG6-Flujo_Caja!BG14)*$B$5 - (Flujo_Caja!BG10+Flujo_Caja!BG11)*$C$5 - Flujo_Caja!BG12*$D$5</f>
        <v>686280391.4</v>
      </c>
      <c r="BH18" s="28">
        <f>(Flujo_Caja!BH9+Flujo_Caja!BH6-Flujo_Caja!BH14)*$B$5 - (Flujo_Caja!BH10+Flujo_Caja!BH11)*$C$5 - Flujo_Caja!BH12*$D$5</f>
        <v>687098410.7</v>
      </c>
      <c r="BI18" s="28">
        <f>(Flujo_Caja!BI9+Flujo_Caja!BI6-Flujo_Caja!BI14)*$B$5 - (Flujo_Caja!BI10+Flujo_Caja!BI11)*$C$5 - Flujo_Caja!BI12*$D$5</f>
        <v>687917445.5</v>
      </c>
      <c r="BJ18" s="28">
        <f>(Flujo_Caja!BJ9+Flujo_Caja!BJ6-Flujo_Caja!BJ14)*$B$5 - (Flujo_Caja!BJ10+Flujo_Caja!BJ11)*$C$5 - Flujo_Caja!BJ12*$D$5</f>
        <v>688737497.2</v>
      </c>
    </row>
    <row r="19">
      <c r="B19" s="22" t="s">
        <v>676</v>
      </c>
      <c r="C19" s="28">
        <f t="shared" ref="C19:BJ19" si="4">1/(1+($E$5) )^(C11/12)</f>
        <v>0.9863018159</v>
      </c>
      <c r="D19" s="28">
        <f t="shared" si="4"/>
        <v>0.9727912721</v>
      </c>
      <c r="E19" s="28">
        <f t="shared" si="4"/>
        <v>0.9594657982</v>
      </c>
      <c r="F19" s="28">
        <f t="shared" si="4"/>
        <v>0.9463228591</v>
      </c>
      <c r="G19" s="28">
        <f t="shared" si="4"/>
        <v>0.9333599544</v>
      </c>
      <c r="H19" s="28">
        <f t="shared" si="4"/>
        <v>0.9205746179</v>
      </c>
      <c r="I19" s="28">
        <f t="shared" si="4"/>
        <v>0.9079644173</v>
      </c>
      <c r="J19" s="28">
        <f t="shared" si="4"/>
        <v>0.8955269536</v>
      </c>
      <c r="K19" s="28">
        <f t="shared" si="4"/>
        <v>0.8832598606</v>
      </c>
      <c r="L19" s="28">
        <f t="shared" si="4"/>
        <v>0.8711608044</v>
      </c>
      <c r="M19" s="28">
        <f t="shared" si="4"/>
        <v>0.8592274833</v>
      </c>
      <c r="N19" s="28">
        <f t="shared" si="4"/>
        <v>0.8474576271</v>
      </c>
      <c r="O19" s="28">
        <f t="shared" si="4"/>
        <v>0.8358489965</v>
      </c>
      <c r="P19" s="28">
        <f t="shared" si="4"/>
        <v>0.8243993831</v>
      </c>
      <c r="Q19" s="28">
        <f t="shared" si="4"/>
        <v>0.8131066086</v>
      </c>
      <c r="R19" s="28">
        <f t="shared" si="4"/>
        <v>0.8019685246</v>
      </c>
      <c r="S19" s="28">
        <f t="shared" si="4"/>
        <v>0.7909830122</v>
      </c>
      <c r="T19" s="28">
        <f t="shared" si="4"/>
        <v>0.7801479813</v>
      </c>
      <c r="U19" s="28">
        <f t="shared" si="4"/>
        <v>0.7694613706</v>
      </c>
      <c r="V19" s="28">
        <f t="shared" si="4"/>
        <v>0.7589211471</v>
      </c>
      <c r="W19" s="28">
        <f t="shared" si="4"/>
        <v>0.7485253056</v>
      </c>
      <c r="X19" s="28">
        <f t="shared" si="4"/>
        <v>0.7382718681</v>
      </c>
      <c r="Y19" s="28">
        <f t="shared" si="4"/>
        <v>0.7281588842</v>
      </c>
      <c r="Z19" s="28">
        <f t="shared" si="4"/>
        <v>0.7181844298</v>
      </c>
      <c r="AA19" s="28">
        <f t="shared" si="4"/>
        <v>0.7083466072</v>
      </c>
      <c r="AB19" s="28">
        <f t="shared" si="4"/>
        <v>0.698643545</v>
      </c>
      <c r="AC19" s="28">
        <f t="shared" si="4"/>
        <v>0.6890733971</v>
      </c>
      <c r="AD19" s="28">
        <f t="shared" si="4"/>
        <v>0.6796343429</v>
      </c>
      <c r="AE19" s="28">
        <f t="shared" si="4"/>
        <v>0.6703245866</v>
      </c>
      <c r="AF19" s="28">
        <f t="shared" si="4"/>
        <v>0.661142357</v>
      </c>
      <c r="AG19" s="28">
        <f t="shared" si="4"/>
        <v>0.6520859073</v>
      </c>
      <c r="AH19" s="28">
        <f t="shared" si="4"/>
        <v>0.6431535145</v>
      </c>
      <c r="AI19" s="28">
        <f t="shared" si="4"/>
        <v>0.6343434793</v>
      </c>
      <c r="AJ19" s="28">
        <f t="shared" si="4"/>
        <v>0.6256541255</v>
      </c>
      <c r="AK19" s="28">
        <f t="shared" si="4"/>
        <v>0.6170838002</v>
      </c>
      <c r="AL19" s="28">
        <f t="shared" si="4"/>
        <v>0.6086308727</v>
      </c>
      <c r="AM19" s="28">
        <f t="shared" si="4"/>
        <v>0.600293735</v>
      </c>
      <c r="AN19" s="28">
        <f t="shared" si="4"/>
        <v>0.5920708009</v>
      </c>
      <c r="AO19" s="28">
        <f t="shared" si="4"/>
        <v>0.5839605061</v>
      </c>
      <c r="AP19" s="28">
        <f t="shared" si="4"/>
        <v>0.5759613076</v>
      </c>
      <c r="AQ19" s="28">
        <f t="shared" si="4"/>
        <v>0.5680716835</v>
      </c>
      <c r="AR19" s="28">
        <f t="shared" si="4"/>
        <v>0.5602901331</v>
      </c>
      <c r="AS19" s="28">
        <f t="shared" si="4"/>
        <v>0.5526151757</v>
      </c>
      <c r="AT19" s="28">
        <f t="shared" si="4"/>
        <v>0.5450453513</v>
      </c>
      <c r="AU19" s="28">
        <f t="shared" si="4"/>
        <v>0.5375792197</v>
      </c>
      <c r="AV19" s="28">
        <f t="shared" si="4"/>
        <v>0.5302153606</v>
      </c>
      <c r="AW19" s="28">
        <f t="shared" si="4"/>
        <v>0.522952373</v>
      </c>
      <c r="AX19" s="28">
        <f t="shared" si="4"/>
        <v>0.5157888752</v>
      </c>
      <c r="AY19" s="28">
        <f t="shared" si="4"/>
        <v>0.5087235042</v>
      </c>
      <c r="AZ19" s="28">
        <f t="shared" si="4"/>
        <v>0.501754916</v>
      </c>
      <c r="BA19" s="28">
        <f t="shared" si="4"/>
        <v>0.4948817848</v>
      </c>
      <c r="BB19" s="28">
        <f t="shared" si="4"/>
        <v>0.488102803</v>
      </c>
      <c r="BC19" s="28">
        <f t="shared" si="4"/>
        <v>0.481416681</v>
      </c>
      <c r="BD19" s="28">
        <f t="shared" si="4"/>
        <v>0.4748221467</v>
      </c>
      <c r="BE19" s="28">
        <f t="shared" si="4"/>
        <v>0.4683179455</v>
      </c>
      <c r="BF19" s="28">
        <f t="shared" si="4"/>
        <v>0.4619028401</v>
      </c>
      <c r="BG19" s="28">
        <f t="shared" si="4"/>
        <v>0.4555756099</v>
      </c>
      <c r="BH19" s="28">
        <f t="shared" si="4"/>
        <v>0.4493350514</v>
      </c>
      <c r="BI19" s="28">
        <f t="shared" si="4"/>
        <v>0.4431799771</v>
      </c>
      <c r="BJ19" s="28">
        <f t="shared" si="4"/>
        <v>0.4371092162</v>
      </c>
    </row>
    <row r="20">
      <c r="B20" s="22" t="s">
        <v>677</v>
      </c>
      <c r="C20" s="28">
        <f t="shared" ref="C20:BJ20" si="5">C18*C19</f>
        <v>-4516694246</v>
      </c>
      <c r="D20" s="28">
        <f t="shared" si="5"/>
        <v>-7674551102</v>
      </c>
      <c r="E20" s="28">
        <f t="shared" si="5"/>
        <v>-5634143194</v>
      </c>
      <c r="F20" s="28">
        <f t="shared" si="5"/>
        <v>-4135576919</v>
      </c>
      <c r="G20" s="28">
        <f t="shared" si="5"/>
        <v>403909784.8</v>
      </c>
      <c r="H20" s="28">
        <f t="shared" si="5"/>
        <v>594579808.1</v>
      </c>
      <c r="I20" s="28">
        <f t="shared" si="5"/>
        <v>587132335.3</v>
      </c>
      <c r="J20" s="28">
        <f t="shared" si="5"/>
        <v>579778182.8</v>
      </c>
      <c r="K20" s="28">
        <f t="shared" si="5"/>
        <v>572516180.8</v>
      </c>
      <c r="L20" s="28">
        <f t="shared" si="5"/>
        <v>565345174.1</v>
      </c>
      <c r="M20" s="28">
        <f t="shared" si="5"/>
        <v>558264021.9</v>
      </c>
      <c r="N20" s="28">
        <f t="shared" si="5"/>
        <v>551271598.1</v>
      </c>
      <c r="O20" s="28">
        <f t="shared" si="5"/>
        <v>544366790.2</v>
      </c>
      <c r="P20" s="28">
        <f t="shared" si="5"/>
        <v>537548500</v>
      </c>
      <c r="Q20" s="28">
        <f t="shared" si="5"/>
        <v>530815642.9</v>
      </c>
      <c r="R20" s="28">
        <f t="shared" si="5"/>
        <v>524167148.1</v>
      </c>
      <c r="S20" s="28">
        <f t="shared" si="5"/>
        <v>517601958</v>
      </c>
      <c r="T20" s="28">
        <f t="shared" si="5"/>
        <v>511119028.4</v>
      </c>
      <c r="U20" s="28">
        <f t="shared" si="5"/>
        <v>504717328.2</v>
      </c>
      <c r="V20" s="28">
        <f t="shared" si="5"/>
        <v>498395839.2</v>
      </c>
      <c r="W20" s="28">
        <f t="shared" si="5"/>
        <v>492153555.8</v>
      </c>
      <c r="X20" s="28">
        <f t="shared" si="5"/>
        <v>485989485.4</v>
      </c>
      <c r="Y20" s="28">
        <f t="shared" si="5"/>
        <v>479902647.5</v>
      </c>
      <c r="Z20" s="28">
        <f t="shared" si="5"/>
        <v>473892074</v>
      </c>
      <c r="AA20" s="28">
        <f t="shared" si="5"/>
        <v>467956809</v>
      </c>
      <c r="AB20" s="28">
        <f t="shared" si="5"/>
        <v>462095908.5</v>
      </c>
      <c r="AC20" s="28">
        <f t="shared" si="5"/>
        <v>456308440.4</v>
      </c>
      <c r="AD20" s="28">
        <f t="shared" si="5"/>
        <v>450593484.4</v>
      </c>
      <c r="AE20" s="28">
        <f t="shared" si="5"/>
        <v>444950131.4</v>
      </c>
      <c r="AF20" s="28">
        <f t="shared" si="5"/>
        <v>439377484</v>
      </c>
      <c r="AG20" s="28">
        <f t="shared" si="5"/>
        <v>433874656</v>
      </c>
      <c r="AH20" s="28">
        <f t="shared" si="5"/>
        <v>428440772.2</v>
      </c>
      <c r="AI20" s="28">
        <f t="shared" si="5"/>
        <v>423074968.5</v>
      </c>
      <c r="AJ20" s="28">
        <f t="shared" si="5"/>
        <v>417776391.7</v>
      </c>
      <c r="AK20" s="28">
        <f t="shared" si="5"/>
        <v>412544198.9</v>
      </c>
      <c r="AL20" s="28">
        <f t="shared" si="5"/>
        <v>407377558.4</v>
      </c>
      <c r="AM20" s="28">
        <f t="shared" si="5"/>
        <v>402275648.3</v>
      </c>
      <c r="AN20" s="28">
        <f t="shared" si="5"/>
        <v>397237657.4</v>
      </c>
      <c r="AO20" s="28">
        <f t="shared" si="5"/>
        <v>392262784.6</v>
      </c>
      <c r="AP20" s="28">
        <f t="shared" si="5"/>
        <v>387350238.8</v>
      </c>
      <c r="AQ20" s="28">
        <f t="shared" si="5"/>
        <v>382499238.7</v>
      </c>
      <c r="AR20" s="28">
        <f t="shared" si="5"/>
        <v>377709013.1</v>
      </c>
      <c r="AS20" s="28">
        <f t="shared" si="5"/>
        <v>372978800.2</v>
      </c>
      <c r="AT20" s="28">
        <f t="shared" si="5"/>
        <v>368307847.8</v>
      </c>
      <c r="AU20" s="28">
        <f t="shared" si="5"/>
        <v>363695413.3</v>
      </c>
      <c r="AV20" s="28">
        <f t="shared" si="5"/>
        <v>359140763.3</v>
      </c>
      <c r="AW20" s="28">
        <f t="shared" si="5"/>
        <v>354643173.4</v>
      </c>
      <c r="AX20" s="28">
        <f t="shared" si="5"/>
        <v>350201928.6</v>
      </c>
      <c r="AY20" s="28">
        <f t="shared" si="5"/>
        <v>345816322.8</v>
      </c>
      <c r="AZ20" s="28">
        <f t="shared" si="5"/>
        <v>341485658.5</v>
      </c>
      <c r="BA20" s="28">
        <f t="shared" si="5"/>
        <v>337209247.3</v>
      </c>
      <c r="BB20" s="28">
        <f t="shared" si="5"/>
        <v>332986409.1</v>
      </c>
      <c r="BC20" s="28">
        <f t="shared" si="5"/>
        <v>328816472.7</v>
      </c>
      <c r="BD20" s="28">
        <f t="shared" si="5"/>
        <v>324698774.9</v>
      </c>
      <c r="BE20" s="28">
        <f t="shared" si="5"/>
        <v>320632661.2</v>
      </c>
      <c r="BF20" s="28">
        <f t="shared" si="5"/>
        <v>316617484.9</v>
      </c>
      <c r="BG20" s="28">
        <f t="shared" si="5"/>
        <v>312652607.9</v>
      </c>
      <c r="BH20" s="28">
        <f t="shared" si="5"/>
        <v>308737399.7</v>
      </c>
      <c r="BI20" s="28">
        <f t="shared" si="5"/>
        <v>304871237.8</v>
      </c>
      <c r="BJ20" s="28">
        <f t="shared" si="5"/>
        <v>301053507.6</v>
      </c>
    </row>
    <row r="21" ht="15.75" customHeight="1">
      <c r="B21" s="22" t="s">
        <v>678</v>
      </c>
      <c r="C21" s="28">
        <f>C20</f>
        <v>-4516694246</v>
      </c>
      <c r="D21" s="28">
        <f t="shared" ref="D21:BJ21" si="6">C21+D20</f>
        <v>-12191245347</v>
      </c>
      <c r="E21" s="28">
        <f t="shared" si="6"/>
        <v>-17825388542</v>
      </c>
      <c r="F21" s="28">
        <f t="shared" si="6"/>
        <v>-21960965461</v>
      </c>
      <c r="G21" s="28">
        <f t="shared" si="6"/>
        <v>-21557055676</v>
      </c>
      <c r="H21" s="28">
        <f t="shared" si="6"/>
        <v>-20962475868</v>
      </c>
      <c r="I21" s="28">
        <f t="shared" si="6"/>
        <v>-20375343533</v>
      </c>
      <c r="J21" s="28">
        <f t="shared" si="6"/>
        <v>-19795565350</v>
      </c>
      <c r="K21" s="28">
        <f t="shared" si="6"/>
        <v>-19223049169</v>
      </c>
      <c r="L21" s="28">
        <f t="shared" si="6"/>
        <v>-18657703995</v>
      </c>
      <c r="M21" s="28">
        <f t="shared" si="6"/>
        <v>-18099439973</v>
      </c>
      <c r="N21" s="28">
        <f t="shared" si="6"/>
        <v>-17548168375</v>
      </c>
      <c r="O21" s="28">
        <f t="shared" si="6"/>
        <v>-17003801585</v>
      </c>
      <c r="P21" s="28">
        <f t="shared" si="6"/>
        <v>-16466253085</v>
      </c>
      <c r="Q21" s="28">
        <f t="shared" si="6"/>
        <v>-15935437442</v>
      </c>
      <c r="R21" s="28">
        <f t="shared" si="6"/>
        <v>-15411270294</v>
      </c>
      <c r="S21" s="28">
        <f t="shared" si="6"/>
        <v>-14893668336</v>
      </c>
      <c r="T21" s="28">
        <f t="shared" si="6"/>
        <v>-14382549307</v>
      </c>
      <c r="U21" s="28">
        <f t="shared" si="6"/>
        <v>-13877831979</v>
      </c>
      <c r="V21" s="28">
        <f t="shared" si="6"/>
        <v>-13379436140</v>
      </c>
      <c r="W21" s="28">
        <f t="shared" si="6"/>
        <v>-12887282584</v>
      </c>
      <c r="X21" s="28">
        <f t="shared" si="6"/>
        <v>-12401293099</v>
      </c>
      <c r="Y21" s="28">
        <f t="shared" si="6"/>
        <v>-11921390451</v>
      </c>
      <c r="Z21" s="28">
        <f t="shared" si="6"/>
        <v>-11447498377</v>
      </c>
      <c r="AA21" s="28">
        <f t="shared" si="6"/>
        <v>-10979541568</v>
      </c>
      <c r="AB21" s="28">
        <f t="shared" si="6"/>
        <v>-10517445660</v>
      </c>
      <c r="AC21" s="28">
        <f t="shared" si="6"/>
        <v>-10061137219</v>
      </c>
      <c r="AD21" s="28">
        <f t="shared" si="6"/>
        <v>-9610543735</v>
      </c>
      <c r="AE21" s="28">
        <f t="shared" si="6"/>
        <v>-9165593604</v>
      </c>
      <c r="AF21" s="28">
        <f t="shared" si="6"/>
        <v>-8726216120</v>
      </c>
      <c r="AG21" s="28">
        <f t="shared" si="6"/>
        <v>-8292341464</v>
      </c>
      <c r="AH21" s="28">
        <f t="shared" si="6"/>
        <v>-7863900692</v>
      </c>
      <c r="AI21" s="28">
        <f t="shared" si="6"/>
        <v>-7440825723</v>
      </c>
      <c r="AJ21" s="28">
        <f t="shared" si="6"/>
        <v>-7023049331</v>
      </c>
      <c r="AK21" s="28">
        <f t="shared" si="6"/>
        <v>-6610505132</v>
      </c>
      <c r="AL21" s="28">
        <f t="shared" si="6"/>
        <v>-6203127574</v>
      </c>
      <c r="AM21" s="28">
        <f t="shared" si="6"/>
        <v>-5800851926</v>
      </c>
      <c r="AN21" s="28">
        <f t="shared" si="6"/>
        <v>-5403614268</v>
      </c>
      <c r="AO21" s="28">
        <f t="shared" si="6"/>
        <v>-5011351484</v>
      </c>
      <c r="AP21" s="28">
        <f t="shared" si="6"/>
        <v>-4624001245</v>
      </c>
      <c r="AQ21" s="28">
        <f t="shared" si="6"/>
        <v>-4241502006</v>
      </c>
      <c r="AR21" s="28">
        <f t="shared" si="6"/>
        <v>-3863792993</v>
      </c>
      <c r="AS21" s="28">
        <f t="shared" si="6"/>
        <v>-3490814193</v>
      </c>
      <c r="AT21" s="28">
        <f t="shared" si="6"/>
        <v>-3122506345</v>
      </c>
      <c r="AU21" s="28">
        <f t="shared" si="6"/>
        <v>-2758810932</v>
      </c>
      <c r="AV21" s="28">
        <f t="shared" si="6"/>
        <v>-2399670168</v>
      </c>
      <c r="AW21" s="28">
        <f t="shared" si="6"/>
        <v>-2045026995</v>
      </c>
      <c r="AX21" s="28">
        <f t="shared" si="6"/>
        <v>-1694825066</v>
      </c>
      <c r="AY21" s="28">
        <f t="shared" si="6"/>
        <v>-1349008744</v>
      </c>
      <c r="AZ21" s="28">
        <f t="shared" si="6"/>
        <v>-1007523085</v>
      </c>
      <c r="BA21" s="28">
        <f t="shared" si="6"/>
        <v>-670313837.9</v>
      </c>
      <c r="BB21" s="28">
        <f t="shared" si="6"/>
        <v>-337327428.8</v>
      </c>
      <c r="BC21" s="28">
        <f t="shared" si="6"/>
        <v>-8510956.139</v>
      </c>
      <c r="BD21" s="28">
        <f t="shared" si="6"/>
        <v>316187818.8</v>
      </c>
      <c r="BE21" s="28">
        <f t="shared" si="6"/>
        <v>636820479.9</v>
      </c>
      <c r="BF21" s="28">
        <f t="shared" si="6"/>
        <v>953437964.9</v>
      </c>
      <c r="BG21" s="28">
        <f t="shared" si="6"/>
        <v>1266090573</v>
      </c>
      <c r="BH21" s="28">
        <f t="shared" si="6"/>
        <v>1574827972</v>
      </c>
      <c r="BI21" s="28">
        <f t="shared" si="6"/>
        <v>1879699210</v>
      </c>
      <c r="BJ21" s="28">
        <f t="shared" si="6"/>
        <v>2180752718</v>
      </c>
    </row>
    <row r="22" ht="15.75" customHeight="1">
      <c r="B22" s="22" t="s">
        <v>691</v>
      </c>
      <c r="C22" s="28"/>
      <c r="D22" s="28"/>
      <c r="E22" s="28"/>
      <c r="F22" s="28"/>
      <c r="G22" s="28"/>
      <c r="H22" s="28"/>
      <c r="I22" s="28"/>
      <c r="J22" s="28"/>
      <c r="K22" s="28"/>
      <c r="L22" s="28"/>
      <c r="M22" s="28"/>
      <c r="N22" s="28"/>
      <c r="O22" s="28"/>
      <c r="P22" s="28"/>
      <c r="Q22" s="28"/>
      <c r="R22" s="28"/>
      <c r="S22" s="28"/>
      <c r="T22" s="28"/>
      <c r="U22" s="28"/>
      <c r="V22" s="28"/>
      <c r="W22" s="28"/>
      <c r="X22" s="28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</row>
    <row r="23" ht="15.75" customHeight="1">
      <c r="C23" s="28"/>
      <c r="D23" s="28"/>
      <c r="E23" s="28"/>
      <c r="F23" s="28"/>
      <c r="G23" s="28"/>
      <c r="H23" s="28"/>
      <c r="I23" s="28"/>
      <c r="J23" s="28"/>
      <c r="K23" s="28"/>
      <c r="L23" s="28"/>
      <c r="M23" s="28"/>
      <c r="N23" s="28"/>
      <c r="O23" s="28"/>
      <c r="P23" s="28"/>
      <c r="Q23" s="28"/>
      <c r="R23" s="28"/>
      <c r="S23" s="28"/>
      <c r="T23" s="28"/>
      <c r="U23" s="28"/>
      <c r="V23" s="28"/>
      <c r="W23" s="28"/>
      <c r="X23" s="28"/>
      <c r="Y23" s="28"/>
      <c r="Z23" s="28"/>
      <c r="AA23" s="28"/>
      <c r="AB23" s="28"/>
      <c r="AC23" s="28"/>
      <c r="AD23" s="28"/>
      <c r="AE23" s="28"/>
      <c r="AF23" s="28"/>
      <c r="AG23" s="28"/>
      <c r="AH23" s="28"/>
      <c r="AI23" s="28"/>
      <c r="AJ23" s="28"/>
      <c r="AK23" s="28"/>
      <c r="AL23" s="28"/>
      <c r="AM23" s="28"/>
      <c r="AN23" s="28"/>
      <c r="AO23" s="28"/>
      <c r="AP23" s="28"/>
      <c r="AQ23" s="28"/>
      <c r="AR23" s="28"/>
      <c r="AS23" s="28"/>
      <c r="AT23" s="28"/>
      <c r="AU23" s="28"/>
      <c r="AV23" s="28"/>
      <c r="AW23" s="28"/>
      <c r="AX23" s="28"/>
      <c r="AY23" s="28"/>
      <c r="AZ23" s="28"/>
      <c r="BA23" s="28"/>
      <c r="BB23" s="28"/>
      <c r="BC23" s="28"/>
      <c r="BD23" s="28"/>
      <c r="BE23" s="28"/>
      <c r="BF23" s="28"/>
      <c r="BG23" s="28"/>
      <c r="BH23" s="28"/>
      <c r="BI23" s="28"/>
      <c r="BJ23" s="28"/>
    </row>
    <row r="24" ht="15.75" customHeight="1">
      <c r="A24" s="53" t="s">
        <v>689</v>
      </c>
      <c r="B24" s="53" t="s">
        <v>690</v>
      </c>
      <c r="C24" s="28">
        <f>(Flujo_Caja!C9+Flujo_Caja!C6-Flujo_Caja!C14)*$B$6 - (Flujo_Caja!C10+Flujo_Caja!C11)*$C$6 - Flujo_Caja!C12*$D$6</f>
        <v>-4135121394</v>
      </c>
      <c r="D24" s="28">
        <f>(Flujo_Caja!D9+Flujo_Caja!D6-Flujo_Caja!D14)*$B$6 - (Flujo_Caja!D10+Flujo_Caja!D11)*$C$6 - Flujo_Caja!D12*$D$6</f>
        <v>-7113923652</v>
      </c>
      <c r="E24" s="28">
        <f>(Flujo_Caja!E9+Flujo_Caja!E6-Flujo_Caja!E14)*$B$6 - (Flujo_Caja!E10+Flujo_Caja!E11)*$C$6 - Flujo_Caja!E12*$D$6</f>
        <v>-5329610301</v>
      </c>
      <c r="F24" s="28">
        <f>(Flujo_Caja!F9+Flujo_Caja!F6-Flujo_Caja!F14)*$B$6 - (Flujo_Caja!F10+Flujo_Caja!F11)*$C$6 - Flujo_Caja!F12*$D$6</f>
        <v>-3917986926</v>
      </c>
      <c r="G24" s="28">
        <f>(Flujo_Caja!G9+Flujo_Caja!G6-Flujo_Caja!G14)*$B$6 - (Flujo_Caja!G10+Flujo_Caja!G11)*$C$6 - Flujo_Caja!G12*$D$6</f>
        <v>454385547.7</v>
      </c>
      <c r="H24" s="28">
        <f>(Flujo_Caja!H9+Flujo_Caja!H6-Flujo_Caja!H14)*$B$6 - (Flujo_Caja!H10+Flujo_Caja!H11)*$C$6 - Flujo_Caja!H12*$D$6</f>
        <v>678172943.6</v>
      </c>
      <c r="I24" s="28">
        <f>(Flujo_Caja!I9+Flujo_Caja!I6-Flujo_Caja!I14)*$B$6 - (Flujo_Caja!I10+Flujo_Caja!I11)*$C$6 - Flujo_Caja!I12*$D$6</f>
        <v>678979198.2</v>
      </c>
      <c r="J24" s="28">
        <f>(Flujo_Caja!J9+Flujo_Caja!J6-Flujo_Caja!J14)*$B$6 - (Flujo_Caja!J10+Flujo_Caja!J11)*$C$6 - Flujo_Caja!J12*$D$6</f>
        <v>679786453.7</v>
      </c>
      <c r="K24" s="28">
        <f>(Flujo_Caja!K9+Flujo_Caja!K6-Flujo_Caja!K14)*$B$6 - (Flujo_Caja!K10+Flujo_Caja!K11)*$C$6 - Flujo_Caja!K12*$D$6</f>
        <v>680594711.3</v>
      </c>
      <c r="L24" s="28">
        <f>(Flujo_Caja!L9+Flujo_Caja!L6-Flujo_Caja!L14)*$B$6 - (Flujo_Caja!L10+Flujo_Caja!L11)*$C$6 - Flujo_Caja!L12*$D$6</f>
        <v>681403972.5</v>
      </c>
      <c r="M24" s="28">
        <f>(Flujo_Caja!M9+Flujo_Caja!M6-Flujo_Caja!M14)*$B$6 - (Flujo_Caja!M10+Flujo_Caja!M11)*$C$6 - Flujo_Caja!M12*$D$6</f>
        <v>682214238.3</v>
      </c>
      <c r="N24" s="28">
        <f>(Flujo_Caja!N9+Flujo_Caja!N6-Flujo_Caja!N14)*$B$6 - (Flujo_Caja!N10+Flujo_Caja!N11)*$C$6 - Flujo_Caja!N12*$D$6</f>
        <v>683025510</v>
      </c>
      <c r="O24" s="28">
        <f>(Flujo_Caja!O9+Flujo_Caja!O6-Flujo_Caja!O14)*$B$6 - (Flujo_Caja!O10+Flujo_Caja!O11)*$C$6 - Flujo_Caja!O12*$D$6</f>
        <v>683837788.9</v>
      </c>
      <c r="P24" s="28">
        <f>(Flujo_Caja!P9+Flujo_Caja!P6-Flujo_Caja!P14)*$B$6 - (Flujo_Caja!P10+Flujo_Caja!P11)*$C$6 - Flujo_Caja!P12*$D$6</f>
        <v>684651076.3</v>
      </c>
      <c r="Q24" s="28">
        <f>(Flujo_Caja!Q9+Flujo_Caja!Q6-Flujo_Caja!Q14)*$B$6 - (Flujo_Caja!Q10+Flujo_Caja!Q11)*$C$6 - Flujo_Caja!Q12*$D$6</f>
        <v>685465373.3</v>
      </c>
      <c r="R24" s="28">
        <f>(Flujo_Caja!R9+Flujo_Caja!R6-Flujo_Caja!R14)*$B$6 - (Flujo_Caja!R10+Flujo_Caja!R11)*$C$6 - Flujo_Caja!R12*$D$6</f>
        <v>686280681.3</v>
      </c>
      <c r="S24" s="28">
        <f>(Flujo_Caja!S9+Flujo_Caja!S6-Flujo_Caja!S14)*$B$6 - (Flujo_Caja!S10+Flujo_Caja!S11)*$C$6 - Flujo_Caja!S12*$D$6</f>
        <v>687097001.5</v>
      </c>
      <c r="T24" s="28">
        <f>(Flujo_Caja!T9+Flujo_Caja!T6-Flujo_Caja!T14)*$B$6 - (Flujo_Caja!T10+Flujo_Caja!T11)*$C$6 - Flujo_Caja!T12*$D$6</f>
        <v>687914335.1</v>
      </c>
      <c r="U24" s="28">
        <f>(Flujo_Caja!U9+Flujo_Caja!U6-Flujo_Caja!U14)*$B$6 - (Flujo_Caja!U10+Flujo_Caja!U11)*$C$6 - Flujo_Caja!U12*$D$6</f>
        <v>688732683.5</v>
      </c>
      <c r="V24" s="28">
        <f>(Flujo_Caja!V9+Flujo_Caja!V6-Flujo_Caja!V14)*$B$6 - (Flujo_Caja!V10+Flujo_Caja!V11)*$C$6 - Flujo_Caja!V12*$D$6</f>
        <v>689552047.8</v>
      </c>
      <c r="W24" s="28">
        <f>(Flujo_Caja!W9+Flujo_Caja!W6-Flujo_Caja!W14)*$B$6 - (Flujo_Caja!W10+Flujo_Caja!W11)*$C$6 - Flujo_Caja!W12*$D$6</f>
        <v>690372429.3</v>
      </c>
      <c r="X24" s="28">
        <f>(Flujo_Caja!X9+Flujo_Caja!X6-Flujo_Caja!X14)*$B$6 - (Flujo_Caja!X10+Flujo_Caja!X11)*$C$6 - Flujo_Caja!X12*$D$6</f>
        <v>691193829.4</v>
      </c>
      <c r="Y24" s="28">
        <f>(Flujo_Caja!Y9+Flujo_Caja!Y6-Flujo_Caja!Y14)*$B$6 - (Flujo_Caja!Y10+Flujo_Caja!Y11)*$C$6 - Flujo_Caja!Y12*$D$6</f>
        <v>692016249.2</v>
      </c>
      <c r="Z24" s="28">
        <f>(Flujo_Caja!Z9+Flujo_Caja!Z6-Flujo_Caja!Z14)*$B$6 - (Flujo_Caja!Z10+Flujo_Caja!Z11)*$C$6 - Flujo_Caja!Z12*$D$6</f>
        <v>692839690</v>
      </c>
      <c r="AA24" s="28">
        <f>(Flujo_Caja!AA9+Flujo_Caja!AA6-Flujo_Caja!AA14)*$B$6 - (Flujo_Caja!AA10+Flujo_Caja!AA11)*$C$6 - Flujo_Caja!AA12*$D$6</f>
        <v>693664153.1</v>
      </c>
      <c r="AB24" s="28">
        <f>(Flujo_Caja!AB9+Flujo_Caja!AB6-Flujo_Caja!AB14)*$B$6 - (Flujo_Caja!AB10+Flujo_Caja!AB11)*$C$6 - Flujo_Caja!AB12*$D$6</f>
        <v>694489639.8</v>
      </c>
      <c r="AC24" s="28">
        <f>(Flujo_Caja!AC9+Flujo_Caja!AC6-Flujo_Caja!AC14)*$B$6 - (Flujo_Caja!AC10+Flujo_Caja!AC11)*$C$6 - Flujo_Caja!AC12*$D$6</f>
        <v>695316151.3</v>
      </c>
      <c r="AD24" s="28">
        <f>(Flujo_Caja!AD9+Flujo_Caja!AD6-Flujo_Caja!AD14)*$B$6 - (Flujo_Caja!AD10+Flujo_Caja!AD11)*$C$6 - Flujo_Caja!AD12*$D$6</f>
        <v>696143688.9</v>
      </c>
      <c r="AE24" s="28">
        <f>(Flujo_Caja!AE9+Flujo_Caja!AE6-Flujo_Caja!AE14)*$B$6 - (Flujo_Caja!AE10+Flujo_Caja!AE11)*$C$6 - Flujo_Caja!AE12*$D$6</f>
        <v>696972253.9</v>
      </c>
      <c r="AF24" s="28">
        <f>(Flujo_Caja!AF9+Flujo_Caja!AF6-Flujo_Caja!AF14)*$B$6 - (Flujo_Caja!AF10+Flujo_Caja!AF11)*$C$6 - Flujo_Caja!AF12*$D$6</f>
        <v>697801847.5</v>
      </c>
      <c r="AG24" s="28">
        <f>(Flujo_Caja!AG9+Flujo_Caja!AG6-Flujo_Caja!AG14)*$B$6 - (Flujo_Caja!AG10+Flujo_Caja!AG11)*$C$6 - Flujo_Caja!AG12*$D$6</f>
        <v>698632471.1</v>
      </c>
      <c r="AH24" s="28">
        <f>(Flujo_Caja!AH9+Flujo_Caja!AH6-Flujo_Caja!AH14)*$B$6 - (Flujo_Caja!AH10+Flujo_Caja!AH11)*$C$6 - Flujo_Caja!AH12*$D$6</f>
        <v>699464125.9</v>
      </c>
      <c r="AI24" s="28">
        <f>(Flujo_Caja!AI9+Flujo_Caja!AI6-Flujo_Caja!AI14)*$B$6 - (Flujo_Caja!AI10+Flujo_Caja!AI11)*$C$6 - Flujo_Caja!AI12*$D$6</f>
        <v>700296813.1</v>
      </c>
      <c r="AJ24" s="28">
        <f>(Flujo_Caja!AJ9+Flujo_Caja!AJ6-Flujo_Caja!AJ14)*$B$6 - (Flujo_Caja!AJ10+Flujo_Caja!AJ11)*$C$6 - Flujo_Caja!AJ12*$D$6</f>
        <v>701130534.2</v>
      </c>
      <c r="AK24" s="28">
        <f>(Flujo_Caja!AK9+Flujo_Caja!AK6-Flujo_Caja!AK14)*$B$6 - (Flujo_Caja!AK10+Flujo_Caja!AK11)*$C$6 - Flujo_Caja!AK12*$D$6</f>
        <v>701965290.3</v>
      </c>
      <c r="AL24" s="28">
        <f>(Flujo_Caja!AL9+Flujo_Caja!AL6-Flujo_Caja!AL14)*$B$6 - (Flujo_Caja!AL10+Flujo_Caja!AL11)*$C$6 - Flujo_Caja!AL12*$D$6</f>
        <v>702801082.7</v>
      </c>
      <c r="AM24" s="28">
        <f>(Flujo_Caja!AM9+Flujo_Caja!AM6-Flujo_Caja!AM14)*$B$6 - (Flujo_Caja!AM10+Flujo_Caja!AM11)*$C$6 - Flujo_Caja!AM12*$D$6</f>
        <v>703637912.7</v>
      </c>
      <c r="AN24" s="28">
        <f>(Flujo_Caja!AN9+Flujo_Caja!AN6-Flujo_Caja!AN14)*$B$6 - (Flujo_Caja!AN10+Flujo_Caja!AN11)*$C$6 - Flujo_Caja!AN12*$D$6</f>
        <v>704475781.7</v>
      </c>
      <c r="AO24" s="28">
        <f>(Flujo_Caja!AO9+Flujo_Caja!AO6-Flujo_Caja!AO14)*$B$6 - (Flujo_Caja!AO10+Flujo_Caja!AO11)*$C$6 - Flujo_Caja!AO12*$D$6</f>
        <v>705314690.9</v>
      </c>
      <c r="AP24" s="28">
        <f>(Flujo_Caja!AP9+Flujo_Caja!AP6-Flujo_Caja!AP14)*$B$6 - (Flujo_Caja!AP10+Flujo_Caja!AP11)*$C$6 - Flujo_Caja!AP12*$D$6</f>
        <v>706154641.6</v>
      </c>
      <c r="AQ24" s="28">
        <f>(Flujo_Caja!AQ9+Flujo_Caja!AQ6-Flujo_Caja!AQ14)*$B$6 - (Flujo_Caja!AQ10+Flujo_Caja!AQ11)*$C$6 - Flujo_Caja!AQ12*$D$6</f>
        <v>706995635</v>
      </c>
      <c r="AR24" s="28">
        <f>(Flujo_Caja!AR9+Flujo_Caja!AR6-Flujo_Caja!AR14)*$B$6 - (Flujo_Caja!AR10+Flujo_Caja!AR11)*$C$6 - Flujo_Caja!AR12*$D$6</f>
        <v>707837672.6</v>
      </c>
      <c r="AS24" s="28">
        <f>(Flujo_Caja!AS9+Flujo_Caja!AS6-Flujo_Caja!AS14)*$B$6 - (Flujo_Caja!AS10+Flujo_Caja!AS11)*$C$6 - Flujo_Caja!AS12*$D$6</f>
        <v>708680755.5</v>
      </c>
      <c r="AT24" s="28">
        <f>(Flujo_Caja!AT9+Flujo_Caja!AT6-Flujo_Caja!AT14)*$B$6 - (Flujo_Caja!AT10+Flujo_Caja!AT11)*$C$6 - Flujo_Caja!AT12*$D$6</f>
        <v>709524885.1</v>
      </c>
      <c r="AU24" s="28">
        <f>(Flujo_Caja!AU9+Flujo_Caja!AU6-Flujo_Caja!AU14)*$B$6 - (Flujo_Caja!AU10+Flujo_Caja!AU11)*$C$6 - Flujo_Caja!AU12*$D$6</f>
        <v>710370062.7</v>
      </c>
      <c r="AV24" s="28">
        <f>(Flujo_Caja!AV9+Flujo_Caja!AV6-Flujo_Caja!AV14)*$B$6 - (Flujo_Caja!AV10+Flujo_Caja!AV11)*$C$6 - Flujo_Caja!AV12*$D$6</f>
        <v>711216289.5</v>
      </c>
      <c r="AW24" s="28">
        <f>(Flujo_Caja!AW9+Flujo_Caja!AW6-Flujo_Caja!AW14)*$B$6 - (Flujo_Caja!AW10+Flujo_Caja!AW11)*$C$6 - Flujo_Caja!AW12*$D$6</f>
        <v>712063567</v>
      </c>
      <c r="AX24" s="28">
        <f>(Flujo_Caja!AX9+Flujo_Caja!AX6-Flujo_Caja!AX14)*$B$6 - (Flujo_Caja!AX10+Flujo_Caja!AX11)*$C$6 - Flujo_Caja!AX12*$D$6</f>
        <v>712911896.3</v>
      </c>
      <c r="AY24" s="28">
        <f>(Flujo_Caja!AY9+Flujo_Caja!AY6-Flujo_Caja!AY14)*$B$6 - (Flujo_Caja!AY10+Flujo_Caja!AY11)*$C$6 - Flujo_Caja!AY12*$D$6</f>
        <v>713761278.8</v>
      </c>
      <c r="AZ24" s="28">
        <f>(Flujo_Caja!AZ9+Flujo_Caja!AZ6-Flujo_Caja!AZ14)*$B$6 - (Flujo_Caja!AZ10+Flujo_Caja!AZ11)*$C$6 - Flujo_Caja!AZ12*$D$6</f>
        <v>714611715.8</v>
      </c>
      <c r="BA24" s="28">
        <f>(Flujo_Caja!BA9+Flujo_Caja!BA6-Flujo_Caja!BA14)*$B$6 - (Flujo_Caja!BA10+Flujo_Caja!BA11)*$C$6 - Flujo_Caja!BA12*$D$6</f>
        <v>715463208.6</v>
      </c>
      <c r="BB24" s="28">
        <f>(Flujo_Caja!BB9+Flujo_Caja!BB6-Flujo_Caja!BB14)*$B$6 - (Flujo_Caja!BB10+Flujo_Caja!BB11)*$C$6 - Flujo_Caja!BB12*$D$6</f>
        <v>716315758.5</v>
      </c>
      <c r="BC24" s="28">
        <f>(Flujo_Caja!BC9+Flujo_Caja!BC6-Flujo_Caja!BC14)*$B$6 - (Flujo_Caja!BC10+Flujo_Caja!BC11)*$C$6 - Flujo_Caja!BC12*$D$6</f>
        <v>717169366.9</v>
      </c>
      <c r="BD24" s="28">
        <f>(Flujo_Caja!BD9+Flujo_Caja!BD6-Flujo_Caja!BD14)*$B$6 - (Flujo_Caja!BD10+Flujo_Caja!BD11)*$C$6 - Flujo_Caja!BD12*$D$6</f>
        <v>718024035</v>
      </c>
      <c r="BE24" s="28">
        <f>(Flujo_Caja!BE9+Flujo_Caja!BE6-Flujo_Caja!BE14)*$B$6 - (Flujo_Caja!BE10+Flujo_Caja!BE11)*$C$6 - Flujo_Caja!BE12*$D$6</f>
        <v>718879764.2</v>
      </c>
      <c r="BF24" s="28">
        <f>(Flujo_Caja!BF9+Flujo_Caja!BF6-Flujo_Caja!BF14)*$B$6 - (Flujo_Caja!BF10+Flujo_Caja!BF11)*$C$6 - Flujo_Caja!BF12*$D$6</f>
        <v>719736555.7</v>
      </c>
      <c r="BG24" s="28">
        <f>(Flujo_Caja!BG9+Flujo_Caja!BG6-Flujo_Caja!BG14)*$B$6 - (Flujo_Caja!BG10+Flujo_Caja!BG11)*$C$6 - Flujo_Caja!BG12*$D$6</f>
        <v>720594410.9</v>
      </c>
      <c r="BH24" s="28">
        <f>(Flujo_Caja!BH9+Flujo_Caja!BH6-Flujo_Caja!BH14)*$B$6 - (Flujo_Caja!BH10+Flujo_Caja!BH11)*$C$6 - Flujo_Caja!BH12*$D$6</f>
        <v>721453331.2</v>
      </c>
      <c r="BI24" s="28">
        <f>(Flujo_Caja!BI9+Flujo_Caja!BI6-Flujo_Caja!BI14)*$B$6 - (Flujo_Caja!BI10+Flujo_Caja!BI11)*$C$6 - Flujo_Caja!BI12*$D$6</f>
        <v>722313317.8</v>
      </c>
      <c r="BJ24" s="28">
        <f>(Flujo_Caja!BJ9+Flujo_Caja!BJ6-Flujo_Caja!BJ14)*$B$6 - (Flujo_Caja!BJ10+Flujo_Caja!BJ11)*$C$6 - Flujo_Caja!BJ12*$D$6</f>
        <v>723174372.1</v>
      </c>
    </row>
    <row r="25" ht="15.75" customHeight="1">
      <c r="B25" s="22" t="s">
        <v>676</v>
      </c>
      <c r="C25" s="28">
        <f t="shared" ref="C25:BJ25" si="7">1/(1+($E$6) )^(C11/12)</f>
        <v>0.9877078397</v>
      </c>
      <c r="D25" s="28">
        <f t="shared" si="7"/>
        <v>0.9755667766</v>
      </c>
      <c r="E25" s="28">
        <f t="shared" si="7"/>
        <v>0.9635749534</v>
      </c>
      <c r="F25" s="28">
        <f t="shared" si="7"/>
        <v>0.9517305357</v>
      </c>
      <c r="G25" s="28">
        <f t="shared" si="7"/>
        <v>0.9400317114</v>
      </c>
      <c r="H25" s="28">
        <f t="shared" si="7"/>
        <v>0.9284766909</v>
      </c>
      <c r="I25" s="28">
        <f t="shared" si="7"/>
        <v>0.9170637066</v>
      </c>
      <c r="J25" s="28">
        <f t="shared" si="7"/>
        <v>0.9057910125</v>
      </c>
      <c r="K25" s="28">
        <f t="shared" si="7"/>
        <v>0.8946568842</v>
      </c>
      <c r="L25" s="28">
        <f t="shared" si="7"/>
        <v>0.8836596184</v>
      </c>
      <c r="M25" s="28">
        <f t="shared" si="7"/>
        <v>0.8727975327</v>
      </c>
      <c r="N25" s="28">
        <f t="shared" si="7"/>
        <v>0.8620689655</v>
      </c>
      <c r="O25" s="28">
        <f t="shared" si="7"/>
        <v>0.8514722756</v>
      </c>
      <c r="P25" s="28">
        <f t="shared" si="7"/>
        <v>0.8410058419</v>
      </c>
      <c r="Q25" s="28">
        <f t="shared" si="7"/>
        <v>0.8306680633</v>
      </c>
      <c r="R25" s="28">
        <f t="shared" si="7"/>
        <v>0.8204573583</v>
      </c>
      <c r="S25" s="28">
        <f t="shared" si="7"/>
        <v>0.810372165</v>
      </c>
      <c r="T25" s="28">
        <f t="shared" si="7"/>
        <v>0.8004109404</v>
      </c>
      <c r="U25" s="28">
        <f t="shared" si="7"/>
        <v>0.7905721608</v>
      </c>
      <c r="V25" s="28">
        <f t="shared" si="7"/>
        <v>0.7808543211</v>
      </c>
      <c r="W25" s="28">
        <f t="shared" si="7"/>
        <v>0.7712559346</v>
      </c>
      <c r="X25" s="28">
        <f t="shared" si="7"/>
        <v>0.7617755331</v>
      </c>
      <c r="Y25" s="28">
        <f t="shared" si="7"/>
        <v>0.7524116661</v>
      </c>
      <c r="Z25" s="28">
        <f t="shared" si="7"/>
        <v>0.7431629013</v>
      </c>
      <c r="AA25" s="28">
        <f t="shared" si="7"/>
        <v>0.7340278238</v>
      </c>
      <c r="AB25" s="28">
        <f t="shared" si="7"/>
        <v>0.7250050361</v>
      </c>
      <c r="AC25" s="28">
        <f t="shared" si="7"/>
        <v>0.716093158</v>
      </c>
      <c r="AD25" s="28">
        <f t="shared" si="7"/>
        <v>0.7072908261</v>
      </c>
      <c r="AE25" s="28">
        <f t="shared" si="7"/>
        <v>0.6985966939</v>
      </c>
      <c r="AF25" s="28">
        <f t="shared" si="7"/>
        <v>0.6900094314</v>
      </c>
      <c r="AG25" s="28">
        <f t="shared" si="7"/>
        <v>0.6815277249</v>
      </c>
      <c r="AH25" s="28">
        <f t="shared" si="7"/>
        <v>0.6731502768</v>
      </c>
      <c r="AI25" s="28">
        <f t="shared" si="7"/>
        <v>0.6648758057</v>
      </c>
      <c r="AJ25" s="28">
        <f t="shared" si="7"/>
        <v>0.6567030457</v>
      </c>
      <c r="AK25" s="28">
        <f t="shared" si="7"/>
        <v>0.6486307466</v>
      </c>
      <c r="AL25" s="28">
        <f t="shared" si="7"/>
        <v>0.6406576735</v>
      </c>
      <c r="AM25" s="28">
        <f t="shared" si="7"/>
        <v>0.6327826067</v>
      </c>
      <c r="AN25" s="28">
        <f t="shared" si="7"/>
        <v>0.6250043415</v>
      </c>
      <c r="AO25" s="28">
        <f t="shared" si="7"/>
        <v>0.6173216879</v>
      </c>
      <c r="AP25" s="28">
        <f t="shared" si="7"/>
        <v>0.6097334708</v>
      </c>
      <c r="AQ25" s="28">
        <f t="shared" si="7"/>
        <v>0.6022385293</v>
      </c>
      <c r="AR25" s="28">
        <f t="shared" si="7"/>
        <v>0.5948357167</v>
      </c>
      <c r="AS25" s="28">
        <f t="shared" si="7"/>
        <v>0.5875239007</v>
      </c>
      <c r="AT25" s="28">
        <f t="shared" si="7"/>
        <v>0.5803019628</v>
      </c>
      <c r="AU25" s="28">
        <f t="shared" si="7"/>
        <v>0.573168798</v>
      </c>
      <c r="AV25" s="28">
        <f t="shared" si="7"/>
        <v>0.5661233153</v>
      </c>
      <c r="AW25" s="28">
        <f t="shared" si="7"/>
        <v>0.5591644368</v>
      </c>
      <c r="AX25" s="28">
        <f t="shared" si="7"/>
        <v>0.5522910979</v>
      </c>
      <c r="AY25" s="28">
        <f t="shared" si="7"/>
        <v>0.5455022472</v>
      </c>
      <c r="AZ25" s="28">
        <f t="shared" si="7"/>
        <v>0.5387968461</v>
      </c>
      <c r="BA25" s="28">
        <f t="shared" si="7"/>
        <v>0.5321738689</v>
      </c>
      <c r="BB25" s="28">
        <f t="shared" si="7"/>
        <v>0.5256323024</v>
      </c>
      <c r="BC25" s="28">
        <f t="shared" si="7"/>
        <v>0.5191711459</v>
      </c>
      <c r="BD25" s="28">
        <f t="shared" si="7"/>
        <v>0.512789411</v>
      </c>
      <c r="BE25" s="28">
        <f t="shared" si="7"/>
        <v>0.5064861213</v>
      </c>
      <c r="BF25" s="28">
        <f t="shared" si="7"/>
        <v>0.5002603127</v>
      </c>
      <c r="BG25" s="28">
        <f t="shared" si="7"/>
        <v>0.4941110328</v>
      </c>
      <c r="BH25" s="28">
        <f t="shared" si="7"/>
        <v>0.4880373408</v>
      </c>
      <c r="BI25" s="28">
        <f t="shared" si="7"/>
        <v>0.4820383076</v>
      </c>
      <c r="BJ25" s="28">
        <f t="shared" si="7"/>
        <v>0.4761130154</v>
      </c>
    </row>
    <row r="26" ht="15.75" customHeight="1">
      <c r="B26" s="22" t="s">
        <v>677</v>
      </c>
      <c r="C26" s="28">
        <f t="shared" ref="C26:BJ26" si="8">C24*C25</f>
        <v>-4084291819</v>
      </c>
      <c r="D26" s="28">
        <f t="shared" si="8"/>
        <v>-6940107567</v>
      </c>
      <c r="E26" s="28">
        <f t="shared" si="8"/>
        <v>-5135478997</v>
      </c>
      <c r="F26" s="28">
        <f t="shared" si="8"/>
        <v>-3728867796</v>
      </c>
      <c r="G26" s="28">
        <f t="shared" si="8"/>
        <v>427136824</v>
      </c>
      <c r="H26" s="28">
        <f t="shared" si="8"/>
        <v>629667770.6</v>
      </c>
      <c r="I26" s="28">
        <f t="shared" si="8"/>
        <v>622667180.2</v>
      </c>
      <c r="J26" s="28">
        <f t="shared" si="8"/>
        <v>615744460.1</v>
      </c>
      <c r="K26" s="28">
        <f t="shared" si="8"/>
        <v>608898743.8</v>
      </c>
      <c r="L26" s="28">
        <f t="shared" si="8"/>
        <v>602129174.2</v>
      </c>
      <c r="M26" s="28">
        <f t="shared" si="8"/>
        <v>595434903.9</v>
      </c>
      <c r="N26" s="28">
        <f t="shared" si="8"/>
        <v>588815094.8</v>
      </c>
      <c r="O26" s="28">
        <f t="shared" si="8"/>
        <v>582268918.3</v>
      </c>
      <c r="P26" s="28">
        <f t="shared" si="8"/>
        <v>575795554.8</v>
      </c>
      <c r="Q26" s="28">
        <f t="shared" si="8"/>
        <v>569394194.1</v>
      </c>
      <c r="R26" s="28">
        <f t="shared" si="8"/>
        <v>563064034.9</v>
      </c>
      <c r="S26" s="28">
        <f t="shared" si="8"/>
        <v>556804284.7</v>
      </c>
      <c r="T26" s="28">
        <f t="shared" si="8"/>
        <v>550614159.9</v>
      </c>
      <c r="U26" s="28">
        <f t="shared" si="8"/>
        <v>544492885.8</v>
      </c>
      <c r="V26" s="28">
        <f t="shared" si="8"/>
        <v>538439696.2</v>
      </c>
      <c r="W26" s="28">
        <f t="shared" si="8"/>
        <v>532453833.2</v>
      </c>
      <c r="X26" s="28">
        <f t="shared" si="8"/>
        <v>526534547.8</v>
      </c>
      <c r="Y26" s="28">
        <f t="shared" si="8"/>
        <v>520681099</v>
      </c>
      <c r="Z26" s="28">
        <f t="shared" si="8"/>
        <v>514892754.2</v>
      </c>
      <c r="AA26" s="28">
        <f t="shared" si="8"/>
        <v>509168788.8</v>
      </c>
      <c r="AB26" s="28">
        <f t="shared" si="8"/>
        <v>503508486.4</v>
      </c>
      <c r="AC26" s="28">
        <f t="shared" si="8"/>
        <v>497911138.6</v>
      </c>
      <c r="AD26" s="28">
        <f t="shared" si="8"/>
        <v>492376044.8</v>
      </c>
      <c r="AE26" s="28">
        <f t="shared" si="8"/>
        <v>486902512.3</v>
      </c>
      <c r="AF26" s="28">
        <f t="shared" si="8"/>
        <v>481489856</v>
      </c>
      <c r="AG26" s="28">
        <f t="shared" si="8"/>
        <v>476137398.5</v>
      </c>
      <c r="AH26" s="28">
        <f t="shared" si="8"/>
        <v>470844470</v>
      </c>
      <c r="AI26" s="28">
        <f t="shared" si="8"/>
        <v>465610407.9</v>
      </c>
      <c r="AJ26" s="28">
        <f t="shared" si="8"/>
        <v>460434557.3</v>
      </c>
      <c r="AK26" s="28">
        <f t="shared" si="8"/>
        <v>455316270.3</v>
      </c>
      <c r="AL26" s="28">
        <f t="shared" si="8"/>
        <v>450254906.6</v>
      </c>
      <c r="AM26" s="28">
        <f t="shared" si="8"/>
        <v>445249832.6</v>
      </c>
      <c r="AN26" s="28">
        <f t="shared" si="8"/>
        <v>440300422.1</v>
      </c>
      <c r="AO26" s="28">
        <f t="shared" si="8"/>
        <v>435406055.5</v>
      </c>
      <c r="AP26" s="28">
        <f t="shared" si="8"/>
        <v>430566120.5</v>
      </c>
      <c r="AQ26" s="28">
        <f t="shared" si="8"/>
        <v>425780011.4</v>
      </c>
      <c r="AR26" s="28">
        <f t="shared" si="8"/>
        <v>421047129.3</v>
      </c>
      <c r="AS26" s="28">
        <f t="shared" si="8"/>
        <v>416366881.8</v>
      </c>
      <c r="AT26" s="28">
        <f t="shared" si="8"/>
        <v>411738683.5</v>
      </c>
      <c r="AU26" s="28">
        <f t="shared" si="8"/>
        <v>407161955</v>
      </c>
      <c r="AV26" s="28">
        <f t="shared" si="8"/>
        <v>402636123.7</v>
      </c>
      <c r="AW26" s="28">
        <f t="shared" si="8"/>
        <v>398160623.4</v>
      </c>
      <c r="AX26" s="28">
        <f t="shared" si="8"/>
        <v>393734893.9</v>
      </c>
      <c r="AY26" s="28">
        <f t="shared" si="8"/>
        <v>389358381.5</v>
      </c>
      <c r="AZ26" s="28">
        <f t="shared" si="8"/>
        <v>385030538.7</v>
      </c>
      <c r="BA26" s="28">
        <f t="shared" si="8"/>
        <v>380750823.8</v>
      </c>
      <c r="BB26" s="28">
        <f t="shared" si="8"/>
        <v>376518701.4</v>
      </c>
      <c r="BC26" s="28">
        <f t="shared" si="8"/>
        <v>372333642</v>
      </c>
      <c r="BD26" s="28">
        <f t="shared" si="8"/>
        <v>368195122</v>
      </c>
      <c r="BE26" s="28">
        <f t="shared" si="8"/>
        <v>364102623.5</v>
      </c>
      <c r="BF26" s="28">
        <f t="shared" si="8"/>
        <v>360055634.5</v>
      </c>
      <c r="BG26" s="28">
        <f t="shared" si="8"/>
        <v>356053648.6</v>
      </c>
      <c r="BH26" s="28">
        <f t="shared" si="8"/>
        <v>352096165.3</v>
      </c>
      <c r="BI26" s="28">
        <f t="shared" si="8"/>
        <v>348182689.2</v>
      </c>
      <c r="BJ26" s="28">
        <f t="shared" si="8"/>
        <v>344312731</v>
      </c>
    </row>
    <row r="27" ht="15.75" customHeight="1">
      <c r="B27" s="22" t="s">
        <v>678</v>
      </c>
      <c r="C27" s="28">
        <f>C26</f>
        <v>-4084291819</v>
      </c>
      <c r="D27" s="28">
        <f t="shared" ref="D27:BJ27" si="9">C27+D26</f>
        <v>-11024399386</v>
      </c>
      <c r="E27" s="28">
        <f t="shared" si="9"/>
        <v>-16159878383</v>
      </c>
      <c r="F27" s="28">
        <f t="shared" si="9"/>
        <v>-19888746179</v>
      </c>
      <c r="G27" s="28">
        <f t="shared" si="9"/>
        <v>-19461609355</v>
      </c>
      <c r="H27" s="28">
        <f t="shared" si="9"/>
        <v>-18831941585</v>
      </c>
      <c r="I27" s="28">
        <f t="shared" si="9"/>
        <v>-18209274405</v>
      </c>
      <c r="J27" s="28">
        <f t="shared" si="9"/>
        <v>-17593529944</v>
      </c>
      <c r="K27" s="28">
        <f t="shared" si="9"/>
        <v>-16984631201</v>
      </c>
      <c r="L27" s="28">
        <f t="shared" si="9"/>
        <v>-16382502026</v>
      </c>
      <c r="M27" s="28">
        <f t="shared" si="9"/>
        <v>-15787067122</v>
      </c>
      <c r="N27" s="28">
        <f t="shared" si="9"/>
        <v>-15198252028</v>
      </c>
      <c r="O27" s="28">
        <f t="shared" si="9"/>
        <v>-14615983109</v>
      </c>
      <c r="P27" s="28">
        <f t="shared" si="9"/>
        <v>-14040187554</v>
      </c>
      <c r="Q27" s="28">
        <f t="shared" si="9"/>
        <v>-13470793360</v>
      </c>
      <c r="R27" s="28">
        <f t="shared" si="9"/>
        <v>-12907729325</v>
      </c>
      <c r="S27" s="28">
        <f t="shared" si="9"/>
        <v>-12350925041</v>
      </c>
      <c r="T27" s="28">
        <f t="shared" si="9"/>
        <v>-11800310881</v>
      </c>
      <c r="U27" s="28">
        <f t="shared" si="9"/>
        <v>-11255817995</v>
      </c>
      <c r="V27" s="28">
        <f t="shared" si="9"/>
        <v>-10717378299</v>
      </c>
      <c r="W27" s="28">
        <f t="shared" si="9"/>
        <v>-10184924466</v>
      </c>
      <c r="X27" s="28">
        <f t="shared" si="9"/>
        <v>-9658389918</v>
      </c>
      <c r="Y27" s="28">
        <f t="shared" si="9"/>
        <v>-9137708819</v>
      </c>
      <c r="Z27" s="28">
        <f t="shared" si="9"/>
        <v>-8622816065</v>
      </c>
      <c r="AA27" s="28">
        <f t="shared" si="9"/>
        <v>-8113647276</v>
      </c>
      <c r="AB27" s="28">
        <f t="shared" si="9"/>
        <v>-7610138789</v>
      </c>
      <c r="AC27" s="28">
        <f t="shared" si="9"/>
        <v>-7112227651</v>
      </c>
      <c r="AD27" s="28">
        <f t="shared" si="9"/>
        <v>-6619851606</v>
      </c>
      <c r="AE27" s="28">
        <f t="shared" si="9"/>
        <v>-6132949094</v>
      </c>
      <c r="AF27" s="28">
        <f t="shared" si="9"/>
        <v>-5651459238</v>
      </c>
      <c r="AG27" s="28">
        <f t="shared" si="9"/>
        <v>-5175321839</v>
      </c>
      <c r="AH27" s="28">
        <f t="shared" si="9"/>
        <v>-4704477369</v>
      </c>
      <c r="AI27" s="28">
        <f t="shared" si="9"/>
        <v>-4238866961</v>
      </c>
      <c r="AJ27" s="28">
        <f t="shared" si="9"/>
        <v>-3778432404</v>
      </c>
      <c r="AK27" s="28">
        <f t="shared" si="9"/>
        <v>-3323116134</v>
      </c>
      <c r="AL27" s="28">
        <f t="shared" si="9"/>
        <v>-2872861227</v>
      </c>
      <c r="AM27" s="28">
        <f t="shared" si="9"/>
        <v>-2427611395</v>
      </c>
      <c r="AN27" s="28">
        <f t="shared" si="9"/>
        <v>-1987310972</v>
      </c>
      <c r="AO27" s="28">
        <f t="shared" si="9"/>
        <v>-1551904917</v>
      </c>
      <c r="AP27" s="28">
        <f t="shared" si="9"/>
        <v>-1121338796</v>
      </c>
      <c r="AQ27" s="28">
        <f t="shared" si="9"/>
        <v>-695558785</v>
      </c>
      <c r="AR27" s="28">
        <f t="shared" si="9"/>
        <v>-274511655.7</v>
      </c>
      <c r="AS27" s="28">
        <f t="shared" si="9"/>
        <v>141855226.1</v>
      </c>
      <c r="AT27" s="28">
        <f t="shared" si="9"/>
        <v>553593909.6</v>
      </c>
      <c r="AU27" s="28">
        <f t="shared" si="9"/>
        <v>960755864.6</v>
      </c>
      <c r="AV27" s="28">
        <f t="shared" si="9"/>
        <v>1363391988</v>
      </c>
      <c r="AW27" s="28">
        <f t="shared" si="9"/>
        <v>1761552612</v>
      </c>
      <c r="AX27" s="28">
        <f t="shared" si="9"/>
        <v>2155287506</v>
      </c>
      <c r="AY27" s="28">
        <f t="shared" si="9"/>
        <v>2544645887</v>
      </c>
      <c r="AZ27" s="28">
        <f t="shared" si="9"/>
        <v>2929676426</v>
      </c>
      <c r="BA27" s="28">
        <f t="shared" si="9"/>
        <v>3310427250</v>
      </c>
      <c r="BB27" s="28">
        <f t="shared" si="9"/>
        <v>3686945951</v>
      </c>
      <c r="BC27" s="28">
        <f t="shared" si="9"/>
        <v>4059279593</v>
      </c>
      <c r="BD27" s="28">
        <f t="shared" si="9"/>
        <v>4427474715</v>
      </c>
      <c r="BE27" s="28">
        <f t="shared" si="9"/>
        <v>4791577338</v>
      </c>
      <c r="BF27" s="28">
        <f t="shared" si="9"/>
        <v>5151632973</v>
      </c>
      <c r="BG27" s="28">
        <f t="shared" si="9"/>
        <v>5507686621</v>
      </c>
      <c r="BH27" s="28">
        <f t="shared" si="9"/>
        <v>5859782787</v>
      </c>
      <c r="BI27" s="28">
        <f t="shared" si="9"/>
        <v>6207965476</v>
      </c>
      <c r="BJ27" s="28">
        <f t="shared" si="9"/>
        <v>6552278207</v>
      </c>
    </row>
    <row r="28" ht="15.75" customHeight="1">
      <c r="B28" s="22" t="s">
        <v>691</v>
      </c>
    </row>
    <row r="29" ht="15.75" customHeight="1"/>
    <row r="30" ht="15.75" customHeight="1"/>
    <row r="31" ht="15.75" customHeight="1">
      <c r="A31" s="4" t="s">
        <v>692</v>
      </c>
      <c r="B31" s="4" t="s">
        <v>693</v>
      </c>
      <c r="C31" s="4" t="s">
        <v>694</v>
      </c>
    </row>
    <row r="32" ht="15.75" customHeight="1">
      <c r="A32" s="22" t="s">
        <v>695</v>
      </c>
      <c r="B32" s="22" t="s">
        <v>696</v>
      </c>
      <c r="C32" s="28">
        <f>F5 + 0.1*(CAPEX_Benchmark!$J$31+Licencias!$H$13)</f>
        <v>4390747454</v>
      </c>
    </row>
    <row r="33" ht="15.75" customHeight="1">
      <c r="A33" s="22" t="s">
        <v>695</v>
      </c>
      <c r="B33" s="22" t="s">
        <v>697</v>
      </c>
      <c r="C33" s="28">
        <f>F5 - 0.1*(CAPEX_Benchmark!$J$31+Licencias!$H$13)</f>
        <v>-29242018.01</v>
      </c>
    </row>
    <row r="34" ht="15.75" customHeight="1">
      <c r="A34" s="22" t="s">
        <v>698</v>
      </c>
      <c r="B34" s="22" t="s">
        <v>699</v>
      </c>
      <c r="C34" s="28">
        <f>F5*0.95</f>
        <v>2071715082</v>
      </c>
    </row>
    <row r="35" ht="15.75" customHeight="1">
      <c r="A35" s="22" t="s">
        <v>698</v>
      </c>
      <c r="B35" s="22" t="s">
        <v>700</v>
      </c>
      <c r="C35" s="28">
        <f>F5*1.05</f>
        <v>2289790354</v>
      </c>
    </row>
    <row r="36" ht="15.75" customHeight="1">
      <c r="A36" s="22" t="s">
        <v>701</v>
      </c>
      <c r="B36" s="22" t="s">
        <v>702</v>
      </c>
      <c r="C36" s="28">
        <f>F5*1.08</f>
        <v>2355212935</v>
      </c>
    </row>
    <row r="37" ht="15.75" customHeight="1">
      <c r="A37" s="22" t="s">
        <v>701</v>
      </c>
      <c r="B37" s="22" t="s">
        <v>703</v>
      </c>
      <c r="C37" s="28">
        <f>F5*0.92</f>
        <v>2006292500</v>
      </c>
    </row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">
    <mergeCell ref="A1:H1"/>
  </mergeCells>
  <printOptions/>
  <pageMargins bottom="0.75" footer="0.0" header="0.0" left="0.7" right="0.7" top="0.75"/>
  <pageSetup orientation="landscape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2" width="18.0"/>
    <col customWidth="1" min="13" max="26" width="8.63"/>
  </cols>
  <sheetData>
    <row r="1">
      <c r="A1" s="25" t="s">
        <v>704</v>
      </c>
    </row>
    <row r="3">
      <c r="A3" s="55" t="s">
        <v>705</v>
      </c>
      <c r="D3" s="55" t="s">
        <v>706</v>
      </c>
      <c r="G3" s="55" t="s">
        <v>707</v>
      </c>
      <c r="J3" s="55" t="s">
        <v>708</v>
      </c>
    </row>
    <row r="7">
      <c r="D7" s="55" t="s">
        <v>709</v>
      </c>
      <c r="J7" s="55" t="s">
        <v>710</v>
      </c>
    </row>
    <row r="11">
      <c r="A11" s="55" t="s">
        <v>711</v>
      </c>
      <c r="D11" s="55" t="s">
        <v>712</v>
      </c>
      <c r="G11" s="55" t="s">
        <v>713</v>
      </c>
    </row>
    <row r="16">
      <c r="A16" s="2" t="s">
        <v>714</v>
      </c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</row>
    <row r="17">
      <c r="A17" s="3" t="s">
        <v>715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</row>
    <row r="18">
      <c r="A18" s="3" t="s">
        <v>716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</row>
    <row r="19">
      <c r="A19" s="3" t="s">
        <v>717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</row>
    <row r="20">
      <c r="A20" s="3" t="s">
        <v>718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0">
    <mergeCell ref="A11:C14"/>
    <mergeCell ref="D11:F14"/>
    <mergeCell ref="G11:L14"/>
    <mergeCell ref="A1:L1"/>
    <mergeCell ref="A3:C10"/>
    <mergeCell ref="D3:F6"/>
    <mergeCell ref="G3:I10"/>
    <mergeCell ref="J3:L6"/>
    <mergeCell ref="D7:F10"/>
    <mergeCell ref="J7:L10"/>
  </mergeCells>
  <printOptions/>
  <pageMargins bottom="0.75" footer="0.0" header="0.0" left="0.7" right="0.7" top="0.75"/>
  <pageSetup orientation="landscape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18.0"/>
    <col customWidth="1" min="2" max="3" width="24.0"/>
    <col customWidth="1" min="4" max="4" width="44.0"/>
    <col customWidth="1" min="5" max="5" width="16.0"/>
    <col customWidth="1" min="6" max="7" width="24.0"/>
    <col customWidth="1" min="8" max="26" width="8.63"/>
  </cols>
  <sheetData>
    <row r="1">
      <c r="A1" s="56" t="s">
        <v>719</v>
      </c>
    </row>
    <row r="2" ht="30.0" customHeight="1">
      <c r="A2" s="57" t="s">
        <v>720</v>
      </c>
    </row>
    <row r="3">
      <c r="A3" s="58" t="s">
        <v>221</v>
      </c>
      <c r="B3" s="58" t="s">
        <v>721</v>
      </c>
      <c r="C3" s="58" t="s">
        <v>722</v>
      </c>
      <c r="D3" s="58" t="s">
        <v>723</v>
      </c>
      <c r="E3" s="58" t="s">
        <v>724</v>
      </c>
      <c r="F3" s="58" t="s">
        <v>725</v>
      </c>
      <c r="G3" s="58" t="s">
        <v>366</v>
      </c>
    </row>
    <row r="4">
      <c r="A4" s="59" t="s">
        <v>726</v>
      </c>
      <c r="B4" s="60" t="s">
        <v>727</v>
      </c>
      <c r="C4" s="60" t="s">
        <v>728</v>
      </c>
      <c r="D4" s="61" t="s">
        <v>729</v>
      </c>
      <c r="E4" s="60" t="s">
        <v>730</v>
      </c>
      <c r="F4" s="60" t="s">
        <v>731</v>
      </c>
      <c r="G4" s="60" t="s">
        <v>732</v>
      </c>
    </row>
    <row r="5">
      <c r="A5" s="59" t="s">
        <v>726</v>
      </c>
      <c r="B5" s="60" t="s">
        <v>733</v>
      </c>
      <c r="C5" s="60" t="s">
        <v>734</v>
      </c>
      <c r="D5" s="61" t="s">
        <v>735</v>
      </c>
      <c r="E5" s="60" t="s">
        <v>730</v>
      </c>
      <c r="F5" s="60" t="s">
        <v>731</v>
      </c>
      <c r="G5" s="60" t="s">
        <v>736</v>
      </c>
    </row>
    <row r="6">
      <c r="A6" s="59" t="s">
        <v>726</v>
      </c>
      <c r="B6" s="60" t="s">
        <v>737</v>
      </c>
      <c r="C6" s="60" t="s">
        <v>738</v>
      </c>
      <c r="D6" s="61" t="s">
        <v>739</v>
      </c>
      <c r="E6" s="60" t="s">
        <v>730</v>
      </c>
      <c r="F6" s="60" t="s">
        <v>740</v>
      </c>
      <c r="G6" s="60" t="s">
        <v>741</v>
      </c>
    </row>
    <row r="7">
      <c r="A7" s="59" t="s">
        <v>726</v>
      </c>
      <c r="B7" s="60" t="s">
        <v>742</v>
      </c>
      <c r="C7" s="60" t="s">
        <v>743</v>
      </c>
      <c r="D7" s="61" t="s">
        <v>744</v>
      </c>
      <c r="E7" s="60" t="s">
        <v>730</v>
      </c>
      <c r="F7" s="60" t="s">
        <v>745</v>
      </c>
      <c r="G7" s="60" t="s">
        <v>746</v>
      </c>
    </row>
    <row r="8">
      <c r="A8" s="59" t="s">
        <v>726</v>
      </c>
      <c r="B8" s="60" t="s">
        <v>747</v>
      </c>
      <c r="C8" s="60" t="s">
        <v>748</v>
      </c>
      <c r="D8" s="61" t="s">
        <v>749</v>
      </c>
      <c r="E8" s="60" t="s">
        <v>730</v>
      </c>
      <c r="F8" s="60" t="s">
        <v>750</v>
      </c>
      <c r="G8" s="60" t="s">
        <v>751</v>
      </c>
    </row>
    <row r="9">
      <c r="A9" s="59" t="s">
        <v>752</v>
      </c>
      <c r="B9" s="60" t="s">
        <v>753</v>
      </c>
      <c r="C9" s="60" t="s">
        <v>754</v>
      </c>
      <c r="D9" s="61" t="s">
        <v>243</v>
      </c>
      <c r="E9" s="60" t="s">
        <v>730</v>
      </c>
      <c r="F9" s="60" t="s">
        <v>755</v>
      </c>
      <c r="G9" s="60" t="s">
        <v>756</v>
      </c>
    </row>
    <row r="10">
      <c r="A10" s="59" t="s">
        <v>752</v>
      </c>
      <c r="B10" s="60" t="s">
        <v>246</v>
      </c>
      <c r="C10" s="60" t="s">
        <v>757</v>
      </c>
      <c r="D10" s="61" t="s">
        <v>250</v>
      </c>
      <c r="E10" s="60" t="s">
        <v>730</v>
      </c>
      <c r="F10" s="60" t="s">
        <v>755</v>
      </c>
      <c r="G10" s="60" t="s">
        <v>756</v>
      </c>
    </row>
    <row r="11">
      <c r="A11" s="59" t="s">
        <v>752</v>
      </c>
      <c r="B11" s="60" t="s">
        <v>252</v>
      </c>
      <c r="C11" s="60" t="s">
        <v>758</v>
      </c>
      <c r="D11" s="61" t="s">
        <v>255</v>
      </c>
      <c r="E11" s="60" t="s">
        <v>730</v>
      </c>
      <c r="F11" s="60" t="s">
        <v>755</v>
      </c>
      <c r="G11" s="60" t="s">
        <v>756</v>
      </c>
    </row>
    <row r="12">
      <c r="A12" s="59" t="s">
        <v>752</v>
      </c>
      <c r="B12" s="60" t="s">
        <v>759</v>
      </c>
      <c r="C12" s="60" t="s">
        <v>760</v>
      </c>
      <c r="D12" s="61" t="s">
        <v>260</v>
      </c>
      <c r="E12" s="60" t="s">
        <v>730</v>
      </c>
      <c r="F12" s="60" t="s">
        <v>755</v>
      </c>
      <c r="G12" s="60" t="s">
        <v>756</v>
      </c>
    </row>
    <row r="13">
      <c r="A13" s="59" t="s">
        <v>752</v>
      </c>
      <c r="B13" s="60" t="s">
        <v>761</v>
      </c>
      <c r="C13" s="60" t="s">
        <v>762</v>
      </c>
      <c r="D13" s="61" t="s">
        <v>266</v>
      </c>
      <c r="E13" s="60" t="s">
        <v>730</v>
      </c>
      <c r="F13" s="60" t="s">
        <v>755</v>
      </c>
      <c r="G13" s="60" t="s">
        <v>756</v>
      </c>
    </row>
    <row r="14">
      <c r="A14" s="59" t="s">
        <v>752</v>
      </c>
      <c r="B14" s="60" t="s">
        <v>763</v>
      </c>
      <c r="C14" s="60" t="s">
        <v>764</v>
      </c>
      <c r="D14" s="61" t="s">
        <v>271</v>
      </c>
      <c r="E14" s="60" t="s">
        <v>730</v>
      </c>
      <c r="F14" s="60" t="s">
        <v>755</v>
      </c>
      <c r="G14" s="60" t="s">
        <v>765</v>
      </c>
    </row>
    <row r="15">
      <c r="A15" s="59" t="s">
        <v>752</v>
      </c>
      <c r="B15" s="60" t="s">
        <v>274</v>
      </c>
      <c r="C15" s="60" t="s">
        <v>766</v>
      </c>
      <c r="D15" s="61" t="s">
        <v>277</v>
      </c>
      <c r="E15" s="60" t="s">
        <v>730</v>
      </c>
      <c r="F15" s="60" t="s">
        <v>755</v>
      </c>
      <c r="G15" s="60" t="s">
        <v>756</v>
      </c>
    </row>
    <row r="16">
      <c r="A16" s="59" t="s">
        <v>752</v>
      </c>
      <c r="B16" s="60" t="s">
        <v>279</v>
      </c>
      <c r="C16" s="60" t="s">
        <v>767</v>
      </c>
      <c r="D16" s="61" t="s">
        <v>281</v>
      </c>
      <c r="E16" s="60" t="s">
        <v>730</v>
      </c>
      <c r="F16" s="60" t="s">
        <v>755</v>
      </c>
      <c r="G16" s="60" t="s">
        <v>756</v>
      </c>
    </row>
    <row r="17">
      <c r="A17" s="59" t="s">
        <v>752</v>
      </c>
      <c r="B17" s="60" t="s">
        <v>768</v>
      </c>
      <c r="C17" s="60" t="s">
        <v>769</v>
      </c>
      <c r="D17" s="61" t="s">
        <v>292</v>
      </c>
      <c r="E17" s="60" t="s">
        <v>730</v>
      </c>
      <c r="F17" s="60" t="s">
        <v>755</v>
      </c>
      <c r="G17" s="60" t="s">
        <v>756</v>
      </c>
    </row>
    <row r="18">
      <c r="A18" s="59" t="s">
        <v>752</v>
      </c>
      <c r="B18" s="60" t="s">
        <v>770</v>
      </c>
      <c r="C18" s="60" t="s">
        <v>771</v>
      </c>
      <c r="D18" s="61" t="s">
        <v>296</v>
      </c>
      <c r="E18" s="60" t="s">
        <v>730</v>
      </c>
      <c r="F18" s="60" t="s">
        <v>755</v>
      </c>
      <c r="G18" s="60" t="s">
        <v>756</v>
      </c>
    </row>
    <row r="19">
      <c r="A19" s="59" t="s">
        <v>752</v>
      </c>
      <c r="B19" s="60" t="s">
        <v>772</v>
      </c>
      <c r="C19" s="60" t="s">
        <v>773</v>
      </c>
      <c r="D19" s="61" t="s">
        <v>299</v>
      </c>
      <c r="E19" s="60" t="s">
        <v>730</v>
      </c>
      <c r="F19" s="60" t="s">
        <v>755</v>
      </c>
      <c r="G19" s="60" t="s">
        <v>756</v>
      </c>
    </row>
    <row r="20">
      <c r="A20" s="59" t="s">
        <v>774</v>
      </c>
      <c r="B20" s="60" t="s">
        <v>775</v>
      </c>
      <c r="C20" s="60" t="s">
        <v>776</v>
      </c>
      <c r="D20" s="61" t="s">
        <v>309</v>
      </c>
      <c r="E20" s="60" t="s">
        <v>730</v>
      </c>
      <c r="F20" s="60" t="s">
        <v>755</v>
      </c>
      <c r="G20" s="60" t="s">
        <v>777</v>
      </c>
    </row>
    <row r="21" ht="15.75" customHeight="1">
      <c r="A21" s="59" t="s">
        <v>774</v>
      </c>
      <c r="B21" s="60" t="s">
        <v>778</v>
      </c>
      <c r="C21" s="60" t="s">
        <v>779</v>
      </c>
      <c r="D21" s="61" t="s">
        <v>314</v>
      </c>
      <c r="E21" s="60" t="s">
        <v>730</v>
      </c>
      <c r="F21" s="60" t="s">
        <v>755</v>
      </c>
      <c r="G21" s="60" t="s">
        <v>777</v>
      </c>
    </row>
    <row r="22" ht="15.75" customHeight="1">
      <c r="A22" s="59" t="s">
        <v>774</v>
      </c>
      <c r="B22" s="60" t="s">
        <v>780</v>
      </c>
      <c r="C22" s="60" t="s">
        <v>781</v>
      </c>
      <c r="D22" s="61" t="s">
        <v>319</v>
      </c>
      <c r="E22" s="60" t="s">
        <v>730</v>
      </c>
      <c r="F22" s="60" t="s">
        <v>755</v>
      </c>
      <c r="G22" s="60" t="s">
        <v>782</v>
      </c>
    </row>
    <row r="23" ht="15.75" customHeight="1">
      <c r="A23" s="59" t="s">
        <v>774</v>
      </c>
      <c r="B23" s="60" t="s">
        <v>783</v>
      </c>
      <c r="C23" s="60" t="s">
        <v>784</v>
      </c>
      <c r="D23" s="61" t="s">
        <v>324</v>
      </c>
      <c r="E23" s="60" t="s">
        <v>730</v>
      </c>
      <c r="F23" s="60" t="s">
        <v>755</v>
      </c>
      <c r="G23" s="60" t="s">
        <v>785</v>
      </c>
    </row>
    <row r="24" ht="15.75" customHeight="1">
      <c r="A24" s="59" t="s">
        <v>774</v>
      </c>
      <c r="B24" s="60" t="s">
        <v>786</v>
      </c>
      <c r="C24" s="60" t="s">
        <v>325</v>
      </c>
      <c r="D24" s="61" t="s">
        <v>329</v>
      </c>
      <c r="E24" s="60" t="s">
        <v>730</v>
      </c>
      <c r="F24" s="60" t="s">
        <v>755</v>
      </c>
      <c r="G24" s="60" t="s">
        <v>787</v>
      </c>
    </row>
    <row r="25" ht="15.75" customHeight="1">
      <c r="A25" s="59" t="s">
        <v>774</v>
      </c>
      <c r="B25" s="60" t="s">
        <v>788</v>
      </c>
      <c r="C25" s="60" t="s">
        <v>789</v>
      </c>
      <c r="D25" s="61" t="s">
        <v>334</v>
      </c>
      <c r="E25" s="60" t="s">
        <v>730</v>
      </c>
      <c r="F25" s="60" t="s">
        <v>790</v>
      </c>
      <c r="G25" s="60" t="s">
        <v>791</v>
      </c>
    </row>
    <row r="26" ht="15.75" customHeight="1">
      <c r="A26" s="59" t="s">
        <v>792</v>
      </c>
      <c r="B26" s="60" t="s">
        <v>370</v>
      </c>
      <c r="C26" s="60" t="s">
        <v>793</v>
      </c>
      <c r="D26" s="61" t="s">
        <v>372</v>
      </c>
      <c r="E26" s="60" t="s">
        <v>730</v>
      </c>
      <c r="F26" s="60" t="s">
        <v>794</v>
      </c>
      <c r="G26" s="60" t="s">
        <v>795</v>
      </c>
    </row>
    <row r="27" ht="15.75" customHeight="1">
      <c r="A27" s="59" t="s">
        <v>792</v>
      </c>
      <c r="B27" s="60" t="s">
        <v>796</v>
      </c>
      <c r="C27" s="60" t="s">
        <v>797</v>
      </c>
      <c r="D27" s="61" t="s">
        <v>378</v>
      </c>
      <c r="E27" s="60" t="s">
        <v>730</v>
      </c>
      <c r="F27" s="60" t="s">
        <v>798</v>
      </c>
      <c r="G27" s="60" t="s">
        <v>799</v>
      </c>
    </row>
    <row r="28" ht="15.75" customHeight="1">
      <c r="A28" s="59" t="s">
        <v>792</v>
      </c>
      <c r="B28" s="60" t="s">
        <v>800</v>
      </c>
      <c r="C28" s="60" t="s">
        <v>801</v>
      </c>
      <c r="D28" s="61" t="s">
        <v>384</v>
      </c>
      <c r="E28" s="60" t="s">
        <v>802</v>
      </c>
      <c r="F28" s="60" t="s">
        <v>803</v>
      </c>
      <c r="G28" s="60" t="s">
        <v>804</v>
      </c>
    </row>
    <row r="29" ht="15.75" customHeight="1">
      <c r="A29" s="59" t="s">
        <v>792</v>
      </c>
      <c r="B29" s="60" t="s">
        <v>805</v>
      </c>
      <c r="C29" s="60" t="s">
        <v>806</v>
      </c>
      <c r="D29" s="61" t="s">
        <v>389</v>
      </c>
      <c r="E29" s="60" t="s">
        <v>807</v>
      </c>
      <c r="F29" s="60" t="s">
        <v>808</v>
      </c>
      <c r="G29" s="60" t="s">
        <v>809</v>
      </c>
    </row>
    <row r="30" ht="15.75" customHeight="1">
      <c r="A30" s="59" t="s">
        <v>792</v>
      </c>
      <c r="B30" s="60" t="s">
        <v>391</v>
      </c>
      <c r="C30" s="60" t="s">
        <v>392</v>
      </c>
      <c r="D30" s="61" t="s">
        <v>394</v>
      </c>
      <c r="E30" s="60" t="s">
        <v>802</v>
      </c>
      <c r="F30" s="60" t="s">
        <v>810</v>
      </c>
      <c r="G30" s="60" t="s">
        <v>811</v>
      </c>
    </row>
    <row r="31" ht="15.75" customHeight="1">
      <c r="A31" s="59" t="s">
        <v>792</v>
      </c>
      <c r="B31" s="60" t="s">
        <v>812</v>
      </c>
      <c r="C31" s="60" t="s">
        <v>397</v>
      </c>
      <c r="D31" s="61" t="s">
        <v>398</v>
      </c>
      <c r="E31" s="60" t="s">
        <v>802</v>
      </c>
      <c r="F31" s="60" t="s">
        <v>810</v>
      </c>
      <c r="G31" s="60" t="s">
        <v>811</v>
      </c>
    </row>
    <row r="32" ht="15.75" customHeight="1">
      <c r="A32" s="59" t="s">
        <v>792</v>
      </c>
      <c r="B32" s="60" t="s">
        <v>813</v>
      </c>
      <c r="C32" s="60" t="s">
        <v>814</v>
      </c>
      <c r="D32" s="61" t="s">
        <v>403</v>
      </c>
      <c r="E32" s="60" t="s">
        <v>802</v>
      </c>
      <c r="F32" s="60" t="s">
        <v>803</v>
      </c>
      <c r="G32" s="60" t="s">
        <v>815</v>
      </c>
    </row>
    <row r="33" ht="15.75" customHeight="1">
      <c r="A33" s="59" t="s">
        <v>816</v>
      </c>
      <c r="B33" s="60" t="s">
        <v>817</v>
      </c>
      <c r="C33" s="60" t="s">
        <v>818</v>
      </c>
      <c r="D33" s="61" t="s">
        <v>341</v>
      </c>
      <c r="E33" s="60" t="s">
        <v>730</v>
      </c>
      <c r="F33" s="60" t="s">
        <v>755</v>
      </c>
      <c r="G33" s="60" t="s">
        <v>819</v>
      </c>
    </row>
    <row r="34" ht="15.75" customHeight="1">
      <c r="A34" s="59" t="s">
        <v>816</v>
      </c>
      <c r="B34" s="60" t="s">
        <v>820</v>
      </c>
      <c r="C34" s="60" t="s">
        <v>821</v>
      </c>
      <c r="D34" s="61" t="s">
        <v>345</v>
      </c>
      <c r="E34" s="60" t="s">
        <v>730</v>
      </c>
      <c r="F34" s="60" t="s">
        <v>755</v>
      </c>
      <c r="G34" s="60" t="s">
        <v>822</v>
      </c>
    </row>
    <row r="35" ht="15.75" customHeight="1">
      <c r="A35" s="59" t="s">
        <v>816</v>
      </c>
      <c r="B35" s="60" t="s">
        <v>823</v>
      </c>
      <c r="C35" s="60" t="s">
        <v>824</v>
      </c>
      <c r="D35" s="61" t="s">
        <v>350</v>
      </c>
      <c r="E35" s="60" t="s">
        <v>730</v>
      </c>
      <c r="F35" s="60" t="s">
        <v>755</v>
      </c>
      <c r="G35" s="60" t="s">
        <v>825</v>
      </c>
    </row>
    <row r="36" ht="15.75" customHeight="1">
      <c r="A36" s="62"/>
      <c r="B36" s="3"/>
      <c r="C36" s="3"/>
      <c r="D36" s="33"/>
      <c r="E36" s="3"/>
    </row>
    <row r="37" ht="15.75" customHeight="1">
      <c r="A37" s="62"/>
      <c r="B37" s="3"/>
      <c r="C37" s="3"/>
      <c r="D37" s="33"/>
      <c r="E37" s="3"/>
    </row>
    <row r="38" ht="15.75" customHeight="1">
      <c r="A38" s="62"/>
      <c r="B38" s="3"/>
      <c r="C38" s="3"/>
      <c r="D38" s="33"/>
      <c r="E38" s="3"/>
    </row>
    <row r="39" ht="15.75" customHeight="1">
      <c r="A39" s="62"/>
      <c r="B39" s="3"/>
      <c r="C39" s="3"/>
      <c r="D39" s="33"/>
      <c r="E39" s="3"/>
    </row>
    <row r="40" ht="15.75" customHeight="1">
      <c r="A40" s="62"/>
      <c r="B40" s="3"/>
      <c r="C40" s="3"/>
      <c r="D40" s="33"/>
      <c r="E40" s="3"/>
    </row>
    <row r="41" ht="15.75" customHeight="1">
      <c r="A41" s="3"/>
      <c r="B41" s="3"/>
      <c r="C41" s="3"/>
      <c r="D41" s="33"/>
      <c r="E41" s="3"/>
    </row>
    <row r="42" ht="15.75" customHeight="1">
      <c r="A42" s="3"/>
      <c r="B42" s="3"/>
      <c r="C42" s="3"/>
      <c r="D42" s="33"/>
      <c r="E42" s="3"/>
    </row>
    <row r="43" ht="15.75" customHeight="1">
      <c r="A43" s="3"/>
      <c r="B43" s="3"/>
      <c r="C43" s="3"/>
      <c r="D43" s="33"/>
      <c r="E43" s="3"/>
    </row>
    <row r="44" ht="15.75" customHeight="1">
      <c r="A44" s="3"/>
      <c r="B44" s="3"/>
      <c r="C44" s="3"/>
      <c r="D44" s="33"/>
      <c r="E44" s="3"/>
    </row>
    <row r="45" ht="15.75" customHeight="1">
      <c r="A45" s="3"/>
      <c r="B45" s="3"/>
      <c r="C45" s="3"/>
      <c r="D45" s="33"/>
      <c r="E45" s="3"/>
    </row>
    <row r="46" ht="15.75" customHeight="1">
      <c r="A46" s="3"/>
      <c r="B46" s="3"/>
      <c r="C46" s="3"/>
      <c r="D46" s="33"/>
      <c r="E46" s="3"/>
    </row>
    <row r="47" ht="15.75" customHeight="1">
      <c r="A47" s="3"/>
      <c r="B47" s="3"/>
      <c r="C47" s="3"/>
      <c r="D47" s="33"/>
      <c r="E47" s="3"/>
    </row>
    <row r="48" ht="15.75" customHeight="1">
      <c r="D48" s="54"/>
    </row>
    <row r="49" ht="15.75" customHeight="1">
      <c r="D49" s="54"/>
    </row>
    <row r="50" ht="15.75" customHeight="1">
      <c r="D50" s="54"/>
    </row>
    <row r="51" ht="15.75" customHeight="1">
      <c r="D51" s="54"/>
    </row>
    <row r="52" ht="15.75" customHeight="1">
      <c r="D52" s="54"/>
    </row>
    <row r="53" ht="15.75" customHeight="1">
      <c r="D53" s="54"/>
    </row>
    <row r="54" ht="15.75" customHeight="1">
      <c r="D54" s="54"/>
    </row>
    <row r="55" ht="15.75" customHeight="1">
      <c r="D55" s="54"/>
    </row>
    <row r="56" ht="15.75" customHeight="1">
      <c r="D56" s="54"/>
    </row>
    <row r="57" ht="15.75" customHeight="1">
      <c r="D57" s="54"/>
    </row>
    <row r="58" ht="15.75" customHeight="1">
      <c r="D58" s="54"/>
    </row>
    <row r="59" ht="15.75" customHeight="1">
      <c r="D59" s="54"/>
    </row>
    <row r="60" ht="15.75" customHeight="1">
      <c r="D60" s="54"/>
    </row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2">
    <mergeCell ref="A1:G1"/>
    <mergeCell ref="A2:G2"/>
  </mergeCells>
  <printOptions/>
  <pageMargins bottom="0.75" footer="0.0" header="0.0" left="0.7" right="0.7" top="0.75"/>
  <pageSetup orientation="landscape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24.0"/>
    <col customWidth="1" min="2" max="2" width="22.0"/>
    <col customWidth="1" min="3" max="4" width="16.0"/>
    <col customWidth="1" min="5" max="5" width="28.0"/>
    <col customWidth="1" min="6" max="6" width="24.0"/>
    <col customWidth="1" min="7" max="8" width="16.0"/>
    <col customWidth="1" min="9" max="9" width="24.0"/>
    <col customWidth="1" min="10" max="10" width="22.0"/>
    <col customWidth="1" min="11" max="11" width="16.0"/>
    <col customWidth="1" min="12" max="17" width="14.0"/>
    <col customWidth="1" min="18" max="26" width="8.63"/>
  </cols>
  <sheetData>
    <row r="1" ht="24.0" customHeight="1">
      <c r="A1" s="63" t="s">
        <v>826</v>
      </c>
    </row>
    <row r="2" ht="31.5" customHeight="1">
      <c r="A2" s="64" t="s">
        <v>827</v>
      </c>
    </row>
    <row r="4">
      <c r="A4" s="65" t="s">
        <v>828</v>
      </c>
      <c r="E4" s="65" t="s">
        <v>829</v>
      </c>
      <c r="I4" s="65" t="s">
        <v>830</v>
      </c>
    </row>
    <row r="5" ht="19.5" customHeight="1">
      <c r="A5" s="66" t="s">
        <v>643</v>
      </c>
      <c r="B5" s="67">
        <f>Valoracion!B4</f>
        <v>0.18</v>
      </c>
      <c r="E5" s="66" t="s">
        <v>831</v>
      </c>
      <c r="F5" s="68">
        <f>CAPEX_Benchmark!J31</f>
        <v>22065297358</v>
      </c>
      <c r="I5" s="66" t="s">
        <v>832</v>
      </c>
      <c r="J5" s="69" t="s">
        <v>833</v>
      </c>
    </row>
    <row r="6" ht="19.5" customHeight="1">
      <c r="A6" s="66" t="s">
        <v>107</v>
      </c>
      <c r="B6" s="67">
        <f>Valoracion!B5</f>
        <v>0.01388843035</v>
      </c>
      <c r="E6" s="66" t="s">
        <v>834</v>
      </c>
      <c r="F6" s="68">
        <f>CAPEX_Benchmark!J32</f>
        <v>21822797358</v>
      </c>
      <c r="I6" s="66" t="s">
        <v>835</v>
      </c>
      <c r="J6" s="70">
        <f>COUNT(ER_Proyecto!G47:BJ47)</f>
        <v>56</v>
      </c>
    </row>
    <row r="7" ht="19.5" customHeight="1">
      <c r="A7" s="66" t="s">
        <v>651</v>
      </c>
      <c r="B7" s="71">
        <f>Valoracion!B6</f>
        <v>2180752718</v>
      </c>
      <c r="E7" s="66" t="s">
        <v>406</v>
      </c>
      <c r="F7" s="68">
        <f>Licencias!H13</f>
        <v>34650000</v>
      </c>
      <c r="I7" s="66" t="s">
        <v>672</v>
      </c>
      <c r="J7" s="67" t="str">
        <f>Valoracion!B13</f>
        <v>0,81 → 0,86</v>
      </c>
    </row>
    <row r="8" ht="19.5" customHeight="1">
      <c r="A8" s="66" t="s">
        <v>656</v>
      </c>
      <c r="B8" s="67">
        <f>Valoracion!B7</f>
        <v>0.0175088649</v>
      </c>
      <c r="E8" s="66" t="s">
        <v>407</v>
      </c>
      <c r="F8" s="68">
        <f>Licencias!I14</f>
        <v>14180736.67</v>
      </c>
      <c r="I8" s="66" t="s">
        <v>836</v>
      </c>
      <c r="J8" s="72" t="str">
        <f>Valoracion!B14</f>
        <v>Escenario ajustado: retrofit brownfield con continuidad operativa, monetización parcial del uplift técnico (31%) y ahorro RFQ/reuso de 3%; objetivo de payback simple cercano a 4 años.</v>
      </c>
    </row>
    <row r="9" ht="19.5" customHeight="1">
      <c r="A9" s="66" t="s">
        <v>660</v>
      </c>
      <c r="B9" s="67">
        <f>Valoracion!B8</f>
        <v>0.231568067</v>
      </c>
      <c r="E9" s="66" t="s">
        <v>837</v>
      </c>
      <c r="F9" s="68">
        <f>Personal!G10</f>
        <v>85915382</v>
      </c>
      <c r="I9" s="66" t="s">
        <v>838</v>
      </c>
      <c r="J9" s="73">
        <f>Demanda_Capacidad!H4</f>
        <v>1.675471698</v>
      </c>
    </row>
    <row r="10" ht="19.5" customHeight="1">
      <c r="A10" s="66" t="s">
        <v>839</v>
      </c>
      <c r="B10" s="69">
        <f>Valoracion!B9</f>
        <v>39</v>
      </c>
      <c r="E10" s="66" t="s">
        <v>840</v>
      </c>
      <c r="F10" s="68">
        <f>Personal!G13</f>
        <v>348647040</v>
      </c>
      <c r="I10" s="66" t="s">
        <v>841</v>
      </c>
      <c r="J10" s="73">
        <f>Demanda_Capacidad!H5</f>
        <v>3.108481815</v>
      </c>
    </row>
    <row r="11" ht="19.5" customHeight="1">
      <c r="A11" s="66" t="s">
        <v>842</v>
      </c>
      <c r="B11" s="69">
        <f>Valoracion!B10</f>
        <v>54</v>
      </c>
      <c r="E11" s="66" t="s">
        <v>843</v>
      </c>
      <c r="F11" s="74">
        <f>Flujo_Caja!BJ16</f>
        <v>14410833940</v>
      </c>
      <c r="I11" s="66" t="s">
        <v>844</v>
      </c>
      <c r="J11" s="73">
        <f>Demanda_Capacidad!H6</f>
        <v>6.044270195</v>
      </c>
    </row>
    <row r="12">
      <c r="A12" s="22" t="s">
        <v>845</v>
      </c>
      <c r="B12" s="22">
        <f>IFERROR(B10/12,"")</f>
        <v>3.25</v>
      </c>
      <c r="I12" s="22" t="s">
        <v>846</v>
      </c>
      <c r="J12" s="22" t="str">
        <f>TEXT(Supuestos!$B$41,"0%")&amp;" / "&amp;TEXT(Supuestos!$B$42,"0%")</f>
        <v>31% / 97%</v>
      </c>
    </row>
    <row r="14">
      <c r="A14" s="65" t="s">
        <v>847</v>
      </c>
    </row>
    <row r="15" ht="18.0" customHeight="1">
      <c r="A15" s="58" t="s">
        <v>848</v>
      </c>
      <c r="B15" s="58" t="s">
        <v>849</v>
      </c>
      <c r="C15" s="58" t="s">
        <v>850</v>
      </c>
      <c r="D15" s="58" t="s">
        <v>851</v>
      </c>
      <c r="E15" s="58" t="s">
        <v>852</v>
      </c>
      <c r="F15" s="58" t="s">
        <v>853</v>
      </c>
    </row>
    <row r="16" ht="18.0" customHeight="1">
      <c r="A16" s="59" t="s">
        <v>605</v>
      </c>
      <c r="B16" s="75">
        <f>SUM(ER_Proyecto!C47:N47)</f>
        <v>15982635404</v>
      </c>
      <c r="C16" s="75">
        <f>SUM(ER_Proyecto!O47:Z47)</f>
        <v>20897988115</v>
      </c>
      <c r="D16" s="75">
        <f>SUM(ER_Proyecto!AA47:AL47)</f>
        <v>21211457937</v>
      </c>
      <c r="E16" s="75">
        <f>SUM(ER_Proyecto!AM47:AX47)</f>
        <v>21529629806</v>
      </c>
      <c r="F16" s="75">
        <f>SUM(ER_Proyecto!AY47:BJ47)</f>
        <v>21852574253</v>
      </c>
    </row>
    <row r="17" ht="18.0" customHeight="1">
      <c r="A17" s="59" t="s">
        <v>611</v>
      </c>
      <c r="B17" s="75">
        <f>SUM(ER_Proyecto!C50:N50)</f>
        <v>8053914020</v>
      </c>
      <c r="C17" s="75">
        <f>SUM(ER_Proyecto!O50:Z50)</f>
        <v>10760744027</v>
      </c>
      <c r="D17" s="75">
        <f>SUM(ER_Proyecto!AA50:AL50)</f>
        <v>10935072412</v>
      </c>
      <c r="E17" s="75">
        <f>SUM(ER_Proyecto!AM50:AX50)</f>
        <v>11112015723</v>
      </c>
      <c r="F17" s="75">
        <f>SUM(ER_Proyecto!AY50:BJ50)</f>
        <v>11291613183</v>
      </c>
    </row>
    <row r="18" ht="18.0" customHeight="1">
      <c r="A18" s="59" t="s">
        <v>615</v>
      </c>
      <c r="B18" s="75">
        <f>SUM(ER_Proyecto!C52:N52)</f>
        <v>6361948775</v>
      </c>
      <c r="C18" s="75">
        <f>SUM(ER_Proyecto!O52:Z52)</f>
        <v>8222796160</v>
      </c>
      <c r="D18" s="75">
        <f>SUM(ER_Proyecto!AA52:AL52)</f>
        <v>8397124545</v>
      </c>
      <c r="E18" s="75">
        <f>SUM(ER_Proyecto!AM52:AX52)</f>
        <v>8574067856</v>
      </c>
      <c r="F18" s="75">
        <f>SUM(ER_Proyecto!AY52:BJ52)</f>
        <v>8753665316</v>
      </c>
    </row>
    <row r="19" ht="18.0" customHeight="1">
      <c r="A19" s="59" t="s">
        <v>675</v>
      </c>
      <c r="B19" s="75">
        <f>SUM(Flujo_Caja!C15:N15)</f>
        <v>-17740891911</v>
      </c>
      <c r="C19" s="75">
        <f>SUM(Flujo_Caja!O15:Z15)</f>
        <v>7866622082</v>
      </c>
      <c r="D19" s="75">
        <f>SUM(Flujo_Caja!AA15:AL15)</f>
        <v>7979693383</v>
      </c>
      <c r="E19" s="75">
        <f>SUM(Flujo_Caja!AM15:AX15)</f>
        <v>8094460753</v>
      </c>
      <c r="F19" s="75">
        <f>SUM(Flujo_Caja!AY15:BJ15)</f>
        <v>8210949634</v>
      </c>
    </row>
    <row r="20" ht="18.0" customHeight="1">
      <c r="A20" s="59" t="s">
        <v>677</v>
      </c>
      <c r="B20" s="75">
        <f>SUM(Valoracion!C19:N19)</f>
        <v>-17548168375</v>
      </c>
      <c r="C20" s="75">
        <f>SUM(Valoracion!O19:Z19)</f>
        <v>6100669998</v>
      </c>
      <c r="D20" s="75">
        <f>SUM(Valoracion!AA19:AL19)</f>
        <v>5244370803</v>
      </c>
      <c r="E20" s="75">
        <f>SUM(Valoracion!AM19:AX19)</f>
        <v>4508302508</v>
      </c>
      <c r="F20" s="75">
        <f>SUM(Valoracion!AY19:BJ19)</f>
        <v>3875577784</v>
      </c>
    </row>
    <row r="21" ht="18.0" customHeight="1">
      <c r="A21" s="59" t="s">
        <v>854</v>
      </c>
      <c r="B21" s="75">
        <f>SUM(Flujo_Caja!C10:N10)+SUM(Flujo_Caja!C11:N11)+SUM(Flujo_Caja!C12:N12)</f>
        <v>22448594398</v>
      </c>
      <c r="C21" s="75">
        <f>SUM(Flujo_Caja!O10:Z10)+SUM(Flujo_Caja!O11:Z11)+SUM(Flujo_Caja!O12:Z12)</f>
        <v>0</v>
      </c>
      <c r="D21" s="75">
        <f>SUM(Flujo_Caja!AA10:AL10)+SUM(Flujo_Caja!AA11:AL11)+SUM(Flujo_Caja!AA12:AL12)</f>
        <v>0</v>
      </c>
      <c r="E21" s="75">
        <f>SUM(Flujo_Caja!AM10:AX10)+SUM(Flujo_Caja!AM11:AX11)+SUM(Flujo_Caja!AM12:AX12)</f>
        <v>0</v>
      </c>
      <c r="F21" s="75">
        <f>SUM(Flujo_Caja!AY10:BJ10)+SUM(Flujo_Caja!AY11:BJ11)+SUM(Flujo_Caja!AY12:BJ12)</f>
        <v>0</v>
      </c>
    </row>
    <row r="22" ht="18.0" customHeight="1">
      <c r="A22" s="76" t="s">
        <v>855</v>
      </c>
      <c r="B22" s="77">
        <f>Valoracion!N20</f>
        <v>-17548168375</v>
      </c>
      <c r="C22" s="77">
        <f>Valoracion!Z20</f>
        <v>-11447498377</v>
      </c>
      <c r="D22" s="77">
        <f>Valoracion!AL20</f>
        <v>-6203127574</v>
      </c>
      <c r="E22" s="77">
        <f>Valoracion!AX20</f>
        <v>-1694825066</v>
      </c>
      <c r="F22" s="77">
        <f>Valoracion!BJ20</f>
        <v>2180752718</v>
      </c>
    </row>
    <row r="23" ht="15.75" customHeight="1"/>
    <row r="24" ht="15.75" customHeight="1"/>
    <row r="25" ht="15.75" customHeight="1">
      <c r="A25" s="65" t="s">
        <v>856</v>
      </c>
    </row>
    <row r="26" ht="15.75" customHeight="1">
      <c r="A26" s="58" t="s">
        <v>682</v>
      </c>
      <c r="B26" s="58" t="s">
        <v>698</v>
      </c>
      <c r="C26" s="58" t="s">
        <v>695</v>
      </c>
      <c r="D26" s="58" t="s">
        <v>857</v>
      </c>
      <c r="E26" s="58" t="s">
        <v>643</v>
      </c>
      <c r="F26" s="58" t="s">
        <v>858</v>
      </c>
      <c r="G26" s="58" t="s">
        <v>656</v>
      </c>
      <c r="H26" s="58" t="s">
        <v>656</v>
      </c>
    </row>
    <row r="27" ht="15.75" customHeight="1">
      <c r="A27" s="59" t="s">
        <v>688</v>
      </c>
      <c r="B27" s="78">
        <f>Sensibilidad!B4</f>
        <v>0.95</v>
      </c>
      <c r="C27" s="78">
        <f>Sensibilidad!C4</f>
        <v>1.15</v>
      </c>
      <c r="D27" s="78">
        <f>Sensibilidad!D4</f>
        <v>1.05</v>
      </c>
      <c r="E27" s="78">
        <f>Sensibilidad!E4</f>
        <v>0.2</v>
      </c>
      <c r="F27" s="75">
        <f>Sensibilidad!F4</f>
        <v>-3070965997</v>
      </c>
      <c r="G27" s="78">
        <f>Sensibilidad!G4</f>
        <v>0.0104564512</v>
      </c>
      <c r="H27" s="78">
        <f t="shared" ref="H27:H29" si="1">(1+G27)^(12)-1</f>
        <v>0.1329512205</v>
      </c>
    </row>
    <row r="28" ht="15.75" customHeight="1">
      <c r="A28" s="59" t="s">
        <v>538</v>
      </c>
      <c r="B28" s="78">
        <f>Sensibilidad!B5</f>
        <v>1</v>
      </c>
      <c r="C28" s="78">
        <f>Sensibilidad!C5</f>
        <v>1</v>
      </c>
      <c r="D28" s="78">
        <f>Sensibilidad!D5</f>
        <v>1</v>
      </c>
      <c r="E28" s="78">
        <f>Sensibilidad!E5</f>
        <v>0.18</v>
      </c>
      <c r="F28" s="75">
        <f>Sensibilidad!F5</f>
        <v>2180752718</v>
      </c>
      <c r="G28" s="78">
        <f>Sensibilidad!G5</f>
        <v>0.0175088649</v>
      </c>
      <c r="H28" s="78">
        <f t="shared" si="1"/>
        <v>0.231568067</v>
      </c>
    </row>
    <row r="29" ht="15.75" customHeight="1">
      <c r="A29" s="59" t="s">
        <v>689</v>
      </c>
      <c r="B29" s="78">
        <f>Sensibilidad!B6</f>
        <v>1.05</v>
      </c>
      <c r="C29" s="78">
        <f>Sensibilidad!C6</f>
        <v>0.9</v>
      </c>
      <c r="D29" s="78">
        <f>Sensibilidad!D6</f>
        <v>0.95</v>
      </c>
      <c r="E29" s="78">
        <f>Sensibilidad!E6</f>
        <v>0.16</v>
      </c>
      <c r="F29" s="75">
        <f>Sensibilidad!F6</f>
        <v>6552278207</v>
      </c>
      <c r="G29" s="78">
        <f>Sensibilidad!G6</f>
        <v>0.02359265735</v>
      </c>
      <c r="H29" s="78">
        <f t="shared" si="1"/>
        <v>0.3228967278</v>
      </c>
    </row>
    <row r="30" ht="15.75" customHeight="1"/>
    <row r="31" ht="42.0" customHeight="1">
      <c r="A31" s="79" t="s">
        <v>859</v>
      </c>
    </row>
    <row r="32" ht="42.0" customHeight="1"/>
    <row r="33" ht="42.0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>
      <c r="M46" s="22" t="s">
        <v>849</v>
      </c>
      <c r="N46" s="22" t="s">
        <v>850</v>
      </c>
      <c r="O46" s="22" t="s">
        <v>851</v>
      </c>
      <c r="P46" s="22" t="s">
        <v>852</v>
      </c>
      <c r="Q46" s="22" t="s">
        <v>853</v>
      </c>
    </row>
    <row r="47" ht="15.75" customHeight="1">
      <c r="M47" s="80">
        <f t="shared" ref="M47:Q47" si="2">B22</f>
        <v>-17548168375</v>
      </c>
      <c r="N47" s="80">
        <f t="shared" si="2"/>
        <v>-11447498377</v>
      </c>
      <c r="O47" s="80">
        <f t="shared" si="2"/>
        <v>-6203127574</v>
      </c>
      <c r="P47" s="80">
        <f t="shared" si="2"/>
        <v>-1694825066</v>
      </c>
      <c r="Q47" s="80">
        <f t="shared" si="2"/>
        <v>2180752718</v>
      </c>
    </row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8">
    <mergeCell ref="A1:K1"/>
    <mergeCell ref="A2:K2"/>
    <mergeCell ref="A4:C4"/>
    <mergeCell ref="E4:G4"/>
    <mergeCell ref="I4:K4"/>
    <mergeCell ref="A14:G14"/>
    <mergeCell ref="A25:H25"/>
    <mergeCell ref="A31:K33"/>
  </mergeCells>
  <conditionalFormatting sqref="B7:B9">
    <cfRule type="expression" dxfId="0" priority="1">
      <formula>B7&lt;0</formula>
    </cfRule>
  </conditionalFormatting>
  <conditionalFormatting sqref="B7:B9">
    <cfRule type="expression" dxfId="1" priority="2">
      <formula>B7&gt;0</formula>
    </cfRule>
  </conditionalFormatting>
  <conditionalFormatting sqref="F5:F11">
    <cfRule type="expression" dxfId="0" priority="3">
      <formula>F5&lt;0</formula>
    </cfRule>
  </conditionalFormatting>
  <conditionalFormatting sqref="F5:F11">
    <cfRule type="expression" dxfId="1" priority="4">
      <formula>F5&gt;0</formula>
    </cfRule>
  </conditionalFormatting>
  <conditionalFormatting sqref="B16:F22">
    <cfRule type="expression" dxfId="0" priority="5">
      <formula>B16&lt;0</formula>
    </cfRule>
  </conditionalFormatting>
  <conditionalFormatting sqref="B16:F22">
    <cfRule type="expression" dxfId="1" priority="6">
      <formula>B16&gt;0</formula>
    </cfRule>
  </conditionalFormatting>
  <printOptions/>
  <pageMargins bottom="0.75" footer="0.0" header="0.0" left="0.7" right="0.7" top="0.75"/>
  <pageSetup orientation="landscape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65.75"/>
    <col customWidth="1" min="2" max="2" width="255.0"/>
    <col customWidth="1" min="3" max="26" width="8.63"/>
  </cols>
  <sheetData>
    <row r="1">
      <c r="A1" s="81" t="s">
        <v>860</v>
      </c>
      <c r="B1" s="81"/>
    </row>
    <row r="3">
      <c r="A3" s="82" t="s">
        <v>1</v>
      </c>
      <c r="B3" s="22" t="s">
        <v>861</v>
      </c>
    </row>
    <row r="4">
      <c r="A4" s="82" t="s">
        <v>862</v>
      </c>
      <c r="B4" s="22" t="s">
        <v>863</v>
      </c>
    </row>
    <row r="5">
      <c r="A5" s="82" t="s">
        <v>864</v>
      </c>
      <c r="B5" s="22" t="s">
        <v>865</v>
      </c>
    </row>
    <row r="6">
      <c r="A6" s="82" t="s">
        <v>866</v>
      </c>
      <c r="B6" s="22" t="s">
        <v>867</v>
      </c>
    </row>
    <row r="7">
      <c r="A7" s="82" t="s">
        <v>868</v>
      </c>
      <c r="B7" s="22" t="s">
        <v>869</v>
      </c>
    </row>
    <row r="8">
      <c r="A8" s="82" t="s">
        <v>870</v>
      </c>
      <c r="B8" s="22" t="s">
        <v>871</v>
      </c>
    </row>
    <row r="9">
      <c r="A9" s="82" t="s">
        <v>872</v>
      </c>
      <c r="B9" s="22" t="s">
        <v>873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