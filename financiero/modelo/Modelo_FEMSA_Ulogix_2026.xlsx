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portes" sheetId="2" r:id="rId6"/>
    <sheet state="visible" name="Parametros" sheetId="3" r:id="rId7"/>
    <sheet state="visible" name="Modelo_Negocio" sheetId="4" r:id="rId8"/>
    <sheet state="visible" name="Demanda" sheetId="5" r:id="rId9"/>
    <sheet state="visible" name="DemandaEscenario" sheetId="6" r:id="rId10"/>
    <sheet state="visible" name="ER_Proyecto" sheetId="7" r:id="rId11"/>
    <sheet state="visible" name="CAPEX" sheetId="8" r:id="rId12"/>
    <sheet state="visible" name="Proveedores_CAPEX" sheetId="9" r:id="rId13"/>
    <sheet state="visible" name="Licencias" sheetId="10" r:id="rId14"/>
    <sheet state="visible" name="APU_Ingenieria" sheetId="11" r:id="rId15"/>
    <sheet state="visible" name="Costos_Lote" sheetId="12" r:id="rId16"/>
    <sheet state="visible" name="Flujo_Caja" sheetId="13" r:id="rId17"/>
    <sheet state="visible" name="Balance" sheetId="14" r:id="rId18"/>
    <sheet state="visible" name="FinancieroEscenario" sheetId="15" r:id="rId19"/>
    <sheet state="visible" name="Sensibilidad" sheetId="16" r:id="rId20"/>
    <sheet state="visible" name="Dep_Amort" sheetId="17" r:id="rId21"/>
    <sheet state="visible" name="Inventarios" sheetId="18" r:id="rId22"/>
    <sheet state="visible" name="Tiempos" sheetId="19" r:id="rId23"/>
    <sheet state="visible" name="PlanCompras" sheetId="20" r:id="rId24"/>
    <sheet state="visible" name="LibroProduccion" sheetId="21" r:id="rId25"/>
    <sheet state="visible" name="ResumenMensual" sheetId="22" r:id="rId26"/>
    <sheet state="visible" name="KPIs_UNS" sheetId="23" r:id="rId27"/>
    <sheet state="visible" name="_PruebaAPI" sheetId="24" r:id="rId28"/>
    <sheet state="visible" name="RRHH" sheetId="25" r:id="rId29"/>
    <sheet state="visible" name="Analisis_Paletizado" sheetId="26" r:id="rId30"/>
    <sheet state="visible" name="Maestro_Productos" sheetId="27" r:id="rId31"/>
    <sheet state="visible" name="Clientes" sheetId="28" r:id="rId32"/>
    <sheet state="visible" name="Forecast_Historico_Mensual" sheetId="29" r:id="rId33"/>
    <sheet state="visible" name="Forecast_Historico_Trimestral" sheetId="30" r:id="rId34"/>
    <sheet state="visible" name="Forecast_Perfil_Formato" sheetId="31" r:id="rId35"/>
    <sheet state="visible" name="Forecast_KOF_Trimestral" sheetId="32" r:id="rId36"/>
    <sheet state="visible" name="Forecast_Configuracion" sheetId="33" r:id="rId37"/>
    <sheet state="visible" name="Forecast_Pronostico_Mensual" sheetId="34" r:id="rId38"/>
    <sheet state="visible" name="Forecast_Pronostico_Trimestral" sheetId="35" r:id="rId39"/>
    <sheet state="visible" name="Forecast_Metricas" sheetId="36" r:id="rId40"/>
    <sheet state="visible" name="Forecast_QA" sheetId="37" r:id="rId41"/>
    <sheet state="visible" name="Viabilidad_Automatizacion" sheetId="38" r:id="rId42"/>
    <sheet state="visible" name="Tiempos_Resumen" sheetId="39" r:id="rId4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8">
      <text>
        <t xml:space="preserve">Cotizacion real (Consolidado celdas). Sin factor RFQ.</t>
      </text>
    </comment>
    <comment authorId="0" ref="F27">
      <text>
        <t xml:space="preserve">Cotizacion real (Consolidado celdas). Sin factor RFQ.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3">
      <text>
        <t xml:space="preserve">Debe coincidir con la fila Software de CAPEX ($34,650,000).</t>
      </text>
    </comment>
  </commentList>
</comments>
</file>

<file path=xl/sharedStrings.xml><?xml version="1.0" encoding="utf-8"?>
<sst xmlns="http://schemas.openxmlformats.org/spreadsheetml/2006/main" count="6194" uniqueCount="2350">
  <si>
    <t>DASHBOARD — RESUMEN EJECUTIVO ULOGIX × FEMSA/INDEGA FONTIBÓN</t>
  </si>
  <si>
    <t>Resumen vivo: demanda desde Demanda; capacidad/OEE desde Tiempos; caso de negocio desde las formulas nativas de Flujo_Caja/CAPEX; nomina desde RRHH. Las metricas MAPE siguen siendo resultados del backtest Python y se actualizan al volver a publicar el pronostico.</t>
  </si>
  <si>
    <t>① DEMANDA (pronóstico Base, próximos 12 meses)</t>
  </si>
  <si>
    <t>producto</t>
  </si>
  <si>
    <t>demanda anual (und)</t>
  </si>
  <si>
    <t>MAPE backtest</t>
  </si>
  <si>
    <t>P1-CC350-RGB</t>
  </si>
  <si>
    <t>2.9%</t>
  </si>
  <si>
    <t>P2-QT1500-PET</t>
  </si>
  <si>
    <t>P3-GARR25L</t>
  </si>
  <si>
    <t>2.1%</t>
  </si>
  <si>
    <t>② CAPACIDAD Y OEE — ANTES vs. DESPUÉS DEL PROYECTO</t>
  </si>
  <si>
    <t>línea</t>
  </si>
  <si>
    <t>OEE antes → después</t>
  </si>
  <si>
    <t>utilización antes → después</t>
  </si>
  <si>
    <t>capacidad antes → después</t>
  </si>
  <si>
    <t>dictamen antes</t>
  </si>
  <si>
    <t>dictamen después</t>
  </si>
  <si>
    <t>L1</t>
  </si>
  <si>
    <t>L2</t>
  </si>
  <si>
    <t>L3</t>
  </si>
  <si>
    <t>③ CASO DE NEGOCIO (modelo nativo vivo de Sheets)</t>
  </si>
  <si>
    <t>CAPEX total</t>
  </si>
  <si>
    <t>VPN</t>
  </si>
  <si>
    <t>TIR anual</t>
  </si>
  <si>
    <t>ROI 60 meses</t>
  </si>
  <si>
    <t>Payback simple</t>
  </si>
  <si>
    <t>Payback descontado</t>
  </si>
  <si>
    <t>EBITDA incremental (año 1 operativo)</t>
  </si>
  <si>
    <t>④ RRHH (roster activo)</t>
  </si>
  <si>
    <t>rol</t>
  </si>
  <si>
    <t>conteo</t>
  </si>
  <si>
    <t>fase</t>
  </si>
  <si>
    <t>costo total mes COP</t>
  </si>
  <si>
    <t>Equipo diseno y desarrollo ULogix</t>
  </si>
  <si>
    <t>Operarios de linea (3 turnos)</t>
  </si>
  <si>
    <t>Supervisor de planta</t>
  </si>
  <si>
    <t>Supervisores de turno</t>
  </si>
  <si>
    <t>TOTAL nómina/mes</t>
  </si>
  <si>
    <t>⑤ NAVEGACIÓN DEL LIBRO</t>
  </si>
  <si>
    <t>Demanda/DemandaEscenario</t>
  </si>
  <si>
    <t>pronóstico y escenario activo (ERP → Sheets)</t>
  </si>
  <si>
    <t>Tiempos</t>
  </si>
  <si>
    <t>equipos, tiempos, OEE y capacidad antes vs. después del proyecto</t>
  </si>
  <si>
    <t>CAPEX</t>
  </si>
  <si>
    <t>inversión por área (Sheets gobierna — el usuario edita aquí)</t>
  </si>
  <si>
    <t>RRHH</t>
  </si>
  <si>
    <t>roster + resumen por rol + carga prestacional</t>
  </si>
  <si>
    <t>Parametros</t>
  </si>
  <si>
    <t>supuestos financieros vivos (TRM, TMAR, nómina, precios...)</t>
  </si>
  <si>
    <t>Sensibilidad</t>
  </si>
  <si>
    <t>análisis tornado — dónde vale la pena invertir en mejor información</t>
  </si>
  <si>
    <t>APU_Ingenieria</t>
  </si>
  <si>
    <t>justificación de los costos de ingeniería que cobra ULogix</t>
  </si>
  <si>
    <t>REPORTES — tablero financiero integral</t>
  </si>
  <si>
    <t>Todo por referencia (se recalcula solo): indicadores base vs escenario, resumen anual, sensibilidad, rotacion de inventarios y mapa del ERP.</t>
  </si>
  <si>
    <t>1 · INDICADORES DEL PROYECTO</t>
  </si>
  <si>
    <t>indicador</t>
  </si>
  <si>
    <t>Base (Demanda v4)</t>
  </si>
  <si>
    <t>Escenario activo</t>
  </si>
  <si>
    <t>Δ</t>
  </si>
  <si>
    <t>VPN @ TMAR (COP)</t>
  </si>
  <si>
    <t>TIR anual (E.A.)</t>
  </si>
  <si>
    <t>ROI anualizado</t>
  </si>
  <si>
    <t>Payback simple (mes)</t>
  </si>
  <si>
    <t>Payback descontado (mes)</t>
  </si>
  <si>
    <t>EBITDA incremental 12m operativos</t>
  </si>
  <si>
    <t>Inversion pre-operativa (COP)</t>
  </si>
  <si>
    <t>CAPEX total (COP)</t>
  </si>
  <si>
    <t>Capital de trabajo (COP)</t>
  </si>
  <si>
    <t>2 · RESUMEN ANUAL (incremental)</t>
  </si>
  <si>
    <t>concepto</t>
  </si>
  <si>
    <t>Año 1</t>
  </si>
  <si>
    <t>Año 2</t>
  </si>
  <si>
    <t>Año 3</t>
  </si>
  <si>
    <t>Año 4</t>
  </si>
  <si>
    <t>Año 5</t>
  </si>
  <si>
    <t>Ingresos incrementales</t>
  </si>
  <si>
    <t>EBITDA incremental</t>
  </si>
  <si>
    <t>Utilidad neta incremental</t>
  </si>
  <si>
    <t>FCF del proyecto</t>
  </si>
  <si>
    <t>FCF acumulado (cierre de año)</t>
  </si>
  <si>
    <t>3 · SENSIBILIDAD RESUMIDA</t>
  </si>
  <si>
    <t>escenario</t>
  </si>
  <si>
    <t>VPN (COP)</t>
  </si>
  <si>
    <t>Conservador</t>
  </si>
  <si>
    <t>Base</t>
  </si>
  <si>
    <t>Optimista</t>
  </si>
  <si>
    <t>4 · INVENTARIOS</t>
  </si>
  <si>
    <t>Rotacion del portafolio (veces/año)</t>
  </si>
  <si>
    <t>Dias de inventario</t>
  </si>
  <si>
    <t>5 · MAPA DEL ERP (quien alimenta cada hoja)</t>
  </si>
  <si>
    <t>Ventas</t>
  </si>
  <si>
    <t>Demanda · DemandaEscenario</t>
  </si>
  <si>
    <t>APP (pronostico v4 / escenario activo)</t>
  </si>
  <si>
    <t>Produccion</t>
  </si>
  <si>
    <t>KPIs_UNS · LibroProduccion</t>
  </si>
  <si>
    <t>Middleware via MQTT-UNS (el ERP NO gestiona OEE)</t>
  </si>
  <si>
    <t>Produccion (doc.)</t>
  </si>
  <si>
    <t>Tiempos · OEE_TEEP</t>
  </si>
  <si>
    <t>Documental para disenos (no conectado)</t>
  </si>
  <si>
    <t>Compras</t>
  </si>
  <si>
    <t>PlanCompras</t>
  </si>
  <si>
    <t>APP (MRP del escenario activo)</t>
  </si>
  <si>
    <t>Inventario</t>
  </si>
  <si>
    <t>Inventarios</t>
  </si>
  <si>
    <t>APP (politica s,Q) + formulas de rotacion</t>
  </si>
  <si>
    <t>Personal</t>
  </si>
  <si>
    <t>Equipo (editable)</t>
  </si>
  <si>
    <t>Finanzas</t>
  </si>
  <si>
    <t>Parametros→CAPEX→Licencias→Costos_Lote→Dep_Amort→ER→Flujo_Caja→Balance→Sensibilidad→Reportes</t>
  </si>
  <si>
    <t>Formulas vivas</t>
  </si>
  <si>
    <t>Parametros del modelo — la app los LEE por API</t>
  </si>
  <si>
    <t>Editar SOLO la columna valor (azul). Amarillo = palancas clave. Fuente: Supuestos/Costos_Lote/Personal/Licencias de la base financiera + BOM reales.</t>
  </si>
  <si>
    <t>parametro</t>
  </si>
  <si>
    <t>valor</t>
  </si>
  <si>
    <t>unidad</t>
  </si>
  <si>
    <t>fuente / nota</t>
  </si>
  <si>
    <t>trm_cop_usd</t>
  </si>
  <si>
    <t>COP/USD</t>
  </si>
  <si>
    <t>Superfinanciera; vigencia 11-14 jul-2026</t>
  </si>
  <si>
    <t>factor_rfq_benchmark</t>
  </si>
  <si>
    <t>Negociacion RFQ (solo benchmark; celdas ya cotizadas)</t>
  </si>
  <si>
    <t>tmar_anual</t>
  </si>
  <si>
    <t>E.A.</t>
  </si>
  <si>
    <t>BanRep + primas de riesgo</t>
  </si>
  <si>
    <t>tasa_renta</t>
  </si>
  <si>
    <t>Art. 240 ET</t>
  </si>
  <si>
    <t>inflacion_anual</t>
  </si>
  <si>
    <t>DANE IPC feb-2026</t>
  </si>
  <si>
    <t>crecimiento_demanda</t>
  </si>
  <si>
    <t>anual</t>
  </si>
  <si>
    <t>YA NO SE APLICA -- pedido explicito del dueno del proyecto: la evaluacion financiera sigue SIEMPRE la demanda que manda el ERP (pronostico/escenario activo), sin inflarla con una tasa de crecimiento interanual aparte. Fila conservada para registro (antes 1,50% aplicado a meses 13-60 via (1+B10)^N en ER_Proyecto/FinancieroEscenario).</t>
  </si>
  <si>
    <t>uplift_throughput</t>
  </si>
  <si>
    <t>Objetivo del modelo de negocio (+11%)</t>
  </si>
  <si>
    <t>factor_monetizacion</t>
  </si>
  <si>
    <t>Parte del uplift que se vende (demanda &gt; capacidad: hoja Tiempos)</t>
  </si>
  <si>
    <t>rampa_mes5</t>
  </si>
  <si>
    <t>Arranque parcial del primer mes operativo</t>
  </si>
  <si>
    <t>scrap_pp</t>
  </si>
  <si>
    <t>Reduccion de rechazo por inspeccion (0.04 pp)</t>
  </si>
  <si>
    <t>mant_evitado_mes</t>
  </si>
  <si>
    <t>COP/mes</t>
  </si>
  <si>
    <t>Correctivo evitado (base financiera)</t>
  </si>
  <si>
    <t>wc_pct_ingreso</t>
  </si>
  <si>
    <t>Capital de trabajo sobre ingreso incremental mensual</t>
  </si>
  <si>
    <t>dso_dias</t>
  </si>
  <si>
    <t>dias</t>
  </si>
  <si>
    <t>Cuentas por cobrar (Balance)</t>
  </si>
  <si>
    <t>dio_dias</t>
  </si>
  <si>
    <t>Inventarios (Balance y rotacion)</t>
  </si>
  <si>
    <t>dpo_dias</t>
  </si>
  <si>
    <t>Cuentas por pagar (Balance)</t>
  </si>
  <si>
    <t>precio_p1_350ml</t>
  </si>
  <si>
    <t>COP/u</t>
  </si>
  <si>
    <t>Costos_Lote (precio ex-factory)</t>
  </si>
  <si>
    <t>precio_p2_pet15</t>
  </si>
  <si>
    <t>Costos_Lote</t>
  </si>
  <si>
    <t>precio_p3_garrafon</t>
  </si>
  <si>
    <t>nomina_operacion_mes</t>
  </si>
  <si>
    <t>RRHH (resumen por rol, en vivo -- ya no 'Personal', consolidada)</t>
  </si>
  <si>
    <t>nomina_implementacion_mes</t>
  </si>
  <si>
    <t>otros_fijos_base_mes</t>
  </si>
  <si>
    <t>Base financiera</t>
  </si>
  <si>
    <t>otros_fijos_proyecto_mes</t>
  </si>
  <si>
    <t>Base financiera (+30M soporte digital)</t>
  </si>
  <si>
    <t>contingencia_capex</t>
  </si>
  <si>
    <t>Sobre subtotal CAPEX</t>
  </si>
  <si>
    <t>fase_capex_1</t>
  </si>
  <si>
    <t>Desembolso mes 1 (ingenieria)</t>
  </si>
  <si>
    <t>fase_capex_2</t>
  </si>
  <si>
    <t>Mes 2 (compra equipos)</t>
  </si>
  <si>
    <t>fase_capex_3</t>
  </si>
  <si>
    <t>Mes 3 (instalacion)</t>
  </si>
  <si>
    <t>fase_capex_4</t>
  </si>
  <si>
    <t>Mes 4 (commissioning)</t>
  </si>
  <si>
    <t>mejora_oee_relativa</t>
  </si>
  <si>
    <t>Fase 1: OEE por linea x 1.05 (hoja Tiempos, bloque 'MEJORA DE OEE A IMPLEMENTAR') -- documental, ver core/tiempos_oee.py (data/parametros_planta.json es la fuente real que usa el ERP, decision #1 de CLAUDE.md: OEE/TEEP no se gobierna desde Sheets).</t>
  </si>
  <si>
    <t>oee_objetivo</t>
  </si>
  <si>
    <t>Meta de programa</t>
  </si>
  <si>
    <t>meses_preoperativos</t>
  </si>
  <si>
    <t>meses</t>
  </si>
  <si>
    <t>Cronograma</t>
  </si>
  <si>
    <t>meses_modelo</t>
  </si>
  <si>
    <t>Horizonte</t>
  </si>
  <si>
    <t>gbp_cop</t>
  </si>
  <si>
    <t>COP/GBP</t>
  </si>
  <si>
    <t>Referencia de mercado jul-2026 para cotizacion EUROBOTS</t>
  </si>
  <si>
    <t>fte_manual_equivalente</t>
  </si>
  <si>
    <t>FTE</t>
  </si>
  <si>
    <t>L1: 6 (encajonado+paletizado, 2 turnos); L2: 2; L3: 2</t>
  </si>
  <si>
    <t>pct_monetizacion_ahorro_laboral</t>
  </si>
  <si>
    <t>%</t>
  </si>
  <si>
    <t>Conservador: reconoce reasignacion; editable</t>
  </si>
  <si>
    <t>ahorro_laboral_monetizable_mes</t>
  </si>
  <si>
    <t>Formula viva: costo FTE RRHH x FTE equivalentes x monetizacion</t>
  </si>
  <si>
    <t>eur_cop</t>
  </si>
  <si>
    <t>COP/EUR</t>
  </si>
  <si>
    <t>Referencia 08-jul-2026 para Coreflux; supuesto editable</t>
  </si>
  <si>
    <t>Modelo de negocio — retrofit brownfield FEMSA Fontibon (v3)</t>
  </si>
  <si>
    <t>elemento</t>
  </si>
  <si>
    <t>descripcion</t>
  </si>
  <si>
    <t>hojas relacionadas</t>
  </si>
  <si>
    <t>Tesis</t>
  </si>
  <si>
    <t>Conservar las 3 lineas existentes e invertir SOLO donde el estudio de tiempos corregido y el OEE bottom-up demuestran perdidas: paletizado, llenadoras e inspeccion, con gemelo digital por equipo y trazabilidad MES/Cloud via UNS.</t>
  </si>
  <si>
    <t>Objetivo +11% throughput</t>
  </si>
  <si>
    <t>Uplift tecnico por OEE (77→81% fase 1) y eliminacion del cuello de paletizado; se monetiza el 31% (parametrizable) porque la demanda SUPERA la capacidad actual.</t>
  </si>
  <si>
    <t>ER_Proyecto</t>
  </si>
  <si>
    <t>Hallazgo de capacidad</t>
  </si>
  <si>
    <t>Con 2 turnos U_2026 = 1.25 (L1) y 1.30 (L2): INFACTIBLE. El 3er turno (nomina ya modelada en Personal) devuelve U a 0.83/0.86. En L3, la celda robotica evita el 2do operario (U=1.61 con uno solo).</t>
  </si>
  <si>
    <t>Tiempos · Personal</t>
  </si>
  <si>
    <t>OEE</t>
  </si>
  <si>
    <t>Fase 1 comprometida: +5% relativo por linea, justificado (+2.0pp disponibilidad celdas/MTTR · +1.2pp rendimiento retrofit llenadoras · +0.7pp calidad inspeccion). Meta de programa ≥86% con mejora continua. KPIs vivos por UNS.</t>
  </si>
  <si>
    <t>OEE_TEEP · KPIs_UNS</t>
  </si>
  <si>
    <t>+5% flujo de caja</t>
  </si>
  <si>
    <t>Verificable en Flujo_Caja/Reportes: EBITDA incremental sobre el caso base supera el objetivo con la demanda v4.</t>
  </si>
  <si>
    <t>Flujo_Caja · Reportes</t>
  </si>
  <si>
    <t>Inversion</t>
  </si>
  <si>
    <t>CAPEX benchmark de retrofit + BOM REAL de celdas (gantry L1-L2 USD 107,993 · robot L3 USD 131,896) + software; contingencia 10%. ⚠ GRP001 pendiente de consolidar.</t>
  </si>
  <si>
    <t>CAPEX · Licencias</t>
  </si>
  <si>
    <t>Gobernanza de datos</t>
  </si>
  <si>
    <t>ERP Ulogix ↔ UNS FEMSA (MQTT) ↔ Odoo ↔ este libro (API Sheets): la demanda elegida en el ERP evalua escenarios financieros en vivo.</t>
  </si>
  <si>
    <t>Demanda(Escenario) · FinancieroEscenario</t>
  </si>
  <si>
    <t>Demanda — la escribe la APP (rango fijo A4:F16, NO mover)</t>
  </si>
  <si>
    <t>VENTAS · Pronostico v4 Base (Abr-26→Mar-27). ER_Proyecto/Flujo_Caja/Balance leen D5:F16. La app la reescribe con publicar_demanda().</t>
  </si>
  <si>
    <t>mes_num</t>
  </si>
  <si>
    <t>etiqueta</t>
  </si>
  <si>
    <t>P1-CC350-RGB_unidades</t>
  </si>
  <si>
    <t>P2-QT1500-PET_unidades</t>
  </si>
  <si>
    <t>P3-GARR25L_unidades</t>
  </si>
  <si>
    <t>Sep-26</t>
  </si>
  <si>
    <t>DemandaEscenario — la escribe la APP (rango fijo A4:F16, NO mover)</t>
  </si>
  <si>
    <t>VENTAS · Demanda del ESCENARIO ACTIVO elegido en el ERP (pagina Escenarios → Activar). FinancieroEscenario la evalua. publicar_demanda_escenario().</t>
  </si>
  <si>
    <t>Paro nacional / choque logistico</t>
  </si>
  <si>
    <t>Estado de resultados mensual — caso BASE vs PROYECTO (demanda v4)</t>
  </si>
  <si>
    <t>Proyecto incluye ahorro laboral monetizable vinculado a Viabilidad_Automatizacion/Parametros; porcentaje editable y conservador.</t>
  </si>
  <si>
    <t>Mes</t>
  </si>
  <si>
    <t>CASO BASE (sin proyecto)</t>
  </si>
  <si>
    <t>Ventas u P1 (330/350 mL)</t>
  </si>
  <si>
    <t>Ventas u P2 (PET 1.5 L)</t>
  </si>
  <si>
    <t>Ventas u P3 (garrafon)</t>
  </si>
  <si>
    <t>Ingresos base</t>
  </si>
  <si>
    <t>COGS variable base</t>
  </si>
  <si>
    <t>Utilidad bruta base</t>
  </si>
  <si>
    <t>Nomina operacion</t>
  </si>
  <si>
    <t>Otros fijos base</t>
  </si>
  <si>
    <t>EBITDA base</t>
  </si>
  <si>
    <t>CASO PROYECTO (retrofit)</t>
  </si>
  <si>
    <t>Factor ventas (uplift monetizado)</t>
  </si>
  <si>
    <t>Ingresos proyecto</t>
  </si>
  <si>
    <t>COGS variable proyecto</t>
  </si>
  <si>
    <t>(+) Ahorro de scrap</t>
  </si>
  <si>
    <t>(+) Mantenimiento correctivo evitado</t>
  </si>
  <si>
    <t>Otros fijos proyecto</t>
  </si>
  <si>
    <t>OPEX licencias</t>
  </si>
  <si>
    <t>EBITDA proyecto</t>
  </si>
  <si>
    <t>INCREMENTAL (proyecto − base)</t>
  </si>
  <si>
    <t>D&amp;A (desde mes 5)</t>
  </si>
  <si>
    <t>EBIT incremental</t>
  </si>
  <si>
    <t>Impuesto de renta (35%)</t>
  </si>
  <si>
    <t>CAPEX ULOGIX — L1 / L2 / L3 + infraestructura transversal</t>
  </si>
  <si>
    <t>Fuente viva del ERP. Cantidad y costo unitario son entradas editables; CAPEX COP, subtotales y total son fórmulas. Licencias perpetuas vienen de la hoja Licencias.</t>
  </si>
  <si>
    <t>seccion</t>
  </si>
  <si>
    <t>linea</t>
  </si>
  <si>
    <t>activo / paquete</t>
  </si>
  <si>
    <t>cant.</t>
  </si>
  <si>
    <t>moneda</t>
  </si>
  <si>
    <t>costo unitario</t>
  </si>
  <si>
    <t>CAPEX COP</t>
  </si>
  <si>
    <t>vida (años)</t>
  </si>
  <si>
    <t>categoria D&amp;A</t>
  </si>
  <si>
    <t>▍ L1 — COCA-COLA 350 ml · VIDRIO RETORNABLE</t>
  </si>
  <si>
    <t>Maquinaria usada</t>
  </si>
  <si>
    <t>Llenadora/tapadora KRONES usada 44.000 bph (VODM/Modulfill; reserva RFQ)</t>
  </si>
  <si>
    <t>USD</t>
  </si>
  <si>
    <t>equipos</t>
  </si>
  <si>
    <t>Conveyors, motores y VFD para llenado y encajonado</t>
  </si>
  <si>
    <t>Diseño ULogix</t>
  </si>
  <si>
    <t>Encajonadora custom para canastilla 30x30 (BOM de ingenieria; reserva RFQ)</t>
  </si>
  <si>
    <t>automatizacion</t>
  </si>
  <si>
    <t>Benchmark retrofit</t>
  </si>
  <si>
    <t>Upgrade lavadora retornable / prewash (KRONES Lavatec)</t>
  </si>
  <si>
    <t>Inspeccion envase vacio (HEUFT SPECTRUM II SX)</t>
  </si>
  <si>
    <t>Etiquetadora y sincronizacion (servos)</t>
  </si>
  <si>
    <t>Subtotal — L1 — COCA-COLA 350 ml · VIDRIO RETORNABLE</t>
  </si>
  <si>
    <t>▍ L2 — QuAtro 1,5 L · PET</t>
  </si>
  <si>
    <t>Llenadora KRONES usada CSD PET 18.000 bph (Mecafill/Contiform; reserva RFQ)</t>
  </si>
  <si>
    <t>KRONES Variopac 459 usada para termoencogible (Machinio)</t>
  </si>
  <si>
    <t>USD*</t>
  </si>
  <si>
    <t>Conveyors / transporte PET y enlace al GANTRY compartido</t>
  </si>
  <si>
    <t>Inspeccion botella llena (HEUFT PRIME)</t>
  </si>
  <si>
    <t>Subtotal — L2 — QuAtro 1,5 L · PET</t>
  </si>
  <si>
    <t>▍ L1-L2 — GANTRY DE PALETIZADO COMPARTIDO</t>
  </si>
  <si>
    <t>Celdas roboticas (BOM real)</t>
  </si>
  <si>
    <t>L1-L2</t>
  </si>
  <si>
    <t>Servomotor MU 300 (ABB)</t>
  </si>
  <si>
    <t>Servomotor MU 200 (ABB)</t>
  </si>
  <si>
    <t>Controlador IRC5 (ABB) - cotizacion IGAM, envio/logistica incluidos</t>
  </si>
  <si>
    <t>Reductor AB115-005-S2-P2 (Apex Dynamics)</t>
  </si>
  <si>
    <t>Eje lineal Rexroth_CKK280_S2200 (Bosch-Rexroth)</t>
  </si>
  <si>
    <t>Eje lineal Rexroth_CKR280_S4600 (Bosch-Rexroth)</t>
  </si>
  <si>
    <t>Acople ACP001 (Manufacturado)</t>
  </si>
  <si>
    <t>Perfil de soporte gantry SP001 (Manufacturado)</t>
  </si>
  <si>
    <t>Gripper neumatico GRP001 4 mordazas 40 kg (Manufacturado)</t>
  </si>
  <si>
    <t>Cilindro neumatico DSBC-80-150-PPSA-N3 (Festo)</t>
  </si>
  <si>
    <t>Valvula antirretorno HGL-3/8-QS-8 (Festo)</t>
  </si>
  <si>
    <t>Electrovalvula VUVS-L30-B52-D-G38-F8-1B2 (Festo)</t>
  </si>
  <si>
    <t>Regulador de caudal GRLA-3/8-QS-8-D (Festo)</t>
  </si>
  <si>
    <t>Sensor de posicion SMAT-8M-U-E-2,5-OE (Festo)</t>
  </si>
  <si>
    <t>Unidad FRL MS4-LFR-1/4-D6-E-R-M (Festo)</t>
  </si>
  <si>
    <t>Transportador PM 9710 (Interroll)</t>
  </si>
  <si>
    <t>Sensor de posicion OBR7500-R100-2EP-IO-V31 (Pepper+Fuchs)</t>
  </si>
  <si>
    <t>Vallado modular ImpactGuard System-H3120-S60-T30 (Satech)</t>
  </si>
  <si>
    <t>Panel perimetral W300-H2960 (Satech)</t>
  </si>
  <si>
    <t>Panel perimetral W200-H2960 (Satech)</t>
  </si>
  <si>
    <t>Panel perimetral W700-H1480 (Satech)</t>
  </si>
  <si>
    <t>Panel perimetral W800-H1480 (Satech)</t>
  </si>
  <si>
    <t>Panel perimetral W1000-H1480 (Satech)</t>
  </si>
  <si>
    <t>Puerta Single Leaf Door ImpactGuard-H3120-S60-T30 (Satech)</t>
  </si>
  <si>
    <t>Interlock AZM 415-02/02ZPK 24VAC/DC (Satech/Schmerzal)</t>
  </si>
  <si>
    <t>Cortina optica ADMIRAL AD 1651 (ReeR)</t>
  </si>
  <si>
    <t>Interfaz cortina optica SR ONE M (ReeR)</t>
  </si>
  <si>
    <t>Torre de senalizacion KS72 Classic RM (Werma)</t>
  </si>
  <si>
    <t>Parada de emergencia Serie 45-Ø40mm-2NC (EAO)</t>
  </si>
  <si>
    <t>Parada de emergencia Serie 84-Ø32mm-IP67-M12 (EAO)</t>
  </si>
  <si>
    <t>Breaker termomagnetico S203-K25 (ABB)</t>
  </si>
  <si>
    <t>RCD F204 B-40/0.3 (ABB)</t>
  </si>
  <si>
    <t>Mini-breaker 1P 1A S201-C1 (ABB)</t>
  </si>
  <si>
    <t>Gabinete electrico NSYCRN75250 (Schneider Electric)</t>
  </si>
  <si>
    <t>Fuente de alimentacion DC CP-E 24/10.0 (ABB)</t>
  </si>
  <si>
    <t>HMI CP620 (ABB)</t>
  </si>
  <si>
    <t>Subtotal — L1-L2 — GANTRY DE PALETIZADO COMPARTIDO</t>
  </si>
  <si>
    <t>▍ L3 — GARRAFÓN 25 L · LLENADORA EXISTENTE</t>
  </si>
  <si>
    <t>Robot ABB para garrafones - cotizacion EUROBOTS, envio/logistica incluidos</t>
  </si>
  <si>
    <t>GBP*</t>
  </si>
  <si>
    <t>Controlador del robot (incluido en paquete EUROBOTS; no duplicar)</t>
  </si>
  <si>
    <t>Gripper neumatico GRP001 3 ventosas 15.5 kg (Manufacturado)</t>
  </si>
  <si>
    <t>Generador de vacio OVEM-14-L-B-QO-CE-N-1P (Festo)</t>
  </si>
  <si>
    <t>Acumulador de vacio CRVZS-0.1 (Festo)</t>
  </si>
  <si>
    <t>Filtro de vacio VAF-PK-6 (Festo)</t>
  </si>
  <si>
    <t>Unidad FRL MS4-LFR-1/4-D6-C-P-M-AG-BAR-B (Festo)</t>
  </si>
  <si>
    <t>Cortina optica ADMIRAL AD 2B (ReeR)</t>
  </si>
  <si>
    <t>Interfaz cortina optica SR ONE (ReeR)</t>
  </si>
  <si>
    <t>Breaker termomagnetico S203-K32 (ABB)</t>
  </si>
  <si>
    <t>Lavado y sanitizacion garrafon</t>
  </si>
  <si>
    <t>Skid tratamiento de agua (KRONES Hydronomic)</t>
  </si>
  <si>
    <t>Inspeccion garrafon</t>
  </si>
  <si>
    <t>Fuera de alcance</t>
  </si>
  <si>
    <t>Llenado / taponado garrafon (equipo existente suficiente)</t>
  </si>
  <si>
    <t>Conveyors generales de garrafon (manejo de celda ya esta en BOM)</t>
  </si>
  <si>
    <t>Subtotal — L3 — GARRAFÓN 25 L · LLENADORA EXISTENTE</t>
  </si>
  <si>
    <t>▍ TRANSVERSAL — L1 + L2 + L3</t>
  </si>
  <si>
    <t>COMÚN</t>
  </si>
  <si>
    <t>PLC panels / I/O / seguridad (CompactLogix + safety)</t>
  </si>
  <si>
    <t>HMIs / estaciones SCADA</t>
  </si>
  <si>
    <t>Camaras y vision artificial (Cognex)</t>
  </si>
  <si>
    <t>Sensores / transmisores / valvulas (pack)</t>
  </si>
  <si>
    <t>Red industrial y ciberseguridad (switches/FW/UPS)</t>
  </si>
  <si>
    <t>Servidor edge / historian / gateway MES-UNS (MQTT)</t>
  </si>
  <si>
    <t>Servicios</t>
  </si>
  <si>
    <t>Ingenieria de detalle, FAT/SAT y PMO (ver hoja APU_Ingenieria)</t>
  </si>
  <si>
    <t>COP</t>
  </si>
  <si>
    <t>servicios</t>
  </si>
  <si>
    <t>Instalacion y puesta en marcha (EPC) (ver hoja APU_Ingenieria)</t>
  </si>
  <si>
    <t>Capacitacion y gestion del cambio (ver hoja APU_Ingenieria)</t>
  </si>
  <si>
    <t>intangibles</t>
  </si>
  <si>
    <t>Software</t>
  </si>
  <si>
    <t>Software capitalizable (detalle vivo en hoja Licencias)</t>
  </si>
  <si>
    <t>software</t>
  </si>
  <si>
    <t>Subtotal — TRANSVERSAL — L1 + L2 + L3</t>
  </si>
  <si>
    <t>⚠ GRP001: se conservan separados el gripper GANTRY L1-L2 (4 mordazas) y el del robot L3 (3 ventosas).</t>
  </si>
  <si>
    <t>Subtotal CAPEX</t>
  </si>
  <si>
    <t>Contingencia</t>
  </si>
  <si>
    <t>CAPEX TOTAL (con contingencia)</t>
  </si>
  <si>
    <t>PROVEEDORES Y FUENTES DEL CAPEX — registro de procura</t>
  </si>
  <si>
    <t>Los valores 'cotizacion usuario' incluyen la logistica indicada. Los benchmarks usados requieren inspeccion, RFQ y validacion de formato/voltaje antes de adjudicar.</t>
  </si>
  <si>
    <t>equipo / alcance</t>
  </si>
  <si>
    <t>proveedor</t>
  </si>
  <si>
    <t>tipo_fuente</t>
  </si>
  <si>
    <t>logistica</t>
  </si>
  <si>
    <t>capacidad / criterio</t>
  </si>
  <si>
    <t>url / referencia</t>
  </si>
  <si>
    <t>estado</t>
  </si>
  <si>
    <t>Robot ABB celda garrafones</t>
  </si>
  <si>
    <t>EUROBOTS</t>
  </si>
  <si>
    <t>Cotizacion informada por propietario</t>
  </si>
  <si>
    <t>GBP</t>
  </si>
  <si>
    <t>Envio y logistica incluidos</t>
  </si>
  <si>
    <t>Llenadora existente 600 gfn/h; robot elimina cuello manual</t>
  </si>
  <si>
    <t>Cotizacion directa; solicitar PDF y seriales</t>
  </si>
  <si>
    <t>Seleccionado / validar alcance del controlador</t>
  </si>
  <si>
    <t>Controlador ABB IRC5 GANTRY compartido</t>
  </si>
  <si>
    <t>IGAM</t>
  </si>
  <si>
    <t>Un controlador para celda compartida y alternada L1/L2</t>
  </si>
  <si>
    <t>Cotizacion directa; solicitar PDF</t>
  </si>
  <si>
    <t>Seleccionado</t>
  </si>
  <si>
    <t>KRONES Variopac 459 usada</t>
  </si>
  <si>
    <t>Machinio / vendedor Chicago</t>
  </si>
  <si>
    <t>Listado publico usado</t>
  </si>
  <si>
    <t>No confirmada</t>
  </si>
  <si>
    <t>28-30 paquetes/min; formatos hasta 1,5 L</t>
  </si>
  <si>
    <t>https://www.machinio.com/cat/variopac</t>
  </si>
  <si>
    <t>Benchmark con precio; RFQ pendiente</t>
  </si>
  <si>
    <t>KRONES Variopac Pro TFS-4-DS 2021</t>
  </si>
  <si>
    <t>MachinePoint</t>
  </si>
  <si>
    <t>Precio a consultar</t>
  </si>
  <si>
    <t>USD/EUR</t>
  </si>
  <si>
    <t>Servicios de transporte disponibles</t>
  </si>
  <si>
    <t>45 paquetes/min; 1.200 h</t>
  </si>
  <si>
    <t>https://www.machinepoint.com/machinepoint/inventory.nsf/idmaquina/300047107?ln=es&amp;opendocument=</t>
  </si>
  <si>
    <t>Alternativa RFQ</t>
  </si>
  <si>
    <t>KRONES VODM usada 2012</t>
  </si>
  <si>
    <t>EUR</t>
  </si>
  <si>
    <t>44.000 bph; cumple demanda con holgura</t>
  </si>
  <si>
    <t>https://www.machinepoint.com/machinepoint/inventory.nsf/idmaquina/300049529?ln=en&amp;opendocument=</t>
  </si>
  <si>
    <t>Alternativa RFQ / inspeccion</t>
  </si>
  <si>
    <t>KRONES glass line 4.000 L/h (1997)</t>
  </si>
  <si>
    <t>Truck1 / vendedor italiano</t>
  </si>
  <si>
    <t>≈11.429 bph a 350 ml: NO cumple capacidad L1</t>
  </si>
  <si>
    <t>https://www.truck1.eu/industrial-equipment/liquid-filling-machines/used-krones-filling-line-for-flat-drinks-in-glass-a11361978.html</t>
  </si>
  <si>
    <t>Descartado por capacidad</t>
  </si>
  <si>
    <t>KRONES CSD vidrio 36.000 bph usada 2012</t>
  </si>
  <si>
    <t>Used German Machines</t>
  </si>
  <si>
    <t>36.000 bph: menor holgura que alternativa 44.000</t>
  </si>
  <si>
    <t>https://used-german-machines.de/machines/99922681</t>
  </si>
  <si>
    <t>Alternativa condicionada</t>
  </si>
  <si>
    <t>KRONES PET CSD usada 18.000 bph</t>
  </si>
  <si>
    <t>Used Bottling Lines / Exapro</t>
  </si>
  <si>
    <t>EUR/USD</t>
  </si>
  <si>
    <t>18.000 bph a 1,5 L; amplia holgura</t>
  </si>
  <si>
    <t>https://www.exapro.com/krones-ultra-clean-pet-p260108037/</t>
  </si>
  <si>
    <t>Base tecnica; RFQ pendiente</t>
  </si>
  <si>
    <t>Comun</t>
  </si>
  <si>
    <t>Sensores, neumatica, seguridad y tableros</t>
  </si>
  <si>
    <t>ABB / Festo / ReeR / Satech / Interroll</t>
  </si>
  <si>
    <t>Fabricantes BOM</t>
  </si>
  <si>
    <t>Ver CAPEX</t>
  </si>
  <si>
    <t>Segun RFQ</t>
  </si>
  <si>
    <t>Referencias detalladas en BOM de celdas</t>
  </si>
  <si>
    <t>Hojas CAPEX y APU_Ingenieria</t>
  </si>
  <si>
    <t>RFQ por paquete</t>
  </si>
  <si>
    <t>Digital</t>
  </si>
  <si>
    <t>Ignition SCADA / MES / Coreflux UNS / Siemens / ABB RobotStudio</t>
  </si>
  <si>
    <t>Inductive Automation / Coreflux / Siemens / ABB</t>
  </si>
  <si>
    <t>Fabricante / alcance ULogix</t>
  </si>
  <si>
    <t>Ver Licencias y APU</t>
  </si>
  <si>
    <t>SCADA, MES, MQTT, simulacion y gemelos digitales</t>
  </si>
  <si>
    <t>Hojas Licencias y APU_Ingenieria</t>
  </si>
  <si>
    <t>Incluido en arquitectura</t>
  </si>
  <si>
    <t>LICENCIAS Y PLATAFORMAS DIGITALES — ALCANCE ULOGIX</t>
  </si>
  <si>
    <t>CAPEX solo incluye licencias perpetuas. Suscripciones y hosting alimentan OPEX mensual; los elementos excluidos quedan en cero para conservar trazabilidad.</t>
  </si>
  <si>
    <t>software / plataforma</t>
  </si>
  <si>
    <t>alcance</t>
  </si>
  <si>
    <t>modalidad</t>
  </si>
  <si>
    <t>precio unitario</t>
  </si>
  <si>
    <t>CAPEX inicial COP</t>
  </si>
  <si>
    <t>OPEX mensual COP</t>
  </si>
  <si>
    <t>fuente / supuesto</t>
  </si>
  <si>
    <t>ABB RobotStudio Premium</t>
  </si>
  <si>
    <t>Ingenieria offline celdas L1-L2 y L3</t>
  </si>
  <si>
    <t>Anual</t>
  </si>
  <si>
    <t>Benchmark proveedor; cantidad editable</t>
  </si>
  <si>
    <t>Studio 5000 Logix Designer</t>
  </si>
  <si>
    <t>PLC CompactLogix transversal</t>
  </si>
  <si>
    <t>Perpetua</t>
  </si>
  <si>
    <t>Licencia capitalizable; cantidad editable</t>
  </si>
  <si>
    <t>Siemens NX X Manufacturing</t>
  </si>
  <si>
    <t>Gemelos digitales de celdas y lineas</t>
  </si>
  <si>
    <t>Mensual</t>
  </si>
  <si>
    <t>Suscripcion de ingenieria</t>
  </si>
  <si>
    <t>Siemens Plant Simulation X Std</t>
  </si>
  <si>
    <t>Simulacion integral de planta (Tecnomatix)</t>
  </si>
  <si>
    <t>Ignition SCADA — plataforma + aplicacion + historian + alarmas + integracion</t>
  </si>
  <si>
    <t>SCADA, historico y alarmas L1-L2-L3</t>
  </si>
  <si>
    <t>Lista oficial: 1.200 + 13.500 + 3.500 + 3.200 + 4.100 USD</t>
  </si>
  <si>
    <t>Coreflux Growth — broker MQTT / UNS</t>
  </si>
  <si>
    <t>UNS productivo L1-L2-L3</t>
  </si>
  <si>
    <t>Precio oficial desde EUR 2.450/año; cloud gestionado es add-on</t>
  </si>
  <si>
    <t>Odoo Custom — API externa XML-RPC</t>
  </si>
  <si>
    <t>ERP/MRP/inventario/facturacion</t>
  </si>
  <si>
    <t>Plan con API; supuesto editable de 5 usuarios internos</t>
  </si>
  <si>
    <t>Hosting MES/ERP + base de datos, backups y observabilidad</t>
  </si>
  <si>
    <t>mes.ulogix.online y servicios del ERP</t>
  </si>
  <si>
    <t>Reserva operativa editable; Odoo Online ya incluye su hosting</t>
  </si>
  <si>
    <t>NI LabVIEW Full</t>
  </si>
  <si>
    <t>No requerido por el alcance ULogix</t>
  </si>
  <si>
    <t>Excluida</t>
  </si>
  <si>
    <t>Conservado para trazabilidad; no suma</t>
  </si>
  <si>
    <t>Microsoft Azure IoT + storage</t>
  </si>
  <si>
    <t>Sustituido por Coreflux + hosting MES/ERP</t>
  </si>
  <si>
    <t>Node-RED, Python, Streamlit y SQLite</t>
  </si>
  <si>
    <t>Middleware, MES/ERP y dashboard</t>
  </si>
  <si>
    <t>Open source</t>
  </si>
  <si>
    <t>Sin costo de licencia; soporte en APU/hosting</t>
  </si>
  <si>
    <t>CAPEX software capitalizable</t>
  </si>
  <si>
    <t>Solo licencias perpetuas</t>
  </si>
  <si>
    <t>OPEX mensual licencias</t>
  </si>
  <si>
    <t>Suscripciones + hosting operativo</t>
  </si>
  <si>
    <t>APU (Analisis de Precios Unitarios) — costos de ingenieria que cobra ULogix</t>
  </si>
  <si>
    <t>Metodologia: costo directo (mano de obra propia + subcontratistas/OEM + materiales + logistica) x (1 + AIU). AIU = Administracion + Imprevistos + Utilidad, referencia estandar de la industria de construccion/EPC en Colombia (banda de mercado 25-30%; NO es una tarifa fijada por ley — desde la desregulacion de honorarios profesionales, COPNIA no fija tarifas minimas, es de negociacion contractual). La mano de obra propia usa una formula viva contra RRHH en Sheets; los rubros de terceros/OEM son supuestos de mercado documentados, a validar con cotizacion real antes de contratar.</t>
  </si>
  <si>
    <t>RESUMEN</t>
  </si>
  <si>
    <t>item</t>
  </si>
  <si>
    <t>costo_directo_cop</t>
  </si>
  <si>
    <t>pct_administracion</t>
  </si>
  <si>
    <t>pct_imprevistos</t>
  </si>
  <si>
    <t>pct_utilidad</t>
  </si>
  <si>
    <t>pct_aiu_total</t>
  </si>
  <si>
    <t>aiu_cop</t>
  </si>
  <si>
    <t>precio_total_cop</t>
  </si>
  <si>
    <t>Ingenieria de detalle, FAT/SAT y PMO</t>
  </si>
  <si>
    <t>Instalacion y puesta en marcha (EPC)</t>
  </si>
  <si>
    <t>Capacitacion y gestion del cambio</t>
  </si>
  <si>
    <t>DETALLE</t>
  </si>
  <si>
    <t>componente</t>
  </si>
  <si>
    <t>cantidad</t>
  </si>
  <si>
    <t>valor_unitario_cop</t>
  </si>
  <si>
    <t>subtotal_cop</t>
  </si>
  <si>
    <t>tipo_costo</t>
  </si>
  <si>
    <t>Ingenieria de proceso y dimensionamiento de capacidad</t>
  </si>
  <si>
    <t>Balance antes/despues, OEE, demanda, holgura y especificacion de llenadoras usadas</t>
  </si>
  <si>
    <t>horas</t>
  </si>
  <si>
    <t>Mano de obra propia</t>
  </si>
  <si>
    <t>Diseño mecanico encajonadora 30x30 y GANTRY compartido</t>
  </si>
  <si>
    <t>Layout, grippers, transportadores, alternancia L1/L2, planos y BOM</t>
  </si>
  <si>
    <t>Ingenieria electrica, seguridad y control ABB</t>
  </si>
  <si>
    <t>IRC5, servos, I/O, redes, interlocks, matrices causa-efecto y filosofia de control</t>
  </si>
  <si>
    <t>ABB RobotStudio: trayectorias y virtual commissioning</t>
  </si>
  <si>
    <t>RAPID, colisiones, ciclos, grippers y validacion virtual de celdas</t>
  </si>
  <si>
    <t>Siemens NX: gemelos digitales mecatronicos</t>
  </si>
  <si>
    <t>Celdas, embotellado, encajonado y paletizado; interfaces CAD con RobotStudio</t>
  </si>
  <si>
    <t>Tecnomatix Plant Simulation: modelo integral de planta</t>
  </si>
  <si>
    <t>L1-L3, turnos, buffers, fallas, OEE, escenarios y capacidad</t>
  </si>
  <si>
    <t>Ignition SCADA e historian</t>
  </si>
  <si>
    <t>Sinopticos, tags, alarmas, tendencias, presion y equipos de las tres lineas</t>
  </si>
  <si>
    <t>MES, Coreflux MQTT y UNS</t>
  </si>
  <si>
    <t>79 topicos, OEE/KPI/eventos/alarmas, trazabilidad y AvailableQuantity</t>
  </si>
  <si>
    <t>ERP/Odoo y analitica de demanda</t>
  </si>
  <si>
    <t>Pronostico, MRP, inventarios, compras, MO, ventas, facturacion e integracion MES</t>
  </si>
  <si>
    <t>Ciberseguridad OT, edge y arquitectura de datos</t>
  </si>
  <si>
    <t>Segmentacion, backups, hardening, usuarios, certificados y recuperacion</t>
  </si>
  <si>
    <t>PMO, documentacion, QA y protocolos FAT/SAT</t>
  </si>
  <si>
    <t>Plan maestro, riesgos, control de cambios, manuales y trazabilidad de pruebas</t>
  </si>
  <si>
    <t>Inspeccion tecnica y due diligence de maquinaria usada</t>
  </si>
  <si>
    <t>Llenadoras KRONES L1/L2: condicion, formatos, repuestos y prueba en vacio</t>
  </si>
  <si>
    <t>Subcontratado / terceros</t>
  </si>
  <si>
    <t>FAT remoto/presencial y viaticos</t>
  </si>
  <si>
    <t>Pruebas de fillers/Variopac y celdas; cotizar antes de adjudicar</t>
  </si>
  <si>
    <t>global</t>
  </si>
  <si>
    <t>Logistica / viajes</t>
  </si>
  <si>
    <t>Costo Directo — Ingenieria de detalle, FAT/SAT y PMO</t>
  </si>
  <si>
    <t>Subtotal</t>
  </si>
  <si>
    <t>AIU 27.5% (Admin 15.2% + Imprev 5.1% + Util 7.3%)</t>
  </si>
  <si>
    <t>AIU</t>
  </si>
  <si>
    <t>PRECIO TOTAL — Ingenieria de detalle, FAT/SAT y PMO (= CAPEX hoja Servicios)</t>
  </si>
  <si>
    <t>Total</t>
  </si>
  <si>
    <t>Supervision ULogix de desmontaje, montaje y comisionamiento</t>
  </si>
  <si>
    <t>Coordinacion mecanica, electrica, automatizacion, software y arranque</t>
  </si>
  <si>
    <t>Especialistas OEM maquinaria KRONES usada L1/L2</t>
  </si>
  <si>
    <t>Ajuste de formatos, overhaul selectivo, puesta a punto y SAT</t>
  </si>
  <si>
    <t>Cuadrillas mecanicas/electricas y rigging</t>
  </si>
  <si>
    <t>Montaje de fillers, Variopac, encajonadora, conveyors y celdas</t>
  </si>
  <si>
    <t>Comisionamiento celdas ABB y GANTRY</t>
  </si>
  <si>
    <t>GANTRY compartido L1/L2 y robot garrafones L3</t>
  </si>
  <si>
    <t>Gruas, montacargas, alineacion y andamios</t>
  </si>
  <si>
    <t>Ventanas de parada coordinadas por linea</t>
  </si>
  <si>
    <t>Equipos / alquiler</t>
  </si>
  <si>
    <t>Cableado, canaletas, soporteria y consumibles</t>
  </si>
  <si>
    <t>Material menor no incluido en BOM de equipos</t>
  </si>
  <si>
    <t>Materiales</t>
  </si>
  <si>
    <t>Seguridad industrial HSE</t>
  </si>
  <si>
    <t>Permisos, LOTO, EPP, pruebas de seguridad y dossier</t>
  </si>
  <si>
    <t>Transporte local, izaje y nacionalizacion complementaria</t>
  </si>
  <si>
    <t>No duplica envios incluidos en cotizaciones EUROBOTS/IGAM</t>
  </si>
  <si>
    <t>Costo Directo — Instalacion y puesta en marcha (EPC)</t>
  </si>
  <si>
    <t>AIU 28.0% (Admin 15.4% + Imprev 5.1% + Util 7.4%)</t>
  </si>
  <si>
    <t>PRECIO TOTAL — Instalacion y puesta en marcha (EPC) (= CAPEX hoja Servicios)</t>
  </si>
  <si>
    <t>Diseño y facilitacion de capacitacion ULogix</t>
  </si>
  <si>
    <t>Operaciones, mantenimiento, SCADA, MES, ERP, UNS, NX, Tecnomatix y RobotStudio</t>
  </si>
  <si>
    <t>Manuales, videos, SOP y escenarios de simulacion</t>
  </si>
  <si>
    <t>Entregables editables y ejercicios por rol</t>
  </si>
  <si>
    <t>Especialistas externos/OEM</t>
  </si>
  <si>
    <t>Formacion especifica KRONES y ABB</t>
  </si>
  <si>
    <t>Logistica de entrenamiento por turnos</t>
  </si>
  <si>
    <t>Cobertura L1/L2 tres turnos y L3 un turno</t>
  </si>
  <si>
    <t>Costo Directo — Capacitacion y gestion del cambio</t>
  </si>
  <si>
    <t>PRECIO TOTAL — Capacitacion y gestion del cambio (= CAPEX hoja Servicios)</t>
  </si>
  <si>
    <t>Costos variables por lote — FINANZAS/PRODUCCION</t>
  </si>
  <si>
    <t>Base financiera (editable): componentes por lote de referencia → costo unitario. El ER usa estos costos unitarios; margen = precio (Parametros) − costo.</t>
  </si>
  <si>
    <t>P1 · Coca-Cola 330/350 mL retornable</t>
  </si>
  <si>
    <t>costo por lote COP</t>
  </si>
  <si>
    <t>% del total</t>
  </si>
  <si>
    <t>Jarabe base / concentrado</t>
  </si>
  <si>
    <t>Agua tratada</t>
  </si>
  <si>
    <t>CO2</t>
  </si>
  <si>
    <t>Lavado y sanitizacion envase</t>
  </si>
  <si>
    <t>Tapas</t>
  </si>
  <si>
    <t>Etiquetas</t>
  </si>
  <si>
    <t>Energia y utilidades variables</t>
  </si>
  <si>
    <t>Control de calidad</t>
  </si>
  <si>
    <t>Rotura / merma envase retornable</t>
  </si>
  <si>
    <t>Materiales auxiliares</t>
  </si>
  <si>
    <t>Total lote</t>
  </si>
  <si>
    <t>Lote de referencia (u)</t>
  </si>
  <si>
    <t>COSTO UNITARIO (→ ER)</t>
  </si>
  <si>
    <t>P2 · Coca-Cola PET 1.5 L</t>
  </si>
  <si>
    <t>Preforma / botella PET</t>
  </si>
  <si>
    <t>Energia y utilidades</t>
  </si>
  <si>
    <t>P3 · Garrafon agua 25 L</t>
  </si>
  <si>
    <t>Tratamiento de agua</t>
  </si>
  <si>
    <t>Lavado / sanitizacion garrafon</t>
  </si>
  <si>
    <t>Tapas y sellos</t>
  </si>
  <si>
    <t>Reposicion parque garrafones</t>
  </si>
  <si>
    <t>Flujo de caja del proyecto (incremental) — 60 meses</t>
  </si>
  <si>
    <t>FCF = EBITDA incremental − impuesto − CAPEX en fases − equipo de implementacion ± capital de trabajo. Indicadores abajo (VPN, TIR, ROI, paybacks).</t>
  </si>
  <si>
    <t>TMAR mensual</t>
  </si>
  <si>
    <t>(−) Impuesto</t>
  </si>
  <si>
    <t>(−) CAPEX (fases)</t>
  </si>
  <si>
    <t>(−) Equipo implementacion ULogix</t>
  </si>
  <si>
    <t>Δ Capital de trabajo</t>
  </si>
  <si>
    <t>Factor de descuento</t>
  </si>
  <si>
    <t>FCF descontado</t>
  </si>
  <si>
    <t>FCF acumulado</t>
  </si>
  <si>
    <t>Acumulado descontado</t>
  </si>
  <si>
    <t>INDICADORES DEL PROYECTO (demanda Base)</t>
  </si>
  <si>
    <t>TIR mensual</t>
  </si>
  <si>
    <t>Ganancia neta 60m (COP)</t>
  </si>
  <si>
    <t>Capital de trabajo (m5→m60)</t>
  </si>
  <si>
    <t>Balance general simplificado del PROYECTO — mensual</t>
  </si>
  <si>
    <t>Perspectiva incremental: CxC/Inv/CxP con DSO/DIO/DPO sobre los flujos incrementales; activo fijo = CAPEX pagado − D&amp;A acumulada; patrimonio = aportes + resultados (plug). Chequeo = 0.</t>
  </si>
  <si>
    <t>ACTIVOS</t>
  </si>
  <si>
    <t>Caja (acumulada, piso 0)</t>
  </si>
  <si>
    <t>Cuentas por cobrar (DSO)</t>
  </si>
  <si>
    <t>Inventarios (DIO)</t>
  </si>
  <si>
    <t>Activo fijo e intangible neto</t>
  </si>
  <si>
    <t>TOTAL ACTIVOS</t>
  </si>
  <si>
    <t>PASIVOS</t>
  </si>
  <si>
    <t>Cuentas por pagar (DPO)</t>
  </si>
  <si>
    <t>Impuestos por pagar (mes corriente)</t>
  </si>
  <si>
    <t>TOTAL PASIVOS</t>
  </si>
  <si>
    <t>Patrimonio (aportes + resultados)</t>
  </si>
  <si>
    <t>Chequeo balance (=0)</t>
  </si>
  <si>
    <t>Evaluacion del ESCENARIO ACTIVO del ERP</t>
  </si>
  <si>
    <t>Mismo motor del caso base pero sobre la hoja DemandaEscenario (la app la actualiza al Activar un escenario). Compara contra el caso base al final.</t>
  </si>
  <si>
    <t>Escenario evaluado</t>
  </si>
  <si>
    <t>u P1 / P2 / P3 (solo control)</t>
  </si>
  <si>
    <t>Ingresos base del escenario</t>
  </si>
  <si>
    <t>COGS base del escenario</t>
  </si>
  <si>
    <t>EBITDA incremental del escenario</t>
  </si>
  <si>
    <t>D&amp;A</t>
  </si>
  <si>
    <t>Impuesto</t>
  </si>
  <si>
    <t>FCF del escenario</t>
  </si>
  <si>
    <t>INDICADORES DEL ESCENARIO vs BASE</t>
  </si>
  <si>
    <t>VPN escenario (COP)</t>
  </si>
  <si>
    <t>Δ VPN vs Base (COP)</t>
  </si>
  <si>
    <t>ROI Anualizado</t>
  </si>
  <si>
    <t>Analisis de sensibilidad — tres escenarios (base financiera)</t>
  </si>
  <si>
    <t>Factores sobre el EBITDA incremental y el CAPEX + TMAR distinta, con formulas completas (el tornado parametrico detallado vive en la pagina Finanzas del dashboard).</t>
  </si>
  <si>
    <t>factor ventas/beneficio</t>
  </si>
  <si>
    <t>factor CAPEX</t>
  </si>
  <si>
    <t>TMAR anual</t>
  </si>
  <si>
    <t>Conservador — FCF ajustado</t>
  </si>
  <si>
    <t>Base — FCF ajustado</t>
  </si>
  <si>
    <t>Optimista — FCF ajustado</t>
  </si>
  <si>
    <t/>
  </si>
  <si>
    <t>TORNADO PARAMÉTRICO — margen bruto anual (escenario Base)</t>
  </si>
  <si>
    <t>Margen base: $297,851,331,711 COP. Cada parámetro se perturba individualmente entre su cota baja y alta manteniendo el resto en el valor base — el ranking indica dónde vale la pena invertir en mejor información (recalculado con `core/sensibilidad.py: tornado()`, snapshot al publicar; el interactivo vive en la página Finanzas del dashboard).</t>
  </si>
  <si>
    <t>parámetro</t>
  </si>
  <si>
    <t>cota baja→alta</t>
  </si>
  <si>
    <t>margen bajo (COP)</t>
  </si>
  <si>
    <t>margen alto (COP)</t>
  </si>
  <si>
    <t>Δ% bajo</t>
  </si>
  <si>
    <t>Δ% alto</t>
  </si>
  <si>
    <t>Precio de venta</t>
  </si>
  <si>
    <t>$270,288,932,361</t>
  </si>
  <si>
    <t>$325,413,731,061</t>
  </si>
  <si>
    <t>-9.25%</t>
  </si>
  <si>
    <t>+9.25%</t>
  </si>
  <si>
    <t>Costo de materiales</t>
  </si>
  <si>
    <t>$323,190,997,240</t>
  </si>
  <si>
    <t>$272,511,666,182</t>
  </si>
  <si>
    <t>+8.51%</t>
  </si>
  <si>
    <t>-8.51%</t>
  </si>
  <si>
    <t>OEE (+/-5 pts sobre ~77%)</t>
  </si>
  <si>
    <t>$278,555,538,566</t>
  </si>
  <si>
    <t>$317,147,124,856</t>
  </si>
  <si>
    <t>-6.48%</t>
  </si>
  <si>
    <t>+6.48%</t>
  </si>
  <si>
    <t>Participacion planta Bogota</t>
  </si>
  <si>
    <t>$297,752,034,148</t>
  </si>
  <si>
    <t>$297,950,629,274</t>
  </si>
  <si>
    <t>-0.03%</t>
  </si>
  <si>
    <t>+0.03%</t>
  </si>
  <si>
    <t>Participacion SKU en categoria</t>
  </si>
  <si>
    <t>Demanda sostenida (factor)</t>
  </si>
  <si>
    <t>$297,801,682,929</t>
  </si>
  <si>
    <t>$297,900,980,493</t>
  </si>
  <si>
    <t>-0.02%</t>
  </si>
  <si>
    <t>+0.02%</t>
  </si>
  <si>
    <t>ESCENARIOS DE PRONÓSTICO — cómo se propagan por el ERP</t>
  </si>
  <si>
    <t>Los 6 escenarios (`core/escenarios.py`) aplican factores multiplicativos mes a mes POR PRODUCTO sobre el pronóstico estadístico base (Holt-Winters + Bates-Granger óptimo) — el modelo nunca se recalibra, solo se escala. Se activan en la página *Escenarios* del dashboard (botón 'Activar'), y desde ahí la demanda del escenario elegido reemplaza a la Base en TODO el resto de la suite hasta que se vuelva a cambiar:</t>
  </si>
  <si>
    <t>① Inventario / MRP (página *Inventario*): política (s,Q) y plan de compras se recalculan con la nueva demanda; la sección 'Capacidad y factibilidad de producción' muestra si cada línea sigue siendo factible con los turnos actuales.</t>
  </si>
  <si>
    <t>② Compras (página *Órdenes Odoo*): el plan MRP que se convierte en purchase.order/mrp.production usa la demanda del escenario activo.</t>
  </si>
  <si>
    <t>③ Finanzas (página *Finanzas*): el caso de negocio (VPN/TIR/ROI/payback) se recalcula para el escenario activo y se compara contra Base en la misma pantalla.</t>
  </si>
  <si>
    <t>④ Sheets: al activar, la demanda del escenario se publica a la hoja `DemandaEscenario` (rango fijo A4:F16) — las hojas `FinancieroEscenario` y esta misma `Sensibilidad` (filas 1-21, arriba) leen de ahí.</t>
  </si>
  <si>
    <t>justificación</t>
  </si>
  <si>
    <t>fuente</t>
  </si>
  <si>
    <t>Pronostico oficial v4 sin ajuste (HW + Bates-Granger optimo).</t>
  </si>
  <si>
    <t>Scripts 01-04 del repositorio; backtest un-paso 5 trimestres.</t>
  </si>
  <si>
    <t>Mundial 2026</t>
  </si>
  <si>
    <t>Plan comercial KOF para el Mundial FIFA (11-jun a 19-jul-2026). v4 diferencia formatos: el consumo personal/on-premise (P1, 350 ml) capta mas el evento que el familiar (P2, 1.5 L hogar); garrafon casi ajeno (r=0.12 con refrescos).</t>
  </si>
  <si>
    <t>Refs [12],[13],[20] del reporte; historico de torneos en reportes KOF.</t>
  </si>
  <si>
    <t>Disrupcion de transporte ~2 semanas (ilustrada en agosto): -18% en las tres lineas por dias de despacho perdidos; octubre recupera +4% por pedidos represados.</t>
  </si>
  <si>
    <t>Impacto reportado por KOF/ANDI en el paro nacional de 2021.</t>
  </si>
  <si>
    <t>Recesion moderada</t>
  </si>
  <si>
    <t>Caida de ingreso disponible desde junio. v4 diferencia por downtrading hacia retornables (asequibilidad KOF): P1 -3%, P2 -7% (blend ~-5% del escenario original); garrafon (bien basico) -2%.</t>
  </si>
  <si>
    <t>Elasticidades LatAm citadas en el reporte; estrategia de asequibilidad KOF.</t>
  </si>
  <si>
    <t>Restriccion hidrica adicional (CAR)</t>
  </si>
  <si>
    <t>Endurecimiento de la Resolucion CAR 347/2026 (La Calera): -15% sostenido en garrafon desde julio; P1/P2 sin efecto (acueducto, no manantial).</t>
  </si>
  <si>
    <t>Ref [12] del reporte; racionamiento EAAB 2024-2025.</t>
  </si>
  <si>
    <t>Repunte agresivo post-impuesto</t>
  </si>
  <si>
    <t>La recuperacion de refrescos tras el impuesto saludable (+9.2% interanual real en 1T-2026) se sostiene mas alla del modelo base (ya conservador, phi&lt;1): +5% sostenido en P1 y P2.</t>
  </si>
  <si>
    <t>Ref [21] del reporte; Ley 2277/2022.</t>
  </si>
  <si>
    <t>Depreciacion y amortizacion lineal — FINANZAS</t>
  </si>
  <si>
    <t>Base = SUMIF de la hoja CAPEX por categoria (sin contingencia); vidas editables. El cargo inicia en el mes 5 (activos en servicio).</t>
  </si>
  <si>
    <t>categoria</t>
  </si>
  <si>
    <t>base depreciable COP</t>
  </si>
  <si>
    <t>cargo mensual COP</t>
  </si>
  <si>
    <t>comentario</t>
  </si>
  <si>
    <t>Retrofits, celdas roboticas y equipos fisicos</t>
  </si>
  <si>
    <t>PLC, HMI, vision, sensores, red, edge</t>
  </si>
  <si>
    <t>Ingenieria, FAT/SAT, EPC (capitalizables)</t>
  </si>
  <si>
    <t>Licencias perpetuas</t>
  </si>
  <si>
    <t>D&amp;A TOTAL MENSUAL (→ ER)</t>
  </si>
  <si>
    <t>Inventarios y rotacion — INVENTARIO</t>
  </si>
  <si>
    <t>Bloque 1: politica (s,Q) escrita por la APP desde el ERP (rango fijo A4:I8; pagina Inventario → simular). Bloque 2: rotacion con formulas sobre la demanda y Costos_Lote.</t>
  </si>
  <si>
    <t>ts</t>
  </si>
  <si>
    <t>sku</t>
  </si>
  <si>
    <t>punto_reorden_s</t>
  </si>
  <si>
    <t>stock_seguridad</t>
  </si>
  <si>
    <t>lote_Q</t>
  </si>
  <si>
    <t>pallets_por_lote</t>
  </si>
  <si>
    <t>fill_rate</t>
  </si>
  <si>
    <t>capital_inmovilizado_cop</t>
  </si>
  <si>
    <t>2026-07-12T14:10:33+00:00</t>
  </si>
  <si>
    <t>(pendiente)</t>
  </si>
  <si>
    <t>—</t>
  </si>
  <si>
    <t>2026-07-14T07:18:34.321336+00:00</t>
  </si>
  <si>
    <t>ROTACION DE INVENTARIOS (año 1)</t>
  </si>
  <si>
    <t>unidades año 1</t>
  </si>
  <si>
    <t>COGS anual COP</t>
  </si>
  <si>
    <t>inv. promedio (DIO) COP</t>
  </si>
  <si>
    <t>rotacion (veces/año)</t>
  </si>
  <si>
    <t>dias de inventario</t>
  </si>
  <si>
    <t>rotacion real (capital ERP)</t>
  </si>
  <si>
    <t>TOTAL portafolio</t>
  </si>
  <si>
    <t>ESTUDIO DE TIEMPOS Y OEE — PLANTA KOF FONTIBÓN (CORREGIDO Y CONSOLIDADO) — DOCUMENTAL</t>
  </si>
  <si>
    <t>Fuente: Tiempos_Fontibon_Corregido.xlsx (auditoría APM, 8 hallazgos corregidos, ver Bloque 2). DOCUMENTAL: no está conectado al ERP en vivo — es referencia de ingeniería para el diseño del equipo. Los KPIs VIVOS de OEE/TEEP NO se gestionan en el ERP: llegan por MQTT según el UNS (FEMSA/+/MES/KPI/#) y se consultan en las páginas Producción MQTT y Base de datos (tabla kpi_uns). Consolidada 2026-07: esta hoja reemplaza a Tiempos + OEE_TEEP (redundante, borrada) — todo el contenido queda en un solo lugar.</t>
  </si>
  <si>
    <t>BLOQUE 1 · MEMORIA — METODOLOGÍA Y HALLAZGOS CLAVE</t>
  </si>
  <si>
    <t>CÁLCULO DE TIEMPOS — PLANTA KOF FONTIBÓN (CORREGIDO)  ·  Formulación APM (apuntes del curso)</t>
  </si>
  <si>
    <t>Líneas: L1 = Coca-Cola 350 ml vidrio retornable · L2 = QuAtro 1.5 L PET NR · L3 = Garrafón 25 L. Demanda: pronóstico abr-2026→mar-2027 del proyecto.</t>
  </si>
  <si>
    <t>■ Fuentes de las tasas nominales (Rp máquina)</t>
  </si>
  <si>
    <t>L1: 40.000–45.000 bph observados en visita técnica (se usa 42.500 central, rango en sensibilidad). L2: llenadora KRONES usada ~2004 tipo monoblock (referencias de mercado de usados equivalentes a los enlaces suministrados): 12.000 bph en botella 1,5 L (14.000 en 0,5 L). L3: no hay dato de planta; se adopta línea industrial de garrafón 3–5 gal tipo QGF-600 → 600 gfn/h (familia QGF: 100–1.200 bph; QGF-900 = 6 válvulas, 900 bph).</t>
  </si>
  <si>
    <t>■ OEE bottom-up (no calibrado)</t>
  </si>
  <si>
    <t>El OEE se CONSTRUYE por línea desde los datos del sistema y el 75–78 % de la visita se usa solo como VALIDACIÓN: A = Ter/Tep con Tip=70 min (alistamiento+saneamiento, visita) y Tnp por línea (protocolo de fallas de la visita); SE = Rp real/Rp de diseño (L1: 40.000 del EBI / 42.500 de la llenadora = 94,1 %; L2: 12.000/13.000 usado; L3: 600/650); RE desde microparos medibles (reacción 5 min, chequeos horarios → 15–30 min/turno); Q = 99,93 % (archivo original). El OEE resultante cae por sí solo en el rango observado — fila de validación explícita.</t>
  </si>
  <si>
    <t>■ Tiempos de la visita usados</t>
  </si>
  <si>
    <t>Alistamiento Tsu = 1 h + saneamiento 10 min = 70 min por corrida (notas de visita, línea PET). Cambio de producto 1 h (1 h 10 en L3-PET). Monitoreo de paneles cada 1 h; ante falla se detiene y se revisa la producción 1 h antes y 1 h después (usado en el bloque MTBF/MTTR ilustrativo).</t>
  </si>
  <si>
    <t>■ Qué se corrigió del archivo original</t>
  </si>
  <si>
    <t>Ver hoja 'Correcciones': 8 hallazgos, del error conceptual Takt=Tc a las tasas no soportadas por la visita.</t>
  </si>
  <si>
    <t>■ Paletizado/despaletizado manual</t>
  </si>
  <si>
    <t>La planta NO tiene celdas robóticas: paletizado y despaletizado son manuales. Se modelan como estaciones con Tc igual al del cuello de botella (línea sincronizada al llenado) y Tno declarado; NO limitan la tasa porque trabajan en paralelo por cuadrillas, pero sí suman al MLT.</t>
  </si>
  <si>
    <t>■ Estación crítica</t>
  </si>
  <si>
    <t>El llenado es la estación crítica (naturaleza del proceso): la tasa de línea = tasa de la llenadora. Tc = 3600/Rp_llenadora.</t>
  </si>
  <si>
    <t>■ TEEP</t>
  </si>
  <si>
    <t>TEEP no está en los apuntes; se usa la definición estándar TEEP = OEE × Carga, con Carga = tiempo programado (S·H·días operativos)/tiempo calendario (24 h × 365 d). Mide cuánto del calendario total se convierte en producción buena.</t>
  </si>
  <si>
    <t>■ Hallazgo de capacidad (ver hoja Capacidad_vs_Demanda)</t>
  </si>
  <si>
    <t>Con 2 turnos, la capacidad EFECTIVA de L1 y L2 queda por debajo de la demanda pronosticada (U&gt;100 %): se requiere tercer turno (al menos en meses pico) o recalibrar la captura de planta del supuesto S3. El detalle y los escenarios están en la hoja.</t>
  </si>
  <si>
    <t>BLOQUE 2 · CORRECCIONES — AUDITORÍA DEL ARCHIVO ORIGINAL (8 hallazgos)</t>
  </si>
  <si>
    <t>Hallazgo</t>
  </si>
  <si>
    <t>En el archivo original</t>
  </si>
  <si>
    <t>Corrección aplicada aquí</t>
  </si>
  <si>
    <t>1. Takt ≠ Tiempo de ciclo</t>
  </si>
  <si>
    <t>Fila 'Tack Time = Tiempo ciclo' y SE calculado con Takt=Tc (SE=B9/B32).</t>
  </si>
  <si>
    <t>Takt = T_D/D depende de la DEMANDA (apuntes); Tc = 3600/Rp depende de la MÁQUINA. Se calculan por separado y se comparan (holgura Takt−Tc).</t>
  </si>
  <si>
    <t>2. Tasas sin soporte</t>
  </si>
  <si>
    <t>350 ml a 50.000 bph; '1L' con 40.000 y 60.000 en hojas distintas; garrafón '60 L/hora' (≈2,4 gfn/h, imposible).</t>
  </si>
  <si>
    <t>L1=42.500 bph (visita 40–45 k); L2=12.000 bph (KRONES usada 2004, refs. de mercado); L3=600 gfn/h (QGF-600). Fuente en comentario de cada celda.</t>
  </si>
  <si>
    <t>3. RE = 1,10 &gt; 1</t>
  </si>
  <si>
    <t>Volumen real supuesto = objetivo y Tc inflado ×1,1 → RE imposible (&gt;1).</t>
  </si>
  <si>
    <t>RE = (Vol.real×Tc)/Ter con Vol.real medido u objetivo×OEE; aquí PE=RE·SE se calibra al OEE observado (75–78 %) y RE≤1 por construcción.</t>
  </si>
  <si>
    <t>4. SE = 0,8 'porque sí'</t>
  </si>
  <si>
    <t>Celda K8: 'Porque si'.</t>
  </si>
  <si>
    <t>SE = Tc diseñado/Tc real (apuntes). Con línea sincronizada al cuello, SE se estima de la razón velocidad real/nominal; queda editable y documentado.</t>
  </si>
  <si>
    <t>5. Sin TEEP</t>
  </si>
  <si>
    <t>No existe.</t>
  </si>
  <si>
    <t>Hoja OEE_TEEP: TEEP = OEE × Carga calendario, por línea y escenario de turnos.</t>
  </si>
  <si>
    <t>6. Sin vínculo a demanda</t>
  </si>
  <si>
    <t>Botellas/turno arbitrarias (210.000; 100.000; 5.000).</t>
  </si>
  <si>
    <t>Demanda = pronóstico del proyecto (abr-26→mar-27): Takt promedio y de mes pico (dic-26); PC vs demanda → Utilización U.</t>
  </si>
  <si>
    <t>7. Sin Tb, Tp, MLT</t>
  </si>
  <si>
    <t>Fórmulas de lote y lead time ausentes.</t>
  </si>
  <si>
    <t>Tb=Tsu+Q·Tc; Tp=Tb/Q; Rp=60/Tp; MLT=Tsu(max)+Σ(Tci+Tnoi)+(Q−1)·Tc_n con estaciones reales (paletizado manual incluido).</t>
  </si>
  <si>
    <t>8. Horas útiles fijas 7 h sin trazar</t>
  </si>
  <si>
    <t>Horas útiles' = 7 sin descomponer.</t>
  </si>
  <si>
    <t>Tt→Tip→Tep→Tnp→Ter explícitos (8,0−1,0=7,0; −0,75→6,25 h) → A=89,3 %, consistente con OEE 76,5 % de la visita.</t>
  </si>
  <si>
    <t>BLOQUE 3 · ANTES DEL PROYECTO — PARÁMETROS Y TIEMPOS BASE MEDIDOS (fórmulas APM: Tc/T_D/Takt/Q/Tb/Tp/Rp_lote/MLT/capacidad)</t>
  </si>
  <si>
    <t>rp_nominal_uph</t>
  </si>
  <si>
    <t>rp_diseno_uph</t>
  </si>
  <si>
    <t>ciclo_Tc_s</t>
  </si>
  <si>
    <t>turnos</t>
  </si>
  <si>
    <t>horas_turno</t>
  </si>
  <si>
    <t>dias_operativos_ano</t>
  </si>
  <si>
    <t>tsu_alistamiento_min</t>
  </si>
  <si>
    <t>q_lote_turno_und</t>
  </si>
  <si>
    <t>unidades_por_pallet</t>
  </si>
  <si>
    <t>tb_lote_h</t>
  </si>
  <si>
    <t>tp_s_por_und</t>
  </si>
  <si>
    <t>rp_lote_uph</t>
  </si>
  <si>
    <t>mlt_lote_h</t>
  </si>
  <si>
    <t>capacidad_efectiva_anual_und</t>
  </si>
  <si>
    <t>Coca-Cola 350 ml vidrio retornable</t>
  </si>
  <si>
    <t>QuAtro 1.5 L PET NR</t>
  </si>
  <si>
    <t>Garrafon 25 L retornable</t>
  </si>
  <si>
    <t>Nota L3: cuello real es el paletizado MANUAL (2 operarios x 240 gfn/h), no la llenadora (600 gfn/h) — la celda robótica elimina ese cuello.</t>
  </si>
  <si>
    <t>BLOQUE 4 · MLT / VSM POR LÍNEA (Value Stream Map estación-por-estación) — MLT = Tsu(max) + Σ(Tc_i+Tno_i) + (Q−1)·Tc_cuello</t>
  </si>
  <si>
    <t>MLT = Tsu(max) + Σ(Tc_i + Tno_i) + (Q−1)·Tc_cuello — sobre la base de los VSM del proyecto</t>
  </si>
  <si>
    <t>Tc_i y disponibilidades por estación: VSM Línea 2 (330 mL→L1), VSM Línea 3 (1L-2L→L2), VSM Línea 7 (20L→L3). Tno_i = esperas de inventario del VSM (h→s). Q = lote de un turno. En L3 el paletizado es MANUAL (25 kg/gfn) y es la estación crítica.</t>
  </si>
  <si>
    <t>L1 · CC 350 (base VSM Línea 2)</t>
  </si>
  <si>
    <t>Estación (VSM)</t>
  </si>
  <si>
    <t>Tc_i (s)</t>
  </si>
  <si>
    <t>Disp. VSM</t>
  </si>
  <si>
    <t>Tno_i (h)</t>
  </si>
  <si>
    <t>Tno_i (s)</t>
  </si>
  <si>
    <t>Recepción</t>
  </si>
  <si>
    <t>Lavado</t>
  </si>
  <si>
    <t>Mezclado</t>
  </si>
  <si>
    <t>Llenado</t>
  </si>
  <si>
    <t>Tapado</t>
  </si>
  <si>
    <t>Etiquetado</t>
  </si>
  <si>
    <t>Inspección (HEUFT PRIME reasignada)</t>
  </si>
  <si>
    <t>Paletizado manual</t>
  </si>
  <si>
    <t>Almacenaje</t>
  </si>
  <si>
    <t>MLT del lote-turno (h)</t>
  </si>
  <si>
    <t>Alistamiento + paso por estaciones + esperas VSM + corrida del lote. Nota: en L3 el Tc del VSM del paletizado (4 s) se corrige a 15 s por la realidad manual de 25 kg — indicación del proyecto.</t>
  </si>
  <si>
    <t>L2 · QuAtro 1.5 (base VSM Línea 3)</t>
  </si>
  <si>
    <t>Recepción preformas</t>
  </si>
  <si>
    <t>Soplado</t>
  </si>
  <si>
    <t>Enjuague</t>
  </si>
  <si>
    <t>Inspección (Linatronic reasignada)</t>
  </si>
  <si>
    <t>L3 · Garrafón (base VSM Línea 7)</t>
  </si>
  <si>
    <t>Inspección</t>
  </si>
  <si>
    <t>PALETIZADO MANUAL 25 kg (crítica)</t>
  </si>
  <si>
    <t>BLOQUE 5 · OEE BOTTOM-UP (base medido, valida 75-78% de la visita técnica) — A=Ter/Tep · SE=Rp_real/Rp_diseño · RE=microparos medidos · PE=RE×SE · Q=1−rechazo · OEE=A×PE×Q</t>
  </si>
  <si>
    <t>A_disponibilidad</t>
  </si>
  <si>
    <t>SE_tasa</t>
  </si>
  <si>
    <t>RE_microparos</t>
  </si>
  <si>
    <t>PE_desempeno</t>
  </si>
  <si>
    <t>Q_calidad</t>
  </si>
  <si>
    <t>oee_base</t>
  </si>
  <si>
    <t>carga_calendario</t>
  </si>
  <si>
    <t>teep</t>
  </si>
  <si>
    <t>tt_turno_h</t>
  </si>
  <si>
    <t>tip_parada_inherente_h</t>
  </si>
  <si>
    <t>tnp_parada_no_programada_h</t>
  </si>
  <si>
    <t>BLOQUE 6 · MEJORA DE OEE A IMPLEMENTAR — OBJETIVO ESTRICTO +5% RELATIVO (exacto por línea, no una cifra plana aproximada)</t>
  </si>
  <si>
    <t>oee_a_implementar = oee_base × 1.05 EXACTO para cada línea. El Δpp necesario varía por línea porque cada una parte de un OEE base distinto. Reparto 50% disponibilidad / 30% rendimiento / 20% calidad del Δpp exacto de cada línea (no 50/30/20 de una cifra fija repetida en las 3).</t>
  </si>
  <si>
    <t>oee_a_implementar</t>
  </si>
  <si>
    <t>mejora_total_pp</t>
  </si>
  <si>
    <t>mejora_disponibilidad_pp</t>
  </si>
  <si>
    <t>mejora_rendimiento_pp</t>
  </si>
  <si>
    <t>mejora_calidad_pp</t>
  </si>
  <si>
    <t>meta_programa_oee</t>
  </si>
  <si>
    <t>justificacion</t>
  </si>
  <si>
    <t>+1.93pp A: celdas roboticas de paletizado eliminan microparos y bajan MTTR (UNS/MES) | +1.16pp SE/RE: retrofit de llenadoras | +0.77pp Q: reasignacion de inspectoras existentes HEUFT/Linatronic (capex-cero, ver Maquinas_Referencias) -- suma 3.856pp = exactamente +5% relativo (77.12% -&gt; 80.97%)</t>
  </si>
  <si>
    <t>+1.91pp A: celdas roboticas de paletizado eliminan microparos y bajan MTTR (UNS/MES) | +1.15pp SE/RE: retrofit de llenadoras | +0.76pp Q: reasignacion de inspectoras existentes HEUFT/Linatronic (capex-cero, ver Maquinas_Referencias) -- suma 3.825pp = exactamente +5% relativo (76.50% -&gt; 80.32%)</t>
  </si>
  <si>
    <t>+1.88pp A: celdas roboticas de paletizado eliminan microparos y bajan MTTR (UNS/MES) | +1.13pp SE/RE: retrofit de llenadoras | +0.75pp Q: reasignacion de inspectoras existentes HEUFT/Linatronic (capex-cero, ver Maquinas_Referencias) -- suma 3.769pp = exactamente +5% relativo (75.37% -&gt; 79.14%)</t>
  </si>
  <si>
    <t>Meta de programa (86%) es ASPIRACIONAL de largo plazo — distinta del +5% estricto del caso de negocio actual, no confundir ambas.</t>
  </si>
  <si>
    <t>CRONOGRAMA DE IMPLEMENTACIÓN (atado a las 4 fases de preoperación del CAPEX, core/finanzas_negocio.py: FASES_CAPEX)</t>
  </si>
  <si>
    <t>Fase</t>
  </si>
  <si>
    <t>Mes preop.</t>
  </si>
  <si>
    <t>% CAPEX fase</t>
  </si>
  <si>
    <t>Palanca</t>
  </si>
  <si>
    <t>Componente OEE</t>
  </si>
  <si>
    <t>Detalle</t>
  </si>
  <si>
    <t>Ingenieria de detalle + pedidos de celdas roboticas y llenadoras</t>
  </si>
  <si>
    <t>Sin ganancia de OEE aun -- fase de ingenieria/procura.</t>
  </si>
  <si>
    <t>Instalacion y comisionamiento de celdas roboticas de paletizado (L1-L2/L3)</t>
  </si>
  <si>
    <t>disponibilidad</t>
  </si>
  <si>
    <t>Elimina microparos y esperas del paletizado manual; baja MTTR (monitoreable por UNS/MES) -&gt; gana el componente de disponibilidad.</t>
  </si>
  <si>
    <t>Cambio por llenadoras KRONES usadas en L1/L2; L3 conserva su llenadora</t>
  </si>
  <si>
    <t>rendimiento</t>
  </si>
  <si>
    <t>Estabiliza la velocidad real vs nominal (SE) y reduce microparos de llenado (RE) -&gt; gana el componente de rendimiento.</t>
  </si>
  <si>
    <t>Reasignacion de inspectoras existentes (HEUFT PRIME L2-&gt;L1, Linatronic 713 L1-&gt;L2, capex-cero) + arranque operativo pleno</t>
  </si>
  <si>
    <t>calidad</t>
  </si>
  <si>
    <t>Reduce scrap/reprocesos -&gt; gana el componente de calidad. Al cierre de esta fase (mes 4 de preoperacion) el +5% relativo queda completo, justo antes de la rampa operativa del mes 5 (RAMPA_MES5 del modelo financiero).</t>
  </si>
  <si>
    <t>BLOQUE 7 · CAPACIDAD Y FACTIBILIDAD — ANTES vs DESPUÉS DEL PROYECTO (misma demanda; cambian equipos, OEE, tiempos y turnos)</t>
  </si>
  <si>
    <t>demanda_anual_und</t>
  </si>
  <si>
    <t>equipo_antes</t>
  </si>
  <si>
    <t>equipo_despues</t>
  </si>
  <si>
    <t>rp_antes_uph</t>
  </si>
  <si>
    <t>rp_despues_uph</t>
  </si>
  <si>
    <t>ciclo_antes_s</t>
  </si>
  <si>
    <t>ciclo_despues_s</t>
  </si>
  <si>
    <t>oee_antes</t>
  </si>
  <si>
    <t>oee_despues</t>
  </si>
  <si>
    <t>turnos_antes</t>
  </si>
  <si>
    <t>turnos_despues</t>
  </si>
  <si>
    <t>q_antes_und</t>
  </si>
  <si>
    <t>q_despues_und</t>
  </si>
  <si>
    <t>mlt_antes_h</t>
  </si>
  <si>
    <t>mlt_despues_h</t>
  </si>
  <si>
    <t>capacidad_antes_und</t>
  </si>
  <si>
    <t>capacidad_despues_mismos_turnos_und</t>
  </si>
  <si>
    <t>capacidad_despues_und</t>
  </si>
  <si>
    <t>U_antes</t>
  </si>
  <si>
    <t>U_despues</t>
  </si>
  <si>
    <t>incremento_capacidad_pct</t>
  </si>
  <si>
    <t>dictamen_antes</t>
  </si>
  <si>
    <t>dictamen_despues</t>
  </si>
  <si>
    <t>condicion_proyecto</t>
  </si>
  <si>
    <t>KRONES Mecafill usada 42.500 u/h + paletizado manual</t>
  </si>
  <si>
    <t>KRONES VODM/Modulfill usada 44.000 u/h + encajonadora 30x30 + GANTRY ABB</t>
  </si>
  <si>
    <t>Cambio de llenadora, encajonadora custom, conveyors/VFD y GANTRY compartido L1-L2</t>
  </si>
  <si>
    <t>KRONES Contiform Bloc 2004 12.000 u/h + paletizado manual</t>
  </si>
  <si>
    <t>KRONES usada 18.000 u/h + Variopac termoencogible + GANTRY ABB compartido</t>
  </si>
  <si>
    <t>Cambio de llenadora; Variopac prepara paquetes y el mismo GANTRY alterna el paletizado con L1</t>
  </si>
  <si>
    <t>Monoblock 600 gfn/h limitado por paletizado manual a 480 gfn/h</t>
  </si>
  <si>
    <t>Llenadora/tapadora existente 600 gfn/h + robot ABB EUROBOTS</t>
  </si>
  <si>
    <t>Se conserva la llenadora; solo se incorpora la celda robotica de paletizado</t>
  </si>
  <si>
    <t>La capacidad DESPUÉS con los mismos turnos separa el efecto tecnológico/OEE del efecto calendario. El proyecto completo usa 3 turnos en L1/L2 y 1 en L3.</t>
  </si>
  <si>
    <t>MLT DESPUÉS es una proyección: conserva las esperas del VSM base y recalcula la corrida con el nuevo cuello/lote. Debe reemplazarse por la medición SAT/comisionamiento.</t>
  </si>
  <si>
    <t>BLOQUE 8 · MÁQUINAS Y REFERENCIAS COMERCIALES POR ETAPA (tasas de catálogo/mercado de usados, referencia real)</t>
  </si>
  <si>
    <t>MÁQUINAS POR ETAPA — referencias comerciales realistas (equipos usados, planta de 15+ años)</t>
  </si>
  <si>
    <t>Tasas de catálogo/mercado de usados por marca (columna Ref → hoja Referencias). Tc = 3600/tasa. La estación con MENOR tasa define la línea (cuello = llenadora en L1/L2/L3).</t>
  </si>
  <si>
    <t>Etapa / máquina</t>
  </si>
  <si>
    <t>Referencia comercial (marca · modelo · condición)</t>
  </si>
  <si>
    <t>Tasa (und/h)</t>
  </si>
  <si>
    <t>Tc (s/und)</t>
  </si>
  <si>
    <t>Ref</t>
  </si>
  <si>
    <t>¿Cuello?  ·  Nota</t>
  </si>
  <si>
    <t>L1 · Coca-Cola 350 ml vidrio retornable  (2 turnos × 8 h)</t>
  </si>
  <si>
    <t>Despaletizado / desencajonado</t>
  </si>
  <si>
    <t>MANUAL por cuadrillas (sin celdas robóticas en planta)</t>
  </si>
  <si>
    <t>manual</t>
  </si>
  <si>
    <t>No limita tasa (paralelo); suma Tno al MLT.</t>
  </si>
  <si>
    <t>Lavadora de botellas</t>
  </si>
  <si>
    <t>KRONES Lavatec (usada; clase 50–60k bph en vidrio retornable)</t>
  </si>
  <si>
    <t>[2]</t>
  </si>
  <si>
    <t>Sobredimensionada vs llenadora: absorbe paradas cortas.</t>
  </si>
  <si>
    <t>Inspección (vacía/llena)</t>
  </si>
  <si>
    <t>HEUFT PRIME reasignada DESDE L2 (72.000 cph): estaba sobredimensionada allí</t>
  </si>
  <si>
    <t>[9]</t>
  </si>
  <si>
    <t>Intercambio capex-cero propuesto: libera el cuello de 40k que imponía la Linatronic.</t>
  </si>
  <si>
    <t>Llenadora + tapadora (corona)</t>
  </si>
  <si>
    <t>KRONES Mecafill/Modulfill vidrio usada — 40–45k bph (visita)</t>
  </si>
  <si>
    <t>SÍ — con la HEUFT en L1, la llenadora vuelve a ser la crítica.</t>
  </si>
  <si>
    <t>Inspección botella llena</t>
  </si>
  <si>
    <t>KRONES Checkmat usada (nivel/tapa; ≥ línea)</t>
  </si>
  <si>
    <t>No limita.</t>
  </si>
  <si>
    <t>Encajonado</t>
  </si>
  <si>
    <t>Empacadora de cajones usada (clase ≥50k bph)</t>
  </si>
  <si>
    <t>Paletizado</t>
  </si>
  <si>
    <t>MANUAL por cuadrillas</t>
  </si>
  <si>
    <t>Suma Tno al MLT (90 s declarados).</t>
  </si>
  <si>
    <t>Cuello de la línea (mín. tasa)</t>
  </si>
  <si>
    <t>Debe coincidir con la Rp de Parametros (misma llenadora).</t>
  </si>
  <si>
    <t>L2 · QuAtro 1.5 L PET NR  (2 turnos × 8 h)</t>
  </si>
  <si>
    <t>Bloc soplado-llenado-tapado</t>
  </si>
  <si>
    <t>KRONES Contiform Bloc usado 2004 (CSD): 12.000 bph @1,5 L</t>
  </si>
  <si>
    <t>[3]</t>
  </si>
  <si>
    <t>SÍ — el bloc integra la crítica; 14.000 @0,5 L.</t>
  </si>
  <si>
    <t>KRONES Linatronic 713 reasignada DESDE L1 (40.000 bph)</t>
  </si>
  <si>
    <t>[1]</t>
  </si>
  <si>
    <t>Sobra ampliamente vs bloc de 12k; no limita.</t>
  </si>
  <si>
    <t>Etiquetadora</t>
  </si>
  <si>
    <t>KRONES Contiroll usada (2004)</t>
  </si>
  <si>
    <t>[4]</t>
  </si>
  <si>
    <t>Empaque packs ×6</t>
  </si>
  <si>
    <t>KRONES Variopac usada: 28–30 cajas/min (6×4) ≈ 40k bph</t>
  </si>
  <si>
    <t>Suma Tno al MLT.</t>
  </si>
  <si>
    <t>L3 · Garrafón 25 L retornable  (1 turno × 8 h, contraciclo)</t>
  </si>
  <si>
    <t>Descapsulado + lavado ext/int</t>
  </si>
  <si>
    <t>Lavadora garrafón usada (clase 200–900 gph)</t>
  </si>
  <si>
    <t>[7]</t>
  </si>
  <si>
    <t>Llenadora-tapadora 3-en-1</t>
  </si>
  <si>
    <t>Monoblock garrafón 11–25 L usado (clase QGF-600)</t>
  </si>
  <si>
    <t>[6][7][8]</t>
  </si>
  <si>
    <t>Capacidad propia 600; queda por ENCIMA del paletizado manual.</t>
  </si>
  <si>
    <t>Inspección / lámpara</t>
  </si>
  <si>
    <t>Visión + inspección manual asistida</t>
  </si>
  <si>
    <t>PALETIZADO MANUAL (crítica)</t>
  </si>
  <si>
    <t>2 operarios cargando garrafones de 25 kg uno a uno al pallet (5 capas)</t>
  </si>
  <si>
    <t>[10b]</t>
  </si>
  <si>
    <t>SÍ — cuello REAL de L3: 240 gfn/h por operario (ciclo ~15 s, límite ergonómico de levantamiento repetitivo tipo NIOSH). Con 1 operario: 240 → infactible.</t>
  </si>
  <si>
    <t>ESTADO DESPUÉS DEL PROYECTO — EQUIPO CRÍTICO Y ALCANCE REAL</t>
  </si>
  <si>
    <t>equipo antes</t>
  </si>
  <si>
    <t>equipo después</t>
  </si>
  <si>
    <t>intervención</t>
  </si>
  <si>
    <t>Nota L2: el proyecto ahora incorpora una llenadora KRONES usada de 18.000 u/h y una Variopac usada; la tasa de diseño se dimensiona con holgura sobre la demanda y el OEE objetivo.</t>
  </si>
  <si>
    <t>Nota (decisión #15 de CLAUDE.md): el CAPEX real YA NO incluye comprar equipos de inspección nuevos. Esto reconcilia perfecto con el 'intercambio capex-cero de inspectoras' de arriba — HEUFT PRIME y Linatronic 713 son equipos EXISTENTES que se REASIGNAN entre L1/L2, no se compran nuevos.</t>
  </si>
  <si>
    <t>BLOQUE 9 · GLOSARIO</t>
  </si>
  <si>
    <t>GLOSARIO</t>
  </si>
  <si>
    <t>Rp</t>
  </si>
  <si>
    <t>Tasa de producción (und/h). 'Nominal/diseño' = placa de la máquina; 'real' = velocidad sostenida del equipo usado o del cuello.</t>
  </si>
  <si>
    <t>Tc</t>
  </si>
  <si>
    <t>Tiempo de ciclo (s/und) = 3600/Rp. El de la estación crítica marca el pulso de la línea.</t>
  </si>
  <si>
    <t>Takt</t>
  </si>
  <si>
    <t>Ritmo de la demanda = tiempo neto disponible / unidades demandadas. Takt&lt;Tc ⇒ el sistema no alcanza.</t>
  </si>
  <si>
    <t>Tt, Tip, Tnp, Tep, Ter</t>
  </si>
  <si>
    <t>Turno total; inactividad planeada (alistamiento+saneamiento); no planeada (fallas); Tep=Tt−Tip; Ter=Tep−Tnp (tiempo real de ejecución).</t>
  </si>
  <si>
    <t>Tsu</t>
  </si>
  <si>
    <t>Tiempo de alistamiento por corrida (70 min: 1 h + 10 min de saneamiento, visita).</t>
  </si>
  <si>
    <t>Q (lote)</t>
  </si>
  <si>
    <t>Definición del proyecto: producción de UN TURNO de 8 h = Rp_real×8×OEE, redondeado a pallets completos.</t>
  </si>
  <si>
    <t>Tb, Tp</t>
  </si>
  <si>
    <t>Tb=Tsu+Q·Tc (duración del lote); Tp=Tb/Q (tiempo por unidad con alistamiento prorrateado).</t>
  </si>
  <si>
    <t>PC, U</t>
  </si>
  <si>
    <t>Capacidad de producción (n·S·H·Rp) y utilización U=Demanda/PC. U&gt;100 % = infactible.</t>
  </si>
  <si>
    <t>MLT</t>
  </si>
  <si>
    <t>Manufacturing Lead Time: Tsu(max)+Σ(Tc_i+Tno_i)+(Q−1)·Tc del cuello. Aquí con estaciones y esperas de los VSM.</t>
  </si>
  <si>
    <t>Tno_i</t>
  </si>
  <si>
    <t>Tiempo de no operación tras la estación i (esperas de inventario del VSM, en h→s).</t>
  </si>
  <si>
    <t>A, RE, SE, PE, Q(calidad)</t>
  </si>
  <si>
    <t>Disponibilidad=Ter/Tep; RE=pérdidas de ritmo dentro de Ter; SE=Rp real/Rp diseño; PE=RE×SE; Q=1−rechazo.</t>
  </si>
  <si>
    <t>A×PE×Q. Construido bottom-up desde el sistema; el 75–78 % de la visita es VALIDACIÓN, no objetivo.</t>
  </si>
  <si>
    <t>TEEP</t>
  </si>
  <si>
    <t>OEE × Carga calendario (S·H·días operativos / 24·365). Eficacia sobre el calendario total; brecha = turnos no programados.</t>
  </si>
  <si>
    <t>MTBF, MTTR</t>
  </si>
  <si>
    <t>Tiempo medio entre fallas y de reparación; A=MTBF/(MTBF+MTTR).</t>
  </si>
  <si>
    <t>VSM, LT, VA</t>
  </si>
  <si>
    <t>Value Stream Map; Lead Time total del flujo; tiempo de Valor Agregado (suma de Tc). Base: VSM Líneas 2, 3 y 7 del proyecto [13].</t>
  </si>
  <si>
    <t>Cuello de botella</t>
  </si>
  <si>
    <t>Estación de menor tasa. L1: llenadora (42,5k, tras reasignar la HEUFT); L2: bloc (12k); L3: PALETIZADO MANUAL (480 con 2 operarios).</t>
  </si>
  <si>
    <t>Estación crítica L3</t>
  </si>
  <si>
    <t>Paletizado manual de garrafones: operario levanta 25 kg uno a uno (≈15 s/gfn, ~240/h·operario, límite ergonómico tipo NIOSH [10b]).</t>
  </si>
  <si>
    <t>Calendario Bogotá</t>
  </si>
  <si>
    <t>365 − 52 domingos − 17 festivos entre semana (Ley Emiliani) − 10 días de overhaul = 286 días; L3 opera 120 en contraciclo.</t>
  </si>
  <si>
    <t>Intercambio de inspectoras</t>
  </si>
  <si>
    <t>Propuesta capex-cero: HEUFT PRIME (72k) pasa de L2 a L1; Linatronic (40k) pasa a L2, donde sobra frente al bloc de 12k.</t>
  </si>
  <si>
    <t>BLOQUE 10 · REFERENCIAS Y CITAS</t>
  </si>
  <si>
    <t>REFERENCIAS</t>
  </si>
  <si>
    <t>KRONES Linatronic 713 — inspector de botella vacía de vidrio, usado (2013), salida máx. 40.000 bph en el formato menor. MachinePoint, inventario de usados KRONES: https://www.machinepoint.com/machinepoint/inventory.nsf/bybrand?openform=&amp;cat_brand=krones</t>
  </si>
  <si>
    <t>Visita técnica planta KOF Fontibón (apuntes propios): línea vidrio 350 ml a 40.000–45.000 bph, 2 turnos de 8 h; alistamiento 1 h + saneamiento 10 min; paneles cada 1 h; sin celdas robóticas (paletizado manual). Clases Lavatec/Checkmat/encajonadora tomadas como no-limitantes por diseño de línea (sobredimensionadas vs. llenadora).</t>
  </si>
  <si>
    <t>Línea PET KRONES usada, año 2004, para agua carbonatada y refrescos (CSD): 12.000 bph @1,5 L; 14.000 bph @0,5 L (equivalente comercial de los enlaces Truck1 suministrados). Machineseeker: https://www.machineseeker.com/mss/pet — 'COMPLETE BOTTLING LINE PET KRONES', NP 684 y ficha CSD 2004.</t>
  </si>
  <si>
    <t>Referencias KRONES usadas de apoyo: Contiform S8 + Mecafill triblock (2004) 12.800 bph; Contiroll (2004); Variopac 459 (2005) 28–30 cajas/min; línea aséptica 2002: 17.000 bph @1,5 L. Machineseeker/Resale/UsedBottlingLines (ver [3] y https://www.resale.info/en/filling-line-krones/).</t>
  </si>
  <si>
    <t>[5]</t>
  </si>
  <si>
    <t>KRONES ErgoBloc PET 1,5 L: 32.000 bph (referencia de tope de gama, NO usada aquí; acota el rango). Resale: https://www.resale.info/en/krones-filling-line/</t>
  </si>
  <si>
    <t>[6]</t>
  </si>
  <si>
    <t>Línea de llenado garrafón retornable clase 11–25 L (5 gal/19 L, incluye 25 L): comercial hasta 3.000 bph, hasta 12 válvulas. iBottling: https://ibottling.com/filling/5-gallon-water-filling-machine/</t>
  </si>
  <si>
    <t>Monoblock garrafón QGF-600 (600 gfn/h) y QGF-900 (900 gfn/h, 6 válvulas, barril ф276×490 mm): fichas técnicas comerciales. FESTA: https://www.festamachine.com/300bph-5-gallon-20l-water-bottling-line/ · Made-in-China (QGF-900): https://cnkingmachine.en.made-in-china.com/product/JjMnDgTcgiWX/China-Water-Jar-20-Litre-Liter-Mineral-Water-Filling-Plant-Machine-Line.html · TINGS 600 BPH 18,9/20 L: https://www.jmtings.com/product/600bph-5-gallon-20l-18-9l-bottle-water-filling-machine/</t>
  </si>
  <si>
    <t>[8]</t>
  </si>
  <si>
    <t>Lavadora 18,9 L usada: 200–300 bph por unidad (se instalan en paralelo). Machineseeker UK: https://www.machineseeker.co.uk/mss/bottle+filling+machine</t>
  </si>
  <si>
    <t>HEUFT PRIME — inspector de botella llena, plataforma para líneas de alta velocidad (clase hasta ~72.000 env/h según formato). HEUFT Systemtechnik: https://heuft.com</t>
  </si>
  <si>
    <t>[10]</t>
  </si>
  <si>
    <t>Calendario laboral Colombia: 18 días festivos/año (Ley 51 de 1983, 'Ley Emiliani': traslado de festivos a lunes). Días operativos L-S Bogotá ≈ 365 − 52 domingos − 17 festivos entre semana ≈ 296; menos 10 días de overhaul anual → 286.</t>
  </si>
  <si>
    <t>Estación manual de paletizado de garrafón: ciclo sostenible ~15 s por levantamiento de 25 kg del transportador al pallet (≈240 gfn/h·operario), acotado por criterios de levantamiento repetitivo (ecuación de levantamiento NIOSH, límite recomendado ~23 kg en condiciones ideales → exige relevos y pausas). Indicación del proyecto: estación crítica de L3.</t>
  </si>
  <si>
    <t>[13]</t>
  </si>
  <si>
    <t>VSM Línea 2 (330 mL), Línea 3 (1L-2L) y Línea 7 (20L) — elaboración propia del proyecto (diagramas adjuntos): TC y disponibilidad por estación, esperas de inventario, LT y VA usados en la hoja MLT_VSM.</t>
  </si>
  <si>
    <t>[11]</t>
  </si>
  <si>
    <t>OEE 75–78 % de planta y tiempos (Tsu=1 h, saneamiento 10 min, Tnp≈0,75 h/turno, monitoreo horario): visita técnica [2]. Tabla de clasificación OEE y fórmulas Takt/Tc/Tb/Rp/PC/U/MLT/OEE: apuntes del curso APM (C. J. Cortés-Rodríguez, UNAL).</t>
  </si>
  <si>
    <t>[12]</t>
  </si>
  <si>
    <t>Demandas: 2025 = serie reconstruida con datos trimestrales reales KOF Colombia × participación de planta; 2026 = pronóstico Holt-Winters abr-2026→mar-2027 (repositorio del proyecto, data/).</t>
  </si>
  <si>
    <t>PlanCompras — la escribe la APP por la API de Sheets</t>
  </si>
  <si>
    <t>COMPRAS · MRP explosionado (BOM x demanda del escenario activo).</t>
  </si>
  <si>
    <t>etiqueta_mes</t>
  </si>
  <si>
    <t>uom</t>
  </si>
  <si>
    <t>precio_unitario_cop</t>
  </si>
  <si>
    <t>fecha_pedido</t>
  </si>
  <si>
    <t>fecha_necesidad</t>
  </si>
  <si>
    <t>Abr-26</t>
  </si>
  <si>
    <t>TAP-CORONA</t>
  </si>
  <si>
    <t>Tapa corona 26 mm</t>
  </si>
  <si>
    <t>un</t>
  </si>
  <si>
    <t>Tapas La Libertad</t>
  </si>
  <si>
    <t>2026-03-18</t>
  </si>
  <si>
    <t>2026-04-01</t>
  </si>
  <si>
    <t>unidades</t>
  </si>
  <si>
    <t>precio_unit_cop</t>
  </si>
  <si>
    <t>costo_unit_cop</t>
  </si>
  <si>
    <t>ingreso_cop</t>
  </si>
  <si>
    <t>costo_cop</t>
  </si>
  <si>
    <t>margen_cop</t>
  </si>
  <si>
    <t>2026-07-13T15:06:41+00:00</t>
  </si>
  <si>
    <t>2026-07-13T15:06:40+00:00</t>
  </si>
  <si>
    <t>2026-07-13T14:40:19+00:00</t>
  </si>
  <si>
    <t>2026-07-13T12:53:10+00:00</t>
  </si>
  <si>
    <t>2026-07-13T12:47:39+00:00</t>
  </si>
  <si>
    <t>2026-07-13T05:12:40+00:00</t>
  </si>
  <si>
    <t>2026-07-13T04:10:42+00:00</t>
  </si>
  <si>
    <t>2026-07-13T03:13:03+00:00</t>
  </si>
  <si>
    <t>2026-07-13T02:54:17+00:00</t>
  </si>
  <si>
    <t>2026-07-13T02:19:01+00:00</t>
  </si>
  <si>
    <t>2026-07-13T01:51:04+00:00</t>
  </si>
  <si>
    <t>2026-07-13T00:20:27+00:00</t>
  </si>
  <si>
    <t>2026-07-13T00:20:26+00:00</t>
  </si>
  <si>
    <t>2026-07-13T00:20:23+00:00</t>
  </si>
  <si>
    <t>2026-07-13T00:20:21+00:00</t>
  </si>
  <si>
    <t>2026-07-13T00:20:19+00:00</t>
  </si>
  <si>
    <t>2026-07-13T00:20:17+00:00</t>
  </si>
  <si>
    <t>2026-07-13T00:20:05+00:00</t>
  </si>
  <si>
    <t>2026-07-13T00:20:03+00:00</t>
  </si>
  <si>
    <t>2026-07-13T00:20:02+00:00</t>
  </si>
  <si>
    <t>2026-07-13T00:16:15+00:00</t>
  </si>
  <si>
    <t>2026-07-13T00:16:12+00:00</t>
  </si>
  <si>
    <t>2026-07-13T00:16:11+00:00</t>
  </si>
  <si>
    <t>2026-07-13T00:16:09+00:00</t>
  </si>
  <si>
    <t>2026-07-13T00:16:07+00:00</t>
  </si>
  <si>
    <t>2026-07-13T00:16:06+00:00</t>
  </si>
  <si>
    <t>2026-07-13T00:16:04+00:00</t>
  </si>
  <si>
    <t>2026-07-13T00:16:02+00:00</t>
  </si>
  <si>
    <t>2026-07-13T00:16:01+00:00</t>
  </si>
  <si>
    <t>2026-07-13T00:15:58+00:00</t>
  </si>
  <si>
    <t>2026-07-13T00:15:56+00:00</t>
  </si>
  <si>
    <t>2026-07-13T00:15:55+00:00</t>
  </si>
  <si>
    <t>2026-07-13T00:15:53+00:00</t>
  </si>
  <si>
    <t>2026-07-13T00:15:52+00:00</t>
  </si>
  <si>
    <t>2026-07-13T00:15:50+00:00</t>
  </si>
  <si>
    <t>2026-07-13T00:15:49+00:00</t>
  </si>
  <si>
    <t>2026-07-13T00:15:48+00:00</t>
  </si>
  <si>
    <t>2026-07-13T00:15:42+00:00</t>
  </si>
  <si>
    <t>2026-07-13T00:15:41+00:00</t>
  </si>
  <si>
    <t>2026-07-13T00:15:40+00:00</t>
  </si>
  <si>
    <t>2026-07-13T00:15:38+00:00</t>
  </si>
  <si>
    <t>2026-07-13T00:15:37+00:00</t>
  </si>
  <si>
    <t>2026-07-13T00:15:36+00:00</t>
  </si>
  <si>
    <t>2026-07-13T00:15:35+00:00</t>
  </si>
  <si>
    <t>2026-07-13T00:15:34+00:00</t>
  </si>
  <si>
    <t>2026-07-13T00:15:33+00:00</t>
  </si>
  <si>
    <t>2026-07-13T00:14:25+00:00</t>
  </si>
  <si>
    <t>2026-07-13T00:14:24+00:00</t>
  </si>
  <si>
    <t>2026-07-13T00:14:22+00:00</t>
  </si>
  <si>
    <t>2026-07-13T00:14:20+00:00</t>
  </si>
  <si>
    <t>2026-07-13T00:14:19+00:00</t>
  </si>
  <si>
    <t>2026-07-13T00:14:18+00:00</t>
  </si>
  <si>
    <t>2026-07-13T00:14:15+00:00</t>
  </si>
  <si>
    <t>2026-07-13T00:14:13+00:00</t>
  </si>
  <si>
    <t>2026-07-13T00:14:12+00:00</t>
  </si>
  <si>
    <t>2026-07-13T00:14:09+00:00</t>
  </si>
  <si>
    <t>2026-07-13T00:14:08+00:00</t>
  </si>
  <si>
    <t>2026-07-13T00:14:07+00:00</t>
  </si>
  <si>
    <t>2026-07-13T00:14:05+00:00</t>
  </si>
  <si>
    <t>2026-07-13T00:14:03+00:00</t>
  </si>
  <si>
    <t>2026-07-13T00:14:02+00:00</t>
  </si>
  <si>
    <t>2026-07-13T00:13:59+00:00</t>
  </si>
  <si>
    <t>2026-07-13T00:13:58+00:00</t>
  </si>
  <si>
    <t>2026-07-13T00:13:56+00:00</t>
  </si>
  <si>
    <t>2026-07-13T00:13:54+00:00</t>
  </si>
  <si>
    <t>2026-07-13T00:13:53+00:00</t>
  </si>
  <si>
    <t>2026-07-13T00:13:51+00:00</t>
  </si>
  <si>
    <t>2026-07-13T00:13:47+00:00</t>
  </si>
  <si>
    <t>2026-07-13T00:13:46+00:00</t>
  </si>
  <si>
    <t>2026-07-13T00:13:45+00:00</t>
  </si>
  <si>
    <t>2026-07-13T00:13:43+00:00</t>
  </si>
  <si>
    <t>2026-07-13T00:13:42+00:00</t>
  </si>
  <si>
    <t>2026-07-13T00:12:01+00:00</t>
  </si>
  <si>
    <t>2026-07-13T00:11:59+00:00</t>
  </si>
  <si>
    <t>2026-07-13T00:11:57+00:00</t>
  </si>
  <si>
    <t>2026-07-13T00:11:55+00:00</t>
  </si>
  <si>
    <t>2026-07-13T00:11:53+00:00</t>
  </si>
  <si>
    <t>2026-07-13T00:11:52+00:00</t>
  </si>
  <si>
    <t>2026-07-13T00:11:50+00:00</t>
  </si>
  <si>
    <t>2026-07-13T00:11:48+00:00</t>
  </si>
  <si>
    <t>2026-07-13T00:11:47+00:00</t>
  </si>
  <si>
    <t>2026-07-13T00:11:41+00:00</t>
  </si>
  <si>
    <t>2026-07-13T00:11:40+00:00</t>
  </si>
  <si>
    <t>2026-07-13T00:11:38+00:00</t>
  </si>
  <si>
    <t>2026-07-13T00:11:26+00:00</t>
  </si>
  <si>
    <t>2026-07-13T00:11:21+00:00</t>
  </si>
  <si>
    <t>2026-07-13T00:11:20+00:00</t>
  </si>
  <si>
    <t>2026-07-13T00:09:38+00:00</t>
  </si>
  <si>
    <t>2026-07-13T00:09:36+00:00</t>
  </si>
  <si>
    <t>2026-07-13T00:09:33+00:00</t>
  </si>
  <si>
    <t>2026-07-13T00:09:31+00:00</t>
  </si>
  <si>
    <t>2026-07-13T00:09:30+00:00</t>
  </si>
  <si>
    <t>2026-07-13T00:09:26+00:00</t>
  </si>
  <si>
    <t>2026-07-13T00:09:25+00:00</t>
  </si>
  <si>
    <t>2026-07-13T00:09:23+00:00</t>
  </si>
  <si>
    <t>2026-07-13T00:09:20+00:00</t>
  </si>
  <si>
    <t>2026-07-13T00:09:16+00:00</t>
  </si>
  <si>
    <t>2026-07-13T00:09:15+00:00</t>
  </si>
  <si>
    <t>2026-07-13T00:09:12+00:00</t>
  </si>
  <si>
    <t>2026-07-13T00:07:23+00:00</t>
  </si>
  <si>
    <t>2026-07-13T00:07:21+00:00</t>
  </si>
  <si>
    <t>2026-07-13T00:07:20+00:00</t>
  </si>
  <si>
    <t>2026-07-13T00:07:18+00:00</t>
  </si>
  <si>
    <t>2026-07-13T00:06:56+00:00</t>
  </si>
  <si>
    <t>2026-07-13T00:06:55+00:00</t>
  </si>
  <si>
    <t>2026-07-13T00:06:54+00:00</t>
  </si>
  <si>
    <t>2026-07-13T00:06:51+00:00</t>
  </si>
  <si>
    <t>2026-07-13T00:06:49+00:00</t>
  </si>
  <si>
    <t>2026-07-13T00:06:47+00:00</t>
  </si>
  <si>
    <t>2026-07-13T00:06:46+00:00</t>
  </si>
  <si>
    <t>2026-07-13T00:06:44+00:00</t>
  </si>
  <si>
    <t>2026-07-13T00:06:43+00:00</t>
  </si>
  <si>
    <t>2026-07-13T00:05:11+00:00</t>
  </si>
  <si>
    <t>2026-07-13T00:05:09+00:00</t>
  </si>
  <si>
    <t>2026-07-13T00:05:08+00:00</t>
  </si>
  <si>
    <t>2026-07-13T00:05:05+00:00</t>
  </si>
  <si>
    <t>2026-07-13T00:05:04+00:00</t>
  </si>
  <si>
    <t>2026-07-13T00:05:02+00:00</t>
  </si>
  <si>
    <t>2026-07-13T00:04:58+00:00</t>
  </si>
  <si>
    <t>2026-07-13T00:04:57+00:00</t>
  </si>
  <si>
    <t>2026-07-13T00:04:56+00:00</t>
  </si>
  <si>
    <t>2026-07-13T00:04:53+00:00</t>
  </si>
  <si>
    <t>2026-07-13T00:04:50+00:00</t>
  </si>
  <si>
    <t>2026-07-13T00:04:49+00:00</t>
  </si>
  <si>
    <t>2026-07-13T00:04:46+00:00</t>
  </si>
  <si>
    <t>2026-07-13T00:04:40+00:00</t>
  </si>
  <si>
    <t>2026-07-13T00:04:39+00:00</t>
  </si>
  <si>
    <t>2026-07-13T00:04:38+00:00</t>
  </si>
  <si>
    <t>2026-07-13T00:04:36+00:00</t>
  </si>
  <si>
    <t>2026-07-13T00:04:34+00:00</t>
  </si>
  <si>
    <t>2026-07-13T00:04:33+00:00</t>
  </si>
  <si>
    <t>2026-07-13T00:04:30+00:00</t>
  </si>
  <si>
    <t>2026-07-13T00:04:28+00:00</t>
  </si>
  <si>
    <t>2026-07-13T00:04:26+00:00</t>
  </si>
  <si>
    <t>2026-07-13T00:04:22+00:00</t>
  </si>
  <si>
    <t>2026-07-13T00:04:19+00:00</t>
  </si>
  <si>
    <t>2026-07-13T00:03:13+00:00</t>
  </si>
  <si>
    <t>2026-07-13T00:03:12+00:00</t>
  </si>
  <si>
    <t>2026-07-13T00:03:11+00:00</t>
  </si>
  <si>
    <t>2026-07-13T00:03:09+00:00</t>
  </si>
  <si>
    <t>2026-07-13T00:03:07+00:00</t>
  </si>
  <si>
    <t>2026-07-13T00:03:06+00:00</t>
  </si>
  <si>
    <t>2026-07-13T00:03:04+00:00</t>
  </si>
  <si>
    <t>2026-07-13T00:03:03+00:00</t>
  </si>
  <si>
    <t>2026-07-13T00:03:01+00:00</t>
  </si>
  <si>
    <t>2026-07-13T00:02:57+00:00</t>
  </si>
  <si>
    <t>2026-07-13T00:02:55+00:00</t>
  </si>
  <si>
    <t>2026-07-13T00:02:52+00:00</t>
  </si>
  <si>
    <t>2026-07-13T00:02:50+00:00</t>
  </si>
  <si>
    <t>2026-07-13T00:02:49+00:00</t>
  </si>
  <si>
    <t>2026-07-13T00:02:48+00:00</t>
  </si>
  <si>
    <t>2026-07-13T00:02:47+00:00</t>
  </si>
  <si>
    <t>2026-07-13T00:01:12+00:00</t>
  </si>
  <si>
    <t>2026-07-13T00:01:11+00:00</t>
  </si>
  <si>
    <t>2026-07-13T00:01:10+00:00</t>
  </si>
  <si>
    <t>2026-07-13T00:01:06+00:00</t>
  </si>
  <si>
    <t>2026-07-13T00:01:02+00:00</t>
  </si>
  <si>
    <t>2026-07-13T00:01:01+00:00</t>
  </si>
  <si>
    <t>2026-07-13T00:01:00+00:00</t>
  </si>
  <si>
    <t>2026-07-13T00:00:58+00:00</t>
  </si>
  <si>
    <t>2026-07-13T00:00:57+00:00</t>
  </si>
  <si>
    <t>2026-07-13T00:00:56+00:00</t>
  </si>
  <si>
    <t>2026-07-13T00:00:55+00:00</t>
  </si>
  <si>
    <t>2026-07-13T00:00:54+00:00</t>
  </si>
  <si>
    <t>2026-07-13T00:00:53+00:00</t>
  </si>
  <si>
    <t>2026-07-13T00:00:51+00:00</t>
  </si>
  <si>
    <t>2026-07-13T00:00:50+00:00</t>
  </si>
  <si>
    <t>2026-07-13T00:00:48+00:00</t>
  </si>
  <si>
    <t>2026-07-13T00:00:47+00:00</t>
  </si>
  <si>
    <t>2026-07-13T00:00:46+00:00</t>
  </si>
  <si>
    <t>2026-07-13T00:00:45+00:00</t>
  </si>
  <si>
    <t>2026-07-13T00:00:44+00:00</t>
  </si>
  <si>
    <t>2026-07-13T00:00:42+00:00</t>
  </si>
  <si>
    <t>2026-07-13T00:00:40+00:00</t>
  </si>
  <si>
    <t>2026-07-13T00:00:39+00:00</t>
  </si>
  <si>
    <t>2026-07-13T00:00:38+00:00</t>
  </si>
  <si>
    <t>2026-07-12T23:59:09+00:00</t>
  </si>
  <si>
    <t>2026-07-12T23:59:07+00:00</t>
  </si>
  <si>
    <t>2026-07-12T23:59:05+00:00</t>
  </si>
  <si>
    <t>2026-07-12T23:59:02+00:00</t>
  </si>
  <si>
    <t>2026-07-12T23:59:01+00:00</t>
  </si>
  <si>
    <t>2026-07-12T23:58:59+00:00</t>
  </si>
  <si>
    <t>2026-07-12T23:58:56+00:00</t>
  </si>
  <si>
    <t>2026-07-12T23:58:55+00:00</t>
  </si>
  <si>
    <t>2026-07-12T23:58:53+00:00</t>
  </si>
  <si>
    <t>2026-07-12T23:58:50+00:00</t>
  </si>
  <si>
    <t>2026-07-12T23:58:48+00:00</t>
  </si>
  <si>
    <t>2026-07-12T23:58:47+00:00</t>
  </si>
  <si>
    <t>2026-07-12T23:58:44+00:00</t>
  </si>
  <si>
    <t>2026-07-12T23:58:41+00:00</t>
  </si>
  <si>
    <t>2026-07-12T23:58:39+00:00</t>
  </si>
  <si>
    <t>2026-07-12T23:58:38+00:00</t>
  </si>
  <si>
    <t>2026-07-12T23:58:36+00:00</t>
  </si>
  <si>
    <t>2026-07-12T23:58:33+00:00</t>
  </si>
  <si>
    <t>2026-07-12T23:58:32+00:00</t>
  </si>
  <si>
    <t>2026-07-12T23:58:30+00:00</t>
  </si>
  <si>
    <t>2026-07-12T23:58:21+00:00</t>
  </si>
  <si>
    <t>2026-07-12T23:58:20+00:00</t>
  </si>
  <si>
    <t>2026-07-12T23:58:19+00:00</t>
  </si>
  <si>
    <t>2026-07-12T23:58:16+00:00</t>
  </si>
  <si>
    <t>2026-07-12T23:56:24+00:00</t>
  </si>
  <si>
    <t>2026-07-12T23:56:22+00:00</t>
  </si>
  <si>
    <t>2026-07-12T23:56:21+00:00</t>
  </si>
  <si>
    <t>2026-07-12T23:56:19+00:00</t>
  </si>
  <si>
    <t>2026-07-12T23:56:17+00:00</t>
  </si>
  <si>
    <t>2026-07-12T23:56:16+00:00</t>
  </si>
  <si>
    <t>2026-07-12T23:56:14+00:00</t>
  </si>
  <si>
    <t>2026-07-12T23:56:12+00:00</t>
  </si>
  <si>
    <t>2026-07-12T23:56:11+00:00</t>
  </si>
  <si>
    <t>2026-07-12T23:56:08+00:00</t>
  </si>
  <si>
    <t>2026-07-12T23:56:07+00:00</t>
  </si>
  <si>
    <t>2026-07-12T23:56:06+00:00</t>
  </si>
  <si>
    <t>2026-07-12T23:56:05+00:00</t>
  </si>
  <si>
    <t>2026-07-12T23:56:04+00:00</t>
  </si>
  <si>
    <t>2026-07-12T23:55:58+00:00</t>
  </si>
  <si>
    <t>2026-07-12T23:55:56+00:00</t>
  </si>
  <si>
    <t>2026-07-12T23:55:53+00:00</t>
  </si>
  <si>
    <t>2026-07-12T23:55:52+00:00</t>
  </si>
  <si>
    <t>2026-07-12T23:55:51+00:00</t>
  </si>
  <si>
    <t>2026-07-12T23:55:47+00:00</t>
  </si>
  <si>
    <t>2026-07-12T23:55:46+00:00</t>
  </si>
  <si>
    <t>2026-07-12T23:55:45+00:00</t>
  </si>
  <si>
    <t>2026-07-12T23:55:42+00:00</t>
  </si>
  <si>
    <t>2026-07-12T23:55:41+00:00</t>
  </si>
  <si>
    <t>2026-07-12T23:55:40+00:00</t>
  </si>
  <si>
    <t>2026-07-12T23:55:39+00:00</t>
  </si>
  <si>
    <t>2026-07-12T23:53:58+00:00</t>
  </si>
  <si>
    <t>2026-07-12T23:53:57+00:00</t>
  </si>
  <si>
    <t>2026-07-12T23:53:55+00:00</t>
  </si>
  <si>
    <t>2026-07-12T23:53:53+00:00</t>
  </si>
  <si>
    <t>2026-07-12T23:53:52+00:00</t>
  </si>
  <si>
    <t>2026-07-12T23:53:51+00:00</t>
  </si>
  <si>
    <t>2026-07-12T23:53:49+00:00</t>
  </si>
  <si>
    <t>2026-07-12T23:53:48+00:00</t>
  </si>
  <si>
    <t>2026-07-12T23:53:47+00:00</t>
  </si>
  <si>
    <t>2026-07-12T23:53:45+00:00</t>
  </si>
  <si>
    <t>2026-07-12T23:53:43+00:00</t>
  </si>
  <si>
    <t>2026-07-12T23:53:42+00:00</t>
  </si>
  <si>
    <t>2026-07-12T23:53:40+00:00</t>
  </si>
  <si>
    <t>2026-07-12T23:53:37+00:00</t>
  </si>
  <si>
    <t>2026-07-12T23:53:31+00:00</t>
  </si>
  <si>
    <t>2026-07-12T23:53:30+00:00</t>
  </si>
  <si>
    <t>2026-07-12T23:53:28+00:00</t>
  </si>
  <si>
    <t>2026-07-12T23:53:25+00:00</t>
  </si>
  <si>
    <t>2026-07-12T23:53:24+00:00</t>
  </si>
  <si>
    <t>2026-07-12T23:53:22+00:00</t>
  </si>
  <si>
    <t>2026-07-12T23:53:19+00:00</t>
  </si>
  <si>
    <t>2026-07-12T23:51:46+00:00</t>
  </si>
  <si>
    <t>2026-07-12T23:51:43+00:00</t>
  </si>
  <si>
    <t>2026-07-12T23:51:41+00:00</t>
  </si>
  <si>
    <t>2026-07-12T23:51:39+00:00</t>
  </si>
  <si>
    <t>2026-07-12T23:51:35+00:00</t>
  </si>
  <si>
    <t>2026-07-12T23:51:33+00:00</t>
  </si>
  <si>
    <t>2026-07-12T23:51:32+00:00</t>
  </si>
  <si>
    <t>2026-07-12T23:51:28+00:00</t>
  </si>
  <si>
    <t>2026-07-12T23:51:27+00:00</t>
  </si>
  <si>
    <t>2026-07-12T23:51:26+00:00</t>
  </si>
  <si>
    <t>2026-07-12T23:51:21+00:00</t>
  </si>
  <si>
    <t>2026-07-12T23:51:20+00:00</t>
  </si>
  <si>
    <t>2026-07-12T23:51:19+00:00</t>
  </si>
  <si>
    <t>2026-07-12T23:51:17+00:00</t>
  </si>
  <si>
    <t>2026-07-12T23:51:16+00:00</t>
  </si>
  <si>
    <t>2026-07-12T23:51:11+00:00</t>
  </si>
  <si>
    <t>2026-07-12T23:51:10+00:00</t>
  </si>
  <si>
    <t>2026-07-12T23:51:09+00:00</t>
  </si>
  <si>
    <t>2026-07-12T23:51:08+00:00</t>
  </si>
  <si>
    <t>2026-07-12T23:51:06+00:00</t>
  </si>
  <si>
    <t>2026-07-12T23:51:05+00:00</t>
  </si>
  <si>
    <t>2026-07-12T23:51:04+00:00</t>
  </si>
  <si>
    <t>2026-07-12T23:51:02+00:00</t>
  </si>
  <si>
    <t>2026-07-12T23:51:01+00:00</t>
  </si>
  <si>
    <t>2026-07-12T23:50:59+00:00</t>
  </si>
  <si>
    <t>2026-07-12T23:50:58+00:00</t>
  </si>
  <si>
    <t>2026-07-12T23:50:57+00:00</t>
  </si>
  <si>
    <t>2026-07-12T23:49:12+00:00</t>
  </si>
  <si>
    <t>2026-07-12T23:49:10+00:00</t>
  </si>
  <si>
    <t>2026-07-12T23:49:09+00:00</t>
  </si>
  <si>
    <t>2026-07-12T23:49:07+00:00</t>
  </si>
  <si>
    <t>2026-07-12T23:49:06+00:00</t>
  </si>
  <si>
    <t>2026-07-12T23:49:05+00:00</t>
  </si>
  <si>
    <t>2026-07-12T23:49:03+00:00</t>
  </si>
  <si>
    <t>2026-07-12T23:49:01+00:00</t>
  </si>
  <si>
    <t>2026-07-12T23:48:59+00:00</t>
  </si>
  <si>
    <t>2026-07-12T23:48:57+00:00</t>
  </si>
  <si>
    <t>2026-07-12T23:48:55+00:00</t>
  </si>
  <si>
    <t>2026-07-12T23:48:53+00:00</t>
  </si>
  <si>
    <t>2026-07-12T23:48:52+00:00</t>
  </si>
  <si>
    <t>2026-07-12T23:48:51+00:00</t>
  </si>
  <si>
    <t>2026-07-12T23:48:50+00:00</t>
  </si>
  <si>
    <t>2026-07-12T23:48:48+00:00</t>
  </si>
  <si>
    <t>2026-07-12T23:48:44+00:00</t>
  </si>
  <si>
    <t>2026-07-12T23:48:43+00:00</t>
  </si>
  <si>
    <t>2026-07-12T23:48:42+00:00</t>
  </si>
  <si>
    <t>2026-07-12T23:48:41+00:00</t>
  </si>
  <si>
    <t>2026-07-12T23:48:38+00:00</t>
  </si>
  <si>
    <t>2026-07-12T23:48:37+00:00</t>
  </si>
  <si>
    <t>2026-07-12T23:48:35+00:00</t>
  </si>
  <si>
    <t>2026-07-12T23:48:34+00:00</t>
  </si>
  <si>
    <t>2026-07-12T23:48:33+00:00</t>
  </si>
  <si>
    <t>2026-07-12T23:48:32+00:00</t>
  </si>
  <si>
    <t>2026-07-12T23:46:49+00:00</t>
  </si>
  <si>
    <t>2026-07-12T23:46:46+00:00</t>
  </si>
  <si>
    <t>2026-07-12T23:46:44+00:00</t>
  </si>
  <si>
    <t>2026-07-12T23:46:43+00:00</t>
  </si>
  <si>
    <t>2026-07-12T23:46:41+00:00</t>
  </si>
  <si>
    <t>2026-07-12T23:46:39+00:00</t>
  </si>
  <si>
    <t>2026-07-12T23:46:36+00:00</t>
  </si>
  <si>
    <t>2026-07-12T23:46:35+00:00</t>
  </si>
  <si>
    <t>2026-07-12T23:46:34+00:00</t>
  </si>
  <si>
    <t>2026-07-12T23:46:31+00:00</t>
  </si>
  <si>
    <t>2026-07-12T23:46:28+00:00</t>
  </si>
  <si>
    <t>2026-07-12T23:46:27+00:00</t>
  </si>
  <si>
    <t>2026-07-12T23:46:23+00:00</t>
  </si>
  <si>
    <t>2026-07-12T23:46:22+00:00</t>
  </si>
  <si>
    <t>2026-07-12T23:46:21+00:00</t>
  </si>
  <si>
    <t>2026-07-12T23:46:18+00:00</t>
  </si>
  <si>
    <t>2026-07-12T23:46:17+00:00</t>
  </si>
  <si>
    <t>2026-07-12T23:46:16+00:00</t>
  </si>
  <si>
    <t>2026-07-12T23:46:14+00:00</t>
  </si>
  <si>
    <t>2026-07-12T23:44:43+00:00</t>
  </si>
  <si>
    <t>2026-07-12T23:44:40+00:00</t>
  </si>
  <si>
    <t>2026-07-12T23:44:39+00:00</t>
  </si>
  <si>
    <t>2026-07-12T23:44:38+00:00</t>
  </si>
  <si>
    <t>2026-07-12T23:44:35+00:00</t>
  </si>
  <si>
    <t>2026-07-12T23:44:34+00:00</t>
  </si>
  <si>
    <t>2026-07-12T23:44:33+00:00</t>
  </si>
  <si>
    <t>2026-07-12T23:44:30+00:00</t>
  </si>
  <si>
    <t>2026-07-12T23:44:28+00:00</t>
  </si>
  <si>
    <t>2026-07-12T23:44:27+00:00</t>
  </si>
  <si>
    <t>2026-07-12T23:44:25+00:00</t>
  </si>
  <si>
    <t>2026-07-12T23:44:24+00:00</t>
  </si>
  <si>
    <t>2026-07-12T23:44:23+00:00</t>
  </si>
  <si>
    <t>2026-07-12T23:44:21+00:00</t>
  </si>
  <si>
    <t>2026-07-12T23:44:19+00:00</t>
  </si>
  <si>
    <t>2026-07-12T23:44:18+00:00</t>
  </si>
  <si>
    <t>2026-07-12T23:44:16+00:00</t>
  </si>
  <si>
    <t>2026-07-12T23:44:15+00:00</t>
  </si>
  <si>
    <t>2026-07-12T23:44:14+00:00</t>
  </si>
  <si>
    <t>2026-07-12T23:44:12+00:00</t>
  </si>
  <si>
    <t>2026-07-12T23:44:10+00:00</t>
  </si>
  <si>
    <t>2026-07-12T23:44:09+00:00</t>
  </si>
  <si>
    <t>2026-07-12T23:44:06+00:00</t>
  </si>
  <si>
    <t>2026-07-12T23:44:04+00:00</t>
  </si>
  <si>
    <t>2026-07-12T23:44:03+00:00</t>
  </si>
  <si>
    <t>2026-07-12T23:44:01+00:00</t>
  </si>
  <si>
    <t>2026-07-12T23:43:59+00:00</t>
  </si>
  <si>
    <t>2026-07-12T23:43:58+00:00</t>
  </si>
  <si>
    <t>2026-07-12T23:43:55+00:00</t>
  </si>
  <si>
    <t>2026-07-12T23:43:53+00:00</t>
  </si>
  <si>
    <t>2026-07-12T23:43:51+00:00</t>
  </si>
  <si>
    <t>2026-07-12T23:43:49+00:00</t>
  </si>
  <si>
    <t>2026-07-12T23:43:48+00:00</t>
  </si>
  <si>
    <t>2026-07-12T23:43:45+00:00</t>
  </si>
  <si>
    <t>2026-07-12T23:43:43+00:00</t>
  </si>
  <si>
    <t>2026-07-12T23:43:42+00:00</t>
  </si>
  <si>
    <t>2026-07-12T23:43:40+00:00</t>
  </si>
  <si>
    <t>2026-07-12T23:43:38+00:00</t>
  </si>
  <si>
    <t>2026-07-12T23:43:36+00:00</t>
  </si>
  <si>
    <t>2026-07-12T23:43:33+00:00</t>
  </si>
  <si>
    <t>2026-07-12T23:43:32+00:00</t>
  </si>
  <si>
    <t>2026-07-12T23:43:27+00:00</t>
  </si>
  <si>
    <t>2026-07-12T23:43:24+00:00</t>
  </si>
  <si>
    <t>2026-07-12T23:43:23+00:00</t>
  </si>
  <si>
    <t>2026-07-12T23:43:22+00:00</t>
  </si>
  <si>
    <t>2026-07-12T23:43:19+00:00</t>
  </si>
  <si>
    <t>2026-07-12T23:43:17+00:00</t>
  </si>
  <si>
    <t>2026-07-12T23:43:15+00:00</t>
  </si>
  <si>
    <t>2026-07-12T23:43:11+00:00</t>
  </si>
  <si>
    <t>2026-07-12T23:43:10+00:00</t>
  </si>
  <si>
    <t>2026-07-12T23:43:07+00:00</t>
  </si>
  <si>
    <t>2026-07-12T23:43:03+00:00</t>
  </si>
  <si>
    <t>2026-07-12T23:43:02+00:00</t>
  </si>
  <si>
    <t>2026-07-12T23:43:00+00:00</t>
  </si>
  <si>
    <t>2026-07-12T23:42:58+00:00</t>
  </si>
  <si>
    <t>2026-07-12T23:42:55+00:00</t>
  </si>
  <si>
    <t>2026-07-12T23:42:52+00:00</t>
  </si>
  <si>
    <t>2026-07-12T23:42:49+00:00</t>
  </si>
  <si>
    <t>2026-07-12T23:42:47+00:00</t>
  </si>
  <si>
    <t>2026-07-12T23:42:46+00:00</t>
  </si>
  <si>
    <t>2026-07-12T23:42:42+00:00</t>
  </si>
  <si>
    <t>2026-07-12T23:42:41+00:00</t>
  </si>
  <si>
    <t>2026-07-12T23:42:39+00:00</t>
  </si>
  <si>
    <t>2026-07-12T23:42:38+00:00</t>
  </si>
  <si>
    <t>2026-07-12T23:42:37+00:00</t>
  </si>
  <si>
    <t>2026-07-12T23:41:51+00:00</t>
  </si>
  <si>
    <t>2026-07-12T23:41:50+00:00</t>
  </si>
  <si>
    <t>2026-07-12T23:41:49+00:00</t>
  </si>
  <si>
    <t>2026-07-12T23:41:46+00:00</t>
  </si>
  <si>
    <t>2026-07-12T23:41:45+00:00</t>
  </si>
  <si>
    <t>2026-07-12T23:41:44+00:00</t>
  </si>
  <si>
    <t>2026-07-12T23:41:42+00:00</t>
  </si>
  <si>
    <t>2026-07-12T23:41:40+00:00</t>
  </si>
  <si>
    <t>2026-07-12T23:41:37+00:00</t>
  </si>
  <si>
    <t>2026-07-12T23:41:36+00:00</t>
  </si>
  <si>
    <t>2026-07-12T23:41:35+00:00</t>
  </si>
  <si>
    <t>2026-07-12T23:41:31+00:00</t>
  </si>
  <si>
    <t>2026-07-12T23:41:30+00:00</t>
  </si>
  <si>
    <t>2026-07-12T23:41:29+00:00</t>
  </si>
  <si>
    <t>2026-07-12T23:41:26+00:00</t>
  </si>
  <si>
    <t>2026-07-12T23:41:25+00:00</t>
  </si>
  <si>
    <t>2026-07-12T23:41:24+00:00</t>
  </si>
  <si>
    <t>2026-07-12T23:41:22+00:00</t>
  </si>
  <si>
    <t>2026-07-12T23:41:21+00:00</t>
  </si>
  <si>
    <t>2026-07-12T23:41:20+00:00</t>
  </si>
  <si>
    <t>2026-07-12T23:41:18+00:00</t>
  </si>
  <si>
    <t>2026-07-12T23:41:15+00:00</t>
  </si>
  <si>
    <t>2026-07-12T23:41:14+00:00</t>
  </si>
  <si>
    <t>2026-07-12T23:41:12+00:00</t>
  </si>
  <si>
    <t>2026-07-12T23:41:11+00:00</t>
  </si>
  <si>
    <t>2026-07-12T23:41:10+00:00</t>
  </si>
  <si>
    <t>2026-07-12T23:41:09+00:00</t>
  </si>
  <si>
    <t>2026-07-12T23:39:26+00:00</t>
  </si>
  <si>
    <t>2026-07-12T23:39:25+00:00</t>
  </si>
  <si>
    <t>2026-07-12T23:39:24+00:00</t>
  </si>
  <si>
    <t>2026-07-12T23:39:22+00:00</t>
  </si>
  <si>
    <t>2026-07-12T23:39:20+00:00</t>
  </si>
  <si>
    <t>2026-07-12T23:39:19+00:00</t>
  </si>
  <si>
    <t>2026-07-12T23:39:17+00:00</t>
  </si>
  <si>
    <t>2026-07-12T23:39:16+00:00</t>
  </si>
  <si>
    <t>2026-07-12T23:39:15+00:00</t>
  </si>
  <si>
    <t>2026-07-12T23:39:12+00:00</t>
  </si>
  <si>
    <t>2026-07-12T23:39:11+00:00</t>
  </si>
  <si>
    <t>2026-07-12T23:39:10+00:00</t>
  </si>
  <si>
    <t>2026-07-12T23:39:08+00:00</t>
  </si>
  <si>
    <t>2026-07-12T23:39:06+00:00</t>
  </si>
  <si>
    <t>2026-07-12T23:39:04+00:00</t>
  </si>
  <si>
    <t>2026-07-12T23:39:03+00:00</t>
  </si>
  <si>
    <t>2026-07-12T23:39:02+00:00</t>
  </si>
  <si>
    <t>2026-07-12T23:39:00+00:00</t>
  </si>
  <si>
    <t>2026-07-12T23:38:58+00:00</t>
  </si>
  <si>
    <t>2026-07-12T23:38:54+00:00</t>
  </si>
  <si>
    <t>2026-07-12T23:38:53+00:00</t>
  </si>
  <si>
    <t>2026-07-12T23:38:52+00:00</t>
  </si>
  <si>
    <t>2026-07-12T23:38:51+00:00</t>
  </si>
  <si>
    <t>2026-07-12T23:38:48+00:00</t>
  </si>
  <si>
    <t>2026-07-12T23:38:47+00:00</t>
  </si>
  <si>
    <t>2026-07-12T23:38:46+00:00</t>
  </si>
  <si>
    <t>2026-07-12T23:38:45+00:00</t>
  </si>
  <si>
    <t>2026-07-12T23:38:44+00:00</t>
  </si>
  <si>
    <t>2026-07-12T23:38:43+00:00</t>
  </si>
  <si>
    <t>2026-07-12T23:38:42+00:00</t>
  </si>
  <si>
    <t>2026-07-12T23:36:58+00:00</t>
  </si>
  <si>
    <t>2026-07-12T23:36:56+00:00</t>
  </si>
  <si>
    <t>2026-07-12T23:36:55+00:00</t>
  </si>
  <si>
    <t>2026-07-12T23:36:54+00:00</t>
  </si>
  <si>
    <t>2026-07-12T23:36:52+00:00</t>
  </si>
  <si>
    <t>2026-07-12T23:36:51+00:00</t>
  </si>
  <si>
    <t>2026-07-12T23:36:49+00:00</t>
  </si>
  <si>
    <t>2026-07-12T23:36:48+00:00</t>
  </si>
  <si>
    <t>2026-07-12T23:36:46+00:00</t>
  </si>
  <si>
    <t>2026-07-12T23:36:44+00:00</t>
  </si>
  <si>
    <t>2026-07-12T23:36:43+00:00</t>
  </si>
  <si>
    <t>2026-07-12T23:36:41+00:00</t>
  </si>
  <si>
    <t>2026-07-12T23:36:40+00:00</t>
  </si>
  <si>
    <t>2026-07-12T23:36:37+00:00</t>
  </si>
  <si>
    <t>2026-07-12T23:36:36+00:00</t>
  </si>
  <si>
    <t>2026-07-12T23:36:35+00:00</t>
  </si>
  <si>
    <t>2026-07-12T23:36:34+00:00</t>
  </si>
  <si>
    <t>2026-07-12T23:36:29+00:00</t>
  </si>
  <si>
    <t>2026-07-12T23:36:28+00:00</t>
  </si>
  <si>
    <t>2026-07-12T23:36:26+00:00</t>
  </si>
  <si>
    <t>2026-07-12T23:36:25+00:00</t>
  </si>
  <si>
    <t>2026-07-12T23:36:24+00:00</t>
  </si>
  <si>
    <t>2026-07-12T23:36:23+00:00</t>
  </si>
  <si>
    <t>2026-07-12T23:34:42+00:00</t>
  </si>
  <si>
    <t>2026-07-12T23:34:41+00:00</t>
  </si>
  <si>
    <t>2026-07-12T23:34:40+00:00</t>
  </si>
  <si>
    <t>2026-07-12T23:34:37+00:00</t>
  </si>
  <si>
    <t>2026-07-12T23:34:36+00:00</t>
  </si>
  <si>
    <t>2026-07-12T23:34:35+00:00</t>
  </si>
  <si>
    <t>2026-07-12T23:34:32+00:00</t>
  </si>
  <si>
    <t>2026-07-12T23:34:31+00:00</t>
  </si>
  <si>
    <t>2026-07-12T23:34:28+00:00</t>
  </si>
  <si>
    <t>2026-07-12T23:34:27+00:00</t>
  </si>
  <si>
    <t>2026-07-12T23:34:26+00:00</t>
  </si>
  <si>
    <t>2026-07-12T23:34:23+00:00</t>
  </si>
  <si>
    <t>2026-07-12T23:34:21+00:00</t>
  </si>
  <si>
    <t>2026-07-12T23:34:20+00:00</t>
  </si>
  <si>
    <t>2026-07-12T23:34:18+00:00</t>
  </si>
  <si>
    <t>2026-07-12T23:34:17+00:00</t>
  </si>
  <si>
    <t>2026-07-12T23:34:16+00:00</t>
  </si>
  <si>
    <t>2026-07-12T23:34:15+00:00</t>
  </si>
  <si>
    <t>2026-07-12T23:34:14+00:00</t>
  </si>
  <si>
    <t>2026-07-12T23:32:28+00:00</t>
  </si>
  <si>
    <t>2026-07-12T23:32:25+00:00</t>
  </si>
  <si>
    <t>2026-07-12T23:32:23+00:00</t>
  </si>
  <si>
    <t>2026-07-12T23:32:22+00:00</t>
  </si>
  <si>
    <t>2026-07-12T23:32:21+00:00</t>
  </si>
  <si>
    <t>2026-07-12T23:32:18+00:00</t>
  </si>
  <si>
    <t>2026-07-12T23:32:17+00:00</t>
  </si>
  <si>
    <t>2026-07-12T23:32:16+00:00</t>
  </si>
  <si>
    <t>2026-07-12T23:32:13+00:00</t>
  </si>
  <si>
    <t>2026-07-12T23:32:11+00:00</t>
  </si>
  <si>
    <t>2026-07-12T23:32:09+00:00</t>
  </si>
  <si>
    <t>2026-07-12T23:32:07+00:00</t>
  </si>
  <si>
    <t>2026-07-12T23:32:06+00:00</t>
  </si>
  <si>
    <t>2026-07-12T23:32:03+00:00</t>
  </si>
  <si>
    <t>2026-07-12T23:32:02+00:00</t>
  </si>
  <si>
    <t>2026-07-12T23:32:01+00:00</t>
  </si>
  <si>
    <t>2026-07-12T23:32:00+00:00</t>
  </si>
  <si>
    <t>2026-07-12T23:31:59+00:00</t>
  </si>
  <si>
    <t>2026-07-12T23:30:20+00:00</t>
  </si>
  <si>
    <t>2026-07-12T23:30:19+00:00</t>
  </si>
  <si>
    <t>2026-07-12T23:30:18+00:00</t>
  </si>
  <si>
    <t>2026-07-12T23:30:15+00:00</t>
  </si>
  <si>
    <t>2026-07-12T23:30:14+00:00</t>
  </si>
  <si>
    <t>2026-07-12T23:30:13+00:00</t>
  </si>
  <si>
    <t>2026-07-12T23:30:10+00:00</t>
  </si>
  <si>
    <t>2026-07-12T23:30:08+00:00</t>
  </si>
  <si>
    <t>2026-07-12T23:30:04+00:00</t>
  </si>
  <si>
    <t>2026-07-12T23:30:03+00:00</t>
  </si>
  <si>
    <t>2026-07-12T23:30:02+00:00</t>
  </si>
  <si>
    <t>2026-07-12T23:30:00+00:00</t>
  </si>
  <si>
    <t>2026-07-12T23:29:59+00:00</t>
  </si>
  <si>
    <t>2026-07-12T23:29:56+00:00</t>
  </si>
  <si>
    <t>2026-07-12T23:29:53+00:00</t>
  </si>
  <si>
    <t>2026-07-12T23:29:52+00:00</t>
  </si>
  <si>
    <t>2026-07-12T23:29:50+00:00</t>
  </si>
  <si>
    <t>2026-07-12T23:29:48+00:00</t>
  </si>
  <si>
    <t>2026-07-12T23:29:46+00:00</t>
  </si>
  <si>
    <t>2026-07-12T23:29:44+00:00</t>
  </si>
  <si>
    <t>2026-07-12T23:29:41+00:00</t>
  </si>
  <si>
    <t>2026-07-12T23:29:39+00:00</t>
  </si>
  <si>
    <t>2026-07-12T23:29:38+00:00</t>
  </si>
  <si>
    <t>2026-07-12T23:29:34+00:00</t>
  </si>
  <si>
    <t>2026-07-12T23:29:32+00:00</t>
  </si>
  <si>
    <t>2026-07-12T23:29:31+00:00</t>
  </si>
  <si>
    <t>2026-07-12T23:29:28+00:00</t>
  </si>
  <si>
    <t>2026-07-12T23:29:27+00:00</t>
  </si>
  <si>
    <t>2026-07-12T23:29:25+00:00</t>
  </si>
  <si>
    <t>2026-07-12T23:29:17+00:00</t>
  </si>
  <si>
    <t>2026-07-12T23:29:16+00:00</t>
  </si>
  <si>
    <t>2026-07-12T23:29:14+00:00</t>
  </si>
  <si>
    <t>2026-07-12T23:29:12+00:00</t>
  </si>
  <si>
    <t>2026-07-12T23:29:11+00:00</t>
  </si>
  <si>
    <t>2026-07-12T23:29:08+00:00</t>
  </si>
  <si>
    <t>2026-07-12T23:29:07+00:00</t>
  </si>
  <si>
    <t>2026-07-12T23:29:06+00:00</t>
  </si>
  <si>
    <t>2026-07-12T23:29:04+00:00</t>
  </si>
  <si>
    <t>2026-07-12T23:29:03+00:00</t>
  </si>
  <si>
    <t>2026-07-12T23:29:01+00:00</t>
  </si>
  <si>
    <t>2026-07-12T23:29:00+00:00</t>
  </si>
  <si>
    <t>2026-07-12T23:28:57+00:00</t>
  </si>
  <si>
    <t>2026-07-12T23:28:56+00:00</t>
  </si>
  <si>
    <t>2026-07-12T23:28:54+00:00</t>
  </si>
  <si>
    <t>2026-07-12T23:28:53+00:00</t>
  </si>
  <si>
    <t>2026-07-12T23:28:52+00:00</t>
  </si>
  <si>
    <t>2026-07-12T23:28:49+00:00</t>
  </si>
  <si>
    <t>2026-07-12T23:28:48+00:00</t>
  </si>
  <si>
    <t>2026-07-12T23:28:47+00:00</t>
  </si>
  <si>
    <t>2026-07-12T23:28:45+00:00</t>
  </si>
  <si>
    <t>2026-07-12T23:28:44+00:00</t>
  </si>
  <si>
    <t>2026-07-12T23:28:43+00:00</t>
  </si>
  <si>
    <t>2026-07-12T23:28:41+00:00</t>
  </si>
  <si>
    <t>2026-07-12T23:27:09+00:00</t>
  </si>
  <si>
    <t>2026-07-12T23:27:08+00:00</t>
  </si>
  <si>
    <t>2026-07-12T23:27:06+00:00</t>
  </si>
  <si>
    <t>2026-07-12T23:27:04+00:00</t>
  </si>
  <si>
    <t>2026-07-12T23:27:03+00:00</t>
  </si>
  <si>
    <t>2026-07-12T23:27:02+00:00</t>
  </si>
  <si>
    <t>2026-07-12T23:27:00+00:00</t>
  </si>
  <si>
    <t>2026-07-12T23:26:58+00:00</t>
  </si>
  <si>
    <t>2026-07-12T23:26:57+00:00</t>
  </si>
  <si>
    <t>2026-07-12T23:26:55+00:00</t>
  </si>
  <si>
    <t>2026-07-12T23:26:53+00:00</t>
  </si>
  <si>
    <t>2026-07-12T23:26:52+00:00</t>
  </si>
  <si>
    <t>2026-07-12T23:26:51+00:00</t>
  </si>
  <si>
    <t>2026-07-12T23:26:49+00:00</t>
  </si>
  <si>
    <t>2026-07-12T23:26:48+00:00</t>
  </si>
  <si>
    <t>2026-07-12T23:26:43+00:00</t>
  </si>
  <si>
    <t>2026-07-12T23:26:41+00:00</t>
  </si>
  <si>
    <t>2026-07-12T23:26:39+00:00</t>
  </si>
  <si>
    <t>2026-07-12T23:26:38+00:00</t>
  </si>
  <si>
    <t>2026-07-12T23:26:37+00:00</t>
  </si>
  <si>
    <t>2026-07-12T23:26:34+00:00</t>
  </si>
  <si>
    <t>2026-07-12T23:26:33+00:00</t>
  </si>
  <si>
    <t>2026-07-12T23:26:30+00:00</t>
  </si>
  <si>
    <t>2026-07-12T23:26:27+00:00</t>
  </si>
  <si>
    <t>2026-07-12T23:26:26+00:00</t>
  </si>
  <si>
    <t>2026-07-12T23:26:25+00:00</t>
  </si>
  <si>
    <t>2026-07-12T23:26:24+00:00</t>
  </si>
  <si>
    <t>2026-07-12T23:26:23+00:00</t>
  </si>
  <si>
    <t>2026-07-12T23:26:22+00:00</t>
  </si>
  <si>
    <t>2026-07-12T23:26:21+00:00</t>
  </si>
  <si>
    <t>2026-07-12T23:26:20+00:00</t>
  </si>
  <si>
    <t>2026-07-12T23:26:19+00:00</t>
  </si>
  <si>
    <t>2026-07-12T23:26:18+00:00</t>
  </si>
  <si>
    <t>2026-07-12T23:26:17+00:00</t>
  </si>
  <si>
    <t>2026-07-12T23:26:16+00:00</t>
  </si>
  <si>
    <t>2026-07-12T23:26:14+00:00</t>
  </si>
  <si>
    <t>2026-07-12T23:26:13+00:00</t>
  </si>
  <si>
    <t>2026-07-12T23:24:25+00:00</t>
  </si>
  <si>
    <t>2026-07-12T23:24:23+00:00</t>
  </si>
  <si>
    <t>2026-07-12T23:24:21+00:00</t>
  </si>
  <si>
    <t>2026-07-12T23:24:19+00:00</t>
  </si>
  <si>
    <t>2026-07-12T23:24:18+00:00</t>
  </si>
  <si>
    <t>2026-07-12T23:24:16+00:00</t>
  </si>
  <si>
    <t>2026-07-12T23:24:15+00:00</t>
  </si>
  <si>
    <t>2026-07-12T23:24:14+00:00</t>
  </si>
  <si>
    <t>2026-07-12T23:24:12+00:00</t>
  </si>
  <si>
    <t>2026-07-12T23:24:11+00:00</t>
  </si>
  <si>
    <t>2026-07-12T23:24:10+00:00</t>
  </si>
  <si>
    <t>2026-07-12T23:24:08+00:00</t>
  </si>
  <si>
    <t>2026-07-12T23:24:07+00:00</t>
  </si>
  <si>
    <t>2026-07-12T23:24:05+00:00</t>
  </si>
  <si>
    <t>2026-07-12T23:24:03+00:00</t>
  </si>
  <si>
    <t>2026-07-12T23:24:02+00:00</t>
  </si>
  <si>
    <t>2026-07-12T23:24:01+00:00</t>
  </si>
  <si>
    <t>2026-07-12T23:23:59+00:00</t>
  </si>
  <si>
    <t>2026-07-12T23:23:58+00:00</t>
  </si>
  <si>
    <t>2026-07-12T23:23:56+00:00</t>
  </si>
  <si>
    <t>2026-07-12T23:23:52+00:00</t>
  </si>
  <si>
    <t>2026-07-12T23:23:50+00:00</t>
  </si>
  <si>
    <t>2026-07-12T23:23:48+00:00</t>
  </si>
  <si>
    <t>2026-07-12T23:23:45+00:00</t>
  </si>
  <si>
    <t>2026-07-12T23:23:44+00:00</t>
  </si>
  <si>
    <t>2026-07-12T23:23:43+00:00</t>
  </si>
  <si>
    <t>2026-07-12T23:23:42+00:00</t>
  </si>
  <si>
    <t>2026-07-12T23:22:08+00:00</t>
  </si>
  <si>
    <t>2026-07-12T23:22:06+00:00</t>
  </si>
  <si>
    <t>2026-07-12T23:22:05+00:00</t>
  </si>
  <si>
    <t>2026-07-12T23:22:03+00:00</t>
  </si>
  <si>
    <t>2026-07-12T23:22:02+00:00</t>
  </si>
  <si>
    <t>2026-07-12T23:22:00+00:00</t>
  </si>
  <si>
    <t>2026-07-12T23:21:58+00:00</t>
  </si>
  <si>
    <t>2026-07-12T23:21:57+00:00</t>
  </si>
  <si>
    <t>2026-07-12T23:21:56+00:00</t>
  </si>
  <si>
    <t>2026-07-12T23:21:54+00:00</t>
  </si>
  <si>
    <t>2026-07-12T23:21:52+00:00</t>
  </si>
  <si>
    <t>2026-07-12T23:21:47+00:00</t>
  </si>
  <si>
    <t>2026-07-12T23:21:46+00:00</t>
  </si>
  <si>
    <t>2026-07-12T23:21:45+00:00</t>
  </si>
  <si>
    <t>2026-07-12T23:21:44+00:00</t>
  </si>
  <si>
    <t>2026-07-12T23:21:42+00:00</t>
  </si>
  <si>
    <t>2026-07-12T23:21:41+00:00</t>
  </si>
  <si>
    <t>2026-07-12T23:21:39+00:00</t>
  </si>
  <si>
    <t>2026-07-12T23:21:38+00:00</t>
  </si>
  <si>
    <t>2026-07-12T23:21:37+00:00</t>
  </si>
  <si>
    <t>2026-07-12T23:21:35+00:00</t>
  </si>
  <si>
    <t>2026-07-12T23:21:34+00:00</t>
  </si>
  <si>
    <t>2026-07-12T23:21:33+00:00</t>
  </si>
  <si>
    <t>2026-07-12T23:21:32+00:00</t>
  </si>
  <si>
    <t>2026-07-12T23:21:29+00:00</t>
  </si>
  <si>
    <t>2026-07-12T23:21:28+00:00</t>
  </si>
  <si>
    <t>2026-07-12T23:21:27+00:00</t>
  </si>
  <si>
    <t>2026-07-12T23:21:26+00:00</t>
  </si>
  <si>
    <t>2026-07-12T23:21:25+00:00</t>
  </si>
  <si>
    <t>2026-07-12T23:21:24+00:00</t>
  </si>
  <si>
    <t>2026-07-12T23:21:23+00:00</t>
  </si>
  <si>
    <t>2026-07-12T23:21:22+00:00</t>
  </si>
  <si>
    <t>2026-07-12T23:21:21+00:00</t>
  </si>
  <si>
    <t>2026-07-12T23:21:20+00:00</t>
  </si>
  <si>
    <t>2026-07-12T23:21:19+00:00</t>
  </si>
  <si>
    <t>2026-07-12T23:21:18+00:00</t>
  </si>
  <si>
    <t>2026-07-12T23:21:17+00:00</t>
  </si>
  <si>
    <t>2026-07-12T23:19:46+00:00</t>
  </si>
  <si>
    <t>2026-07-12T23:19:45+00:00</t>
  </si>
  <si>
    <t>2026-07-12T23:19:44+00:00</t>
  </si>
  <si>
    <t>2026-07-12T23:19:41+00:00</t>
  </si>
  <si>
    <t>2026-07-12T23:19:39+00:00</t>
  </si>
  <si>
    <t>2026-07-12T23:19:37+00:00</t>
  </si>
  <si>
    <t>2026-07-12T23:19:34+00:00</t>
  </si>
  <si>
    <t>2026-07-12T23:19:33+00:00</t>
  </si>
  <si>
    <t>2026-07-12T23:19:31+00:00</t>
  </si>
  <si>
    <t>2026-07-12T23:19:28+00:00</t>
  </si>
  <si>
    <t>2026-07-12T23:19:26+00:00</t>
  </si>
  <si>
    <t>2026-07-12T23:19:23+00:00</t>
  </si>
  <si>
    <t>2026-07-12T23:19:20+00:00</t>
  </si>
  <si>
    <t>2026-07-12T23:19:18+00:00</t>
  </si>
  <si>
    <t>2026-07-12T23:19:17+00:00</t>
  </si>
  <si>
    <t>2026-07-12T23:19:15+00:00</t>
  </si>
  <si>
    <t>2026-07-12T23:19:14+00:00</t>
  </si>
  <si>
    <t>2026-07-12T23:19:13+00:00</t>
  </si>
  <si>
    <t>2026-07-12T23:19:08+00:00</t>
  </si>
  <si>
    <t>2026-07-12T23:19:07+00:00</t>
  </si>
  <si>
    <t>2026-07-12T23:19:06+00:00</t>
  </si>
  <si>
    <t>2026-07-12T23:19:04+00:00</t>
  </si>
  <si>
    <t>2026-07-12T23:19:03+00:00</t>
  </si>
  <si>
    <t>2026-07-12T23:19:02+00:00</t>
  </si>
  <si>
    <t>2026-07-12T23:19:01+00:00</t>
  </si>
  <si>
    <t>2026-07-12T23:19:00+00:00</t>
  </si>
  <si>
    <t>2026-07-12T23:18:58+00:00</t>
  </si>
  <si>
    <t>2026-07-12T23:18:57+00:00</t>
  </si>
  <si>
    <t>2026-07-12T23:18:56+00:00</t>
  </si>
  <si>
    <t>2026-07-12T23:18:55+00:00</t>
  </si>
  <si>
    <t>2026-07-12T23:18:54+00:00</t>
  </si>
  <si>
    <t>2026-07-12T23:18:53+00:00</t>
  </si>
  <si>
    <t>2026-07-12T23:18:52+00:00</t>
  </si>
  <si>
    <t>2026-07-12T23:18:51+00:00</t>
  </si>
  <si>
    <t>2026-07-12T23:18:50+00:00</t>
  </si>
  <si>
    <t>2026-07-12T23:18:49+00:00</t>
  </si>
  <si>
    <t>2026-07-12T23:18:48+00:00</t>
  </si>
  <si>
    <t>2026-07-12T23:18:46+00:00</t>
  </si>
  <si>
    <t>2026-07-12T23:17:16+00:00</t>
  </si>
  <si>
    <t>2026-07-12T23:17:14+00:00</t>
  </si>
  <si>
    <t>2026-07-12T23:17:12+00:00</t>
  </si>
  <si>
    <t>2026-07-12T23:17:10+00:00</t>
  </si>
  <si>
    <t>2026-07-12T23:17:09+00:00</t>
  </si>
  <si>
    <t>2026-07-12T23:17:08+00:00</t>
  </si>
  <si>
    <t>2026-07-12T23:17:05+00:00</t>
  </si>
  <si>
    <t>2026-07-12T23:17:03+00:00</t>
  </si>
  <si>
    <t>2026-07-12T23:16:59+00:00</t>
  </si>
  <si>
    <t>2026-07-12T23:16:58+00:00</t>
  </si>
  <si>
    <t>2026-07-12T23:16:57+00:00</t>
  </si>
  <si>
    <t>2026-07-12T23:16:55+00:00</t>
  </si>
  <si>
    <t>2026-07-12T23:16:53+00:00</t>
  </si>
  <si>
    <t>2026-07-12T23:16:52+00:00</t>
  </si>
  <si>
    <t>2026-07-12T23:16:51+00:00</t>
  </si>
  <si>
    <t>2026-07-12T23:16:47+00:00</t>
  </si>
  <si>
    <t>2026-07-12T23:16:45+00:00</t>
  </si>
  <si>
    <t>2026-07-12T23:16:43+00:00</t>
  </si>
  <si>
    <t>2026-07-12T23:16:42+00:00</t>
  </si>
  <si>
    <t>2026-07-12T23:16:41+00:00</t>
  </si>
  <si>
    <t>2026-07-12T23:16:40+00:00</t>
  </si>
  <si>
    <t>2026-07-12T23:16:39+00:00</t>
  </si>
  <si>
    <t>2026-07-12T23:16:38+00:00</t>
  </si>
  <si>
    <t>2026-07-12T23:16:37+00:00</t>
  </si>
  <si>
    <t>2026-07-12T23:16:36+00:00</t>
  </si>
  <si>
    <t>2026-07-12T23:16:35+00:00</t>
  </si>
  <si>
    <t>2026-07-12T23:16:33+00:00</t>
  </si>
  <si>
    <t>2026-07-12T23:16:32+00:00</t>
  </si>
  <si>
    <t>2026-07-12T23:16:31+00:00</t>
  </si>
  <si>
    <t>2026-07-12T23:14:58+00:00</t>
  </si>
  <si>
    <t>2026-07-12T23:14:56+00:00</t>
  </si>
  <si>
    <t>2026-07-12T23:14:55+00:00</t>
  </si>
  <si>
    <t>2026-07-12T23:14:52+00:00</t>
  </si>
  <si>
    <t>2026-07-12T23:14:51+00:00</t>
  </si>
  <si>
    <t>2026-07-12T23:14:50+00:00</t>
  </si>
  <si>
    <t>2026-07-12T23:14:47+00:00</t>
  </si>
  <si>
    <t>2026-07-12T23:14:46+00:00</t>
  </si>
  <si>
    <t>2026-07-12T23:14:45+00:00</t>
  </si>
  <si>
    <t>2026-07-12T23:14:41+00:00</t>
  </si>
  <si>
    <t>2026-07-12T23:14:40+00:00</t>
  </si>
  <si>
    <t>2026-07-12T23:14:39+00:00</t>
  </si>
  <si>
    <t>2026-07-12T23:14:37+00:00</t>
  </si>
  <si>
    <t>2026-07-12T23:14:35+00:00</t>
  </si>
  <si>
    <t>2026-07-12T23:14:33+00:00</t>
  </si>
  <si>
    <t>2026-07-12T23:14:30+00:00</t>
  </si>
  <si>
    <t>2026-07-12T23:14:26+00:00</t>
  </si>
  <si>
    <t>2026-07-12T23:14:24+00:00</t>
  </si>
  <si>
    <t>2026-07-12T23:14:22+00:00</t>
  </si>
  <si>
    <t>2026-07-12T23:14:14+00:00</t>
  </si>
  <si>
    <t>2026-07-12T23:14:11+00:00</t>
  </si>
  <si>
    <t>2026-07-12T23:14:10+00:00</t>
  </si>
  <si>
    <t>2026-07-12T23:14:03+00:00</t>
  </si>
  <si>
    <t>ResumenMensual — la escribe la APP por la API de Sheets</t>
  </si>
  <si>
    <t>PRODUCCION/FINANZAS · Agregado mensual del libro de produccion.</t>
  </si>
  <si>
    <t>mes</t>
  </si>
  <si>
    <t>2026-07</t>
  </si>
  <si>
    <t>KPIs_UNS — la escribe la APP por la API de Sheets</t>
  </si>
  <si>
    <t>PRODUCCION · KPIs vivos del UNS ingeridos por el middleware. El ERP no gestiona OEE: se cuelga del namespace.</t>
  </si>
  <si>
    <t>rama</t>
  </si>
  <si>
    <t>kpi</t>
  </si>
  <si>
    <t>valor_num</t>
  </si>
  <si>
    <t>valor_txt</t>
  </si>
  <si>
    <t>topic</t>
  </si>
  <si>
    <t>2026-07-11T03:40:05+00:00</t>
  </si>
  <si>
    <t>MES/KPI</t>
  </si>
  <si>
    <t>FEMSA/Linea1/MES/KPI/OEE</t>
  </si>
  <si>
    <t>2026-07-14T06:30:21+00:00</t>
  </si>
  <si>
    <t>PLANTA</t>
  </si>
  <si>
    <t>Quality</t>
  </si>
  <si>
    <t>FEMSA/MES/KPI/Quality</t>
  </si>
  <si>
    <t>2026-07-14T06:30:23+00:00</t>
  </si>
  <si>
    <t>Performance</t>
  </si>
  <si>
    <t>FEMSA/MES/KPI/Performance</t>
  </si>
  <si>
    <t>2026-07-14T06:30:24+00:00</t>
  </si>
  <si>
    <t>FEMSA/MES/KPI/TEEP</t>
  </si>
  <si>
    <t>2026-07-14T06:30:25+00:00</t>
  </si>
  <si>
    <t>MTTR</t>
  </si>
  <si>
    <t>FEMSA/MES/KPI/MTTR</t>
  </si>
  <si>
    <t>2026-07-14T06:30:26+00:00</t>
  </si>
  <si>
    <t>MTBF</t>
  </si>
  <si>
    <t>FEMSA/MES/KPI/MTBF</t>
  </si>
  <si>
    <t>2026-07-14T06:30:27+00:00</t>
  </si>
  <si>
    <t>FEMSA/MES/KPI/MLT</t>
  </si>
  <si>
    <t>2026-07-14T06:30:28+00:00</t>
  </si>
  <si>
    <t>MES/Maintance</t>
  </si>
  <si>
    <t>MachineID</t>
  </si>
  <si>
    <t>FEMSA-MES-MX270</t>
  </si>
  <si>
    <t>FEMSA/MES/Maintance/MachineID</t>
  </si>
  <si>
    <t>2026-07-14T06:30:29+00:00</t>
  </si>
  <si>
    <t>LastMaintance</t>
  </si>
  <si>
    <t>FEMSA/MES/Maintance/LastMaintance</t>
  </si>
  <si>
    <t>2026-07-14T06:30:30+00:00</t>
  </si>
  <si>
    <t>NextMaintance</t>
  </si>
  <si>
    <t>FEMSA/MES/Maintance/NextMaintance</t>
  </si>
  <si>
    <t>2026-07-14T06:30:31+00:00</t>
  </si>
  <si>
    <t>MaintanceStatus</t>
  </si>
  <si>
    <t>OK</t>
  </si>
  <si>
    <t>FEMSA/MES/Maintance/MaintanceStatus</t>
  </si>
  <si>
    <t>2026-07-14T06:30:32+00:00</t>
  </si>
  <si>
    <t>FEMSA/Linea1/MES/KPI/Quality</t>
  </si>
  <si>
    <t>2026-07-14T06:30:33+00:00</t>
  </si>
  <si>
    <t>FEMSA/Linea1/MES/KPI/Performance</t>
  </si>
  <si>
    <t>2026-07-14T06:30:34+00:00</t>
  </si>
  <si>
    <t>FEMSA/Linea1/MES/KPI/TEEP</t>
  </si>
  <si>
    <t>2026-07-14T06:30:35+00:00</t>
  </si>
  <si>
    <t>FEMSA/Linea1/MES/KPI/MTTR</t>
  </si>
  <si>
    <t>2026-07-14T06:30:36+00:00</t>
  </si>
  <si>
    <t>FEMSA/Linea1/MES/KPI/MTBF</t>
  </si>
  <si>
    <t>None</t>
  </si>
  <si>
    <t>2026-07-14T06:30:37+00:00</t>
  </si>
  <si>
    <t>2026-07-14T06:30:38+00:00</t>
  </si>
  <si>
    <t>2026-07-14T06:30:39+00:00</t>
  </si>
  <si>
    <t>FEMSA/MES/KPI/OEE</t>
  </si>
  <si>
    <t>2026-07-14T06:30:40+00:00</t>
  </si>
  <si>
    <t>2026-07-14T06:30:41+00:00</t>
  </si>
  <si>
    <t>2026-07-14T06:30:42+00:00</t>
  </si>
  <si>
    <t>2026-07-14T06:30:43+00:00</t>
  </si>
  <si>
    <t>2026-07-14T06:30:44+00:00</t>
  </si>
  <si>
    <t>Availability</t>
  </si>
  <si>
    <t>FEMSA/Linea1/MES/KPI/Availability</t>
  </si>
  <si>
    <t>2026-07-14T06:30:45+00:00</t>
  </si>
  <si>
    <t>2026-07-14T06:30:46+00:00</t>
  </si>
  <si>
    <t>DT</t>
  </si>
  <si>
    <t>FEMSA/Linea1/MES/KPI/DT</t>
  </si>
  <si>
    <t>2026-07-14T06:30:47+00:00</t>
  </si>
  <si>
    <t>FEMSA/MES/KPI/Availability</t>
  </si>
  <si>
    <t>2026-07-14T06:30:48+00:00</t>
  </si>
  <si>
    <t>2026-07-14T06:30:49+00:00</t>
  </si>
  <si>
    <t>2026-07-14T06:30:50+00:00</t>
  </si>
  <si>
    <t>2026-07-14T06:30:51+00:00</t>
  </si>
  <si>
    <t>2026-07-14T06:30:52+00:00</t>
  </si>
  <si>
    <t>2026-07-14T06:30:53+00:00</t>
  </si>
  <si>
    <t>2026-07-14T06:30:54+00:00</t>
  </si>
  <si>
    <t>2026-07-14T06:30:55+00:00</t>
  </si>
  <si>
    <t>FEMSA/Linea1/MES/KPI/MLT</t>
  </si>
  <si>
    <t>FEMSA-Linea1-MX897</t>
  </si>
  <si>
    <t>FEMSA/Linea1/MES/Maintance/MachineID</t>
  </si>
  <si>
    <t>2026-07-14T06:30:56+00:00</t>
  </si>
  <si>
    <t>FEMSA/Linea1/MES/Maintance/LastMaintance</t>
  </si>
  <si>
    <t>2026-07-14T06:30:57+00:00</t>
  </si>
  <si>
    <t>FEMSA/Linea1/MES/Maintance/NextMaintance</t>
  </si>
  <si>
    <t>2026-07-14T06:30:58+00:00</t>
  </si>
  <si>
    <t>FEMSA/Linea1/MES/Maintance/MaintanceStatus</t>
  </si>
  <si>
    <t>2026-07-14T06:30:59+00:00</t>
  </si>
  <si>
    <t>2026-07-14T06:36:11+00:00</t>
  </si>
  <si>
    <t>FEMSA/Linea3/MES/KPI/DT</t>
  </si>
  <si>
    <t>2026-07-14T06:36:13+00:00</t>
  </si>
  <si>
    <t>FEMSA/Linea3/MES/KPI/Availability</t>
  </si>
  <si>
    <t>2026-07-14T06:36:14+00:00</t>
  </si>
  <si>
    <t>FEMSA/Linea3/MES/KPI/MLT</t>
  </si>
  <si>
    <t>FEMSA/Linea3/MES/KPI/MTBF</t>
  </si>
  <si>
    <t>2026-07-14T06:36:15+00:00</t>
  </si>
  <si>
    <t>FEMSA/Linea3/MES/KPI/MTTR</t>
  </si>
  <si>
    <t>2026-07-14T06:36:16+00:00</t>
  </si>
  <si>
    <t>FEMSA/Linea3/MES/KPI/OEE</t>
  </si>
  <si>
    <t>2026-07-14T06:36:17+00:00</t>
  </si>
  <si>
    <t>FEMSA/Linea3/MES/KPI/TEEP</t>
  </si>
  <si>
    <t>2026-07-14T06:36:18+00:00</t>
  </si>
  <si>
    <t>FEMSA/Linea3/MES/KPI/Performance</t>
  </si>
  <si>
    <t>2026-07-14T06:36:19+00:00</t>
  </si>
  <si>
    <t>FEMSA/Linea3/MES/KPI/Quality</t>
  </si>
  <si>
    <t>2026-07-14T06:36:20+00:00</t>
  </si>
  <si>
    <t>FEMSA/Linea2/MES/KPI/DT</t>
  </si>
  <si>
    <t>2026-07-14T06:36:21+00:00</t>
  </si>
  <si>
    <t>FEMSA/Linea2/MES/KPI/Availability</t>
  </si>
  <si>
    <t>FEMSA/Linea2/MES/KPI/OEE</t>
  </si>
  <si>
    <t>2026-07-14T06:36:22+00:00</t>
  </si>
  <si>
    <t>FEMSA/Linea2/MES/KPI/MLT</t>
  </si>
  <si>
    <t>2026-07-14T06:36:23+00:00</t>
  </si>
  <si>
    <t>FEMSA/Linea2/MES/KPI/MTBF</t>
  </si>
  <si>
    <t>2026-07-14T06:36:24+00:00</t>
  </si>
  <si>
    <t>FEMSA/Linea2/MES/KPI/MTTR</t>
  </si>
  <si>
    <t>2026-07-14T06:36:25+00:00</t>
  </si>
  <si>
    <t>FEMSA/Linea2/MES/KPI/TEEP</t>
  </si>
  <si>
    <t>2026-07-14T06:36:27+00:00</t>
  </si>
  <si>
    <t>FEMSA/Linea2/MES/KPI/Performance</t>
  </si>
  <si>
    <t>2026-07-14T06:36:28+00:00</t>
  </si>
  <si>
    <t>FEMSA/Linea2/MES/KPI/Quality</t>
  </si>
  <si>
    <t>2026-07-14T06:36:29+00:00</t>
  </si>
  <si>
    <t>2026-07-14T06:36:30+00:00</t>
  </si>
  <si>
    <t>2026-07-14T06:36:31+00:00</t>
  </si>
  <si>
    <t>2026-07-14T06:36:32+00:00</t>
  </si>
  <si>
    <t>2026-07-14T06:36:33+00:00</t>
  </si>
  <si>
    <t>2026-07-14T06:36:34+00:00</t>
  </si>
  <si>
    <t>2026-07-14T06:36:35+00:00</t>
  </si>
  <si>
    <t>2026-07-14T06:36:36+00:00</t>
  </si>
  <si>
    <t>2026-07-14T06:36:37+00:00</t>
  </si>
  <si>
    <t>FEMSA/Linea3/MES/Maintance/MaintanceStatus</t>
  </si>
  <si>
    <t>2026-07-14T06:36:38+00:00</t>
  </si>
  <si>
    <t>FEMSA/Linea3/MES/Maintance/NextMaintance</t>
  </si>
  <si>
    <t>FEMSA/Linea3/MES/Maintance/LastMaintance</t>
  </si>
  <si>
    <t>2026-07-14T06:36:39+00:00</t>
  </si>
  <si>
    <t>FEMSA-Linea3-MX720</t>
  </si>
  <si>
    <t>FEMSA/Linea3/MES/Maintance/MachineID</t>
  </si>
  <si>
    <t>2026-07-14T06:36:40+00:00</t>
  </si>
  <si>
    <t>FEMSA/Linea2/MES/Maintance/MaintanceStatus</t>
  </si>
  <si>
    <t>2026-07-14T07:14:32+00:00</t>
  </si>
  <si>
    <t>2026-07-14T07:14:33+00:00</t>
  </si>
  <si>
    <t>2026-07-14T07:14:34+00:00</t>
  </si>
  <si>
    <t>2026-07-14T07:14:35+00:00</t>
  </si>
  <si>
    <t>2026-07-14T07:14:36+00:00</t>
  </si>
  <si>
    <t>2026-07-14T07:14:37+00:00</t>
  </si>
  <si>
    <t>2026-07-14T07:14:38+00:00</t>
  </si>
  <si>
    <t>2026-07-14T07:14:39+00:00</t>
  </si>
  <si>
    <t>2026-07-14T07:14:40+00:00</t>
  </si>
  <si>
    <t>2026-07-14T07:14:41+00:00</t>
  </si>
  <si>
    <t>2026-07-14T07:14:42+00:00</t>
  </si>
  <si>
    <t>2026-07-14T07:14:43+00:00</t>
  </si>
  <si>
    <t>2026-07-14T07:14:44+00:00</t>
  </si>
  <si>
    <t>2026-07-14T07:14:45+00:00</t>
  </si>
  <si>
    <t>2026-07-14T07:14:46+00:00</t>
  </si>
  <si>
    <t>2026-07-14T07:14:47+00:00</t>
  </si>
  <si>
    <t>2026-07-14T07:14:49+00:00</t>
  </si>
  <si>
    <t>2026-07-14T07:14:50+00:00</t>
  </si>
  <si>
    <t>2026-07-14T07:14:51+00:00</t>
  </si>
  <si>
    <t>2026-07-14T07:14:52+00:00</t>
  </si>
  <si>
    <t>2026-07-14T07:14:53+00:00</t>
  </si>
  <si>
    <t>2026-07-14T07:14:54+00:00</t>
  </si>
  <si>
    <t>2026-07-14T07:14:55+00:00</t>
  </si>
  <si>
    <t>2026-07-14T07:14:56+00:00</t>
  </si>
  <si>
    <t>2026-07-14T09:39:33+00:00</t>
  </si>
  <si>
    <t>2026-07-14T09:39:35+00:00</t>
  </si>
  <si>
    <t>2026-07-14T09:39:36+00:00</t>
  </si>
  <si>
    <t>2026-07-14T09:39:37+00:00</t>
  </si>
  <si>
    <t>2026-07-14T09:39:38+00:00</t>
  </si>
  <si>
    <t>2026-07-14T09:39:39+00:00</t>
  </si>
  <si>
    <t>2026-07-14T09:39:40+00:00</t>
  </si>
  <si>
    <t>2026-07-14T09:39:41+00:00</t>
  </si>
  <si>
    <t>2026-07-14T09:39:42+00:00</t>
  </si>
  <si>
    <t>2026-07-14T09:39:43+00:00</t>
  </si>
  <si>
    <t>2026-07-14T09:39:44+00:00</t>
  </si>
  <si>
    <t>2026-07-14T09:39:45+00:00</t>
  </si>
  <si>
    <t>2026-07-14T09:39:46+00:00</t>
  </si>
  <si>
    <t>2026-07-14T09:39:47+00:00</t>
  </si>
  <si>
    <t>2026-07-14T09:39:48+00:00</t>
  </si>
  <si>
    <t>2026-07-14T09:39:49+00:00</t>
  </si>
  <si>
    <t>2026-07-14T09:39:50+00:00</t>
  </si>
  <si>
    <t>2026-07-14T09:39:51+00:00</t>
  </si>
  <si>
    <t>2026-07-14T09:39:52+00:00</t>
  </si>
  <si>
    <t>2026-07-14T09:39:53+00:00</t>
  </si>
  <si>
    <t>2026-07-14T09:39:54+00:00</t>
  </si>
  <si>
    <t>2026-07-14T09:39:55+00:00</t>
  </si>
  <si>
    <t>2026-07-14T09:39:56+00:00</t>
  </si>
  <si>
    <t>2026-07-14T09:39:57+00:00</t>
  </si>
  <si>
    <t>FEMSA-Linea3-MX558</t>
  </si>
  <si>
    <t>Warning</t>
  </si>
  <si>
    <t>2026-07-14T09:39:58+00:00</t>
  </si>
  <si>
    <t>FEMSA/Linea2/MES/Maintance/NextMaintance</t>
  </si>
  <si>
    <t>2026-07-14T09:39:59+00:00</t>
  </si>
  <si>
    <t>FEMSA/Linea2/MES/Maintance/LastMaintance</t>
  </si>
  <si>
    <t>2026-07-14T10:02:56+00:00</t>
  </si>
  <si>
    <t>2026-07-14T10:02:58+00:00</t>
  </si>
  <si>
    <t>2026-07-14T10:02:59+00:00</t>
  </si>
  <si>
    <t>2026-07-14T10:03:00+00:00</t>
  </si>
  <si>
    <t>2026-07-14T10:03:01+00:00</t>
  </si>
  <si>
    <t>2026-07-14T10:03:02+00:00</t>
  </si>
  <si>
    <t>2026-07-14T10:03:03+00:00</t>
  </si>
  <si>
    <t>2026-07-14T10:03:04+00:00</t>
  </si>
  <si>
    <t>2026-07-14T10:03:05+00:00</t>
  </si>
  <si>
    <t>2026-07-14T10:03:06+00:00</t>
  </si>
  <si>
    <t>2026-07-14T10:03:07+00:00</t>
  </si>
  <si>
    <t>2026-07-14T10:03:08+00:00</t>
  </si>
  <si>
    <t>2026-07-14T10:03:09+00:00</t>
  </si>
  <si>
    <t>2026-07-14T10:03:10+00:00</t>
  </si>
  <si>
    <t>2026-07-14T10:03:11+00:00</t>
  </si>
  <si>
    <t>2026-07-14T10:03:12+00:00</t>
  </si>
  <si>
    <t>2026-07-14T10:03:13+00:00</t>
  </si>
  <si>
    <t>2026-07-14T10:03:14+00:00</t>
  </si>
  <si>
    <t>2026-07-14T10:03:15+00:00</t>
  </si>
  <si>
    <t>2026-07-14T10:03:16+00:00</t>
  </si>
  <si>
    <t>2026-07-14T10:03:17+00:00</t>
  </si>
  <si>
    <t>2026-07-14T10:03:18+00:00</t>
  </si>
  <si>
    <t>2026-07-14T10:03:19+00:00</t>
  </si>
  <si>
    <t>2026-07-14T10:03:20+00:00</t>
  </si>
  <si>
    <t>origen</t>
  </si>
  <si>
    <t>2026-07-12T12:52:33+00:00</t>
  </si>
  <si>
    <t>ulogix-pruebas</t>
  </si>
  <si>
    <t>RRHH — NÓMINA Y DOTACIÓN (Bogotá, consolidado)</t>
  </si>
  <si>
    <t>Roster individual (detalle) + agregado por rol (resumen, con fórmulas vivas sobre el roster) en una sola hoja. 'salario_mensual_cop' es el COSTO TOTAL EMPLEADOR (ya incluye carga prestacional) — ver sección de tasas más abajo para el desglose de abajo hacia arriba. Operación alimenta el ER; Implementación (equipo ULogix) va al flujo pre-operativo.</t>
  </si>
  <si>
    <t>RESUMEN POR ROL</t>
  </si>
  <si>
    <t>rol_personal</t>
  </si>
  <si>
    <t>arl_clase</t>
  </si>
  <si>
    <t>salario_base_cop</t>
  </si>
  <si>
    <t>factor_prestacional_pct</t>
  </si>
  <si>
    <t>costo_unitario_empleador_cop</t>
  </si>
  <si>
    <t>costo_total_mes_cop</t>
  </si>
  <si>
    <t>Implementacion</t>
  </si>
  <si>
    <t>I</t>
  </si>
  <si>
    <t>Meses pre-operativos (1-4)</t>
  </si>
  <si>
    <t>Operacion</t>
  </si>
  <si>
    <t>IV</t>
  </si>
  <si>
    <t>6 por turno; el 3er turno L1/L2 es palanca del hallazgo de capacidad (ver hoja Tiempos)</t>
  </si>
  <si>
    <t>III</t>
  </si>
  <si>
    <t>Principal</t>
  </si>
  <si>
    <t>Cubren 3 turnos</t>
  </si>
  <si>
    <t>Costo mensual OPERACION (→ ER)</t>
  </si>
  <si>
    <t>Costo mensual IMPLEMENTACION (→ pre-op)</t>
  </si>
  <si>
    <t>ROSTER INDIVIDUAL</t>
  </si>
  <si>
    <t>cedula</t>
  </si>
  <si>
    <t>nombre</t>
  </si>
  <si>
    <t>cargo</t>
  </si>
  <si>
    <t>turno</t>
  </si>
  <si>
    <t>fecha_ingreso</t>
  </si>
  <si>
    <t>salario_mensual_cop</t>
  </si>
  <si>
    <t>telefono</t>
  </si>
  <si>
    <t>email</t>
  </si>
  <si>
    <t>Yesenia Ortiz</t>
  </si>
  <si>
    <t>Operario de linea</t>
  </si>
  <si>
    <t>Turno 1</t>
  </si>
  <si>
    <t>activo</t>
  </si>
  <si>
    <t>yesenia.ortiz@ulogix-femsa.local</t>
  </si>
  <si>
    <t>Camilo Rojas</t>
  </si>
  <si>
    <t>camilo.rojas@ulogix-femsa.local</t>
  </si>
  <si>
    <t>Diana Marcela Vargas</t>
  </si>
  <si>
    <t>diana.vargas@ulogix-femsa.local</t>
  </si>
  <si>
    <t>Jhon Alexander Perez</t>
  </si>
  <si>
    <t>jhon.perez@ulogix-femsa.local</t>
  </si>
  <si>
    <t>Leidy Johanna Castro</t>
  </si>
  <si>
    <t>leidy.castro@ulogix-femsa.local</t>
  </si>
  <si>
    <t>Wilmer Andres Suarez</t>
  </si>
  <si>
    <t>wilmer.suarez@ulogix-femsa.local</t>
  </si>
  <si>
    <t>Paola Andrea Gomez</t>
  </si>
  <si>
    <t>Turno 2</t>
  </si>
  <si>
    <t>paola.gomez@ulogix-femsa.local</t>
  </si>
  <si>
    <t>Ferney Alonso Diaz</t>
  </si>
  <si>
    <t>ferney.diaz@ulogix-femsa.local</t>
  </si>
  <si>
    <t>Angela Maria Beltran</t>
  </si>
  <si>
    <t>angela.beltran@ulogix-femsa.local</t>
  </si>
  <si>
    <t>Robinson Estiven Quiroga</t>
  </si>
  <si>
    <t>robinson.quiroga@ulogix-femsa.local</t>
  </si>
  <si>
    <t>Sandra Milena Pineda</t>
  </si>
  <si>
    <t>sandra.pineda@ulogix-femsa.local</t>
  </si>
  <si>
    <t>Duvan Ricardo Mora</t>
  </si>
  <si>
    <t>duvan.mora@ulogix-femsa.local</t>
  </si>
  <si>
    <t>Katherine Lorena Nino</t>
  </si>
  <si>
    <t>Turno 3</t>
  </si>
  <si>
    <t>katherine.nino@ulogix-femsa.local</t>
  </si>
  <si>
    <t>Cristian Camilo Avila</t>
  </si>
  <si>
    <t>cristian.avila@ulogix-femsa.local</t>
  </si>
  <si>
    <t>Luz Adriana Fonseca</t>
  </si>
  <si>
    <t>luz.fonseca@ulogix-femsa.local</t>
  </si>
  <si>
    <t>Nelson Ivan Cardenas</t>
  </si>
  <si>
    <t>nelson.cardenas@ulogix-femsa.local</t>
  </si>
  <si>
    <t>Yuliana Marcela Rincon</t>
  </si>
  <si>
    <t>yuliana.rincon@ulogix-femsa.local</t>
  </si>
  <si>
    <t>Edwin Fabian Torres</t>
  </si>
  <si>
    <t>edwin.torres@ulogix-femsa.local</t>
  </si>
  <si>
    <t>Martha Cecilia Sanchez</t>
  </si>
  <si>
    <t>Supervisor de turno</t>
  </si>
  <si>
    <t>Todas</t>
  </si>
  <si>
    <t>Rotativo</t>
  </si>
  <si>
    <t>martha.sanchez@ulogix-femsa.local</t>
  </si>
  <si>
    <t>Oscar Ivan Hernandez</t>
  </si>
  <si>
    <t>oscar.hernandez@ulogix-femsa.local</t>
  </si>
  <si>
    <t>Ruben Dario Salazar</t>
  </si>
  <si>
    <t>Administrativo</t>
  </si>
  <si>
    <t>ruben.salazar@ulogix-femsa.local</t>
  </si>
  <si>
    <t>Alejandra Patricia Cifuentes</t>
  </si>
  <si>
    <t>Lider de proyecto ULogix</t>
  </si>
  <si>
    <t>alejandra.cifuentes@ulogix-femsa.local</t>
  </si>
  <si>
    <t>Julian Esteban Moreno</t>
  </si>
  <si>
    <t>Ingeniero de automatizacion</t>
  </si>
  <si>
    <t>julian.moreno@ulogix-femsa.local</t>
  </si>
  <si>
    <t>Natalia Andrea Reyes</t>
  </si>
  <si>
    <t>Ingeniera MES/UNS</t>
  </si>
  <si>
    <t>natalia.reyes@ulogix-femsa.local</t>
  </si>
  <si>
    <t>Andres Felipe Bernal</t>
  </si>
  <si>
    <t>Ingeniero de procesos</t>
  </si>
  <si>
    <t>andres.bernal@ulogix-femsa.local</t>
  </si>
  <si>
    <t>Sara Lucia Herrera</t>
  </si>
  <si>
    <t>Analista de datos</t>
  </si>
  <si>
    <t>sara.herrera@ulogix-femsa.local</t>
  </si>
  <si>
    <t>Hector Manuel Aguilar</t>
  </si>
  <si>
    <t>Especialista en integracion Odoo</t>
  </si>
  <si>
    <t>hector.aguilar@ulogix-femsa.local</t>
  </si>
  <si>
    <t>Monica Fernanda Rojas</t>
  </si>
  <si>
    <t>Gestora del cambio</t>
  </si>
  <si>
    <t>monica.rojas@ulogix-femsa.local</t>
  </si>
  <si>
    <t>TASAS DE CARGA PRESTACIONAL (referencia -- validar contra normativa vigente)</t>
  </si>
  <si>
    <t>tasa_pct</t>
  </si>
  <si>
    <t>tipo</t>
  </si>
  <si>
    <t>base</t>
  </si>
  <si>
    <t>salud_eps_empleador</t>
  </si>
  <si>
    <t>común (todas las clases ARL)</t>
  </si>
  <si>
    <t>salario base</t>
  </si>
  <si>
    <t>pension_empleador</t>
  </si>
  <si>
    <t>caja_compensacion</t>
  </si>
  <si>
    <t>cesantias</t>
  </si>
  <si>
    <t>intereses_cesantias</t>
  </si>
  <si>
    <t>prima_servicios</t>
  </si>
  <si>
    <t>vacaciones</t>
  </si>
  <si>
    <t>arl_clase_I</t>
  </si>
  <si>
    <t>ARL (según clasificación de riesgo del rol)</t>
  </si>
  <si>
    <t>arl_clase_III</t>
  </si>
  <si>
    <t>arl_clase_IV</t>
  </si>
  <si>
    <t>arl_clase_V</t>
  </si>
  <si>
    <t>SENA/ICBF</t>
  </si>
  <si>
    <t>exonerado (Ley 1607/2012, salario &lt; 10 SMMLV) — validar vigencia</t>
  </si>
  <si>
    <t>Nota: costo_total_empleador = salario_base × (1 + Σcomunes + ARL_clase). Tasas de referencia de mercado/histórico colombiano, documentadas para validar contra la normativa vigente antes de usarse en nómina real — mismo criterio que el AIU de la hoja APU_Ingenieria.</t>
  </si>
  <si>
    <t>RECONCILIACION ROSTER vs. RESUMEN</t>
  </si>
  <si>
    <t>roster_cop</t>
  </si>
  <si>
    <t>resumen_cop</t>
  </si>
  <si>
    <t>diferencia_cop</t>
  </si>
  <si>
    <t>ANALISIS DE PALETIZADO — MIGRADO</t>
  </si>
  <si>
    <t>La evaluacion vigente esta en Viabilidad_Automatizacion y ya alimenta el modelo principal.</t>
  </si>
  <si>
    <t>Motivo</t>
  </si>
  <si>
    <t>El analisis anterior era paralelo y contenia CAPEX previos a las cotizaciones EUROBOTS/IGAM.</t>
  </si>
  <si>
    <t>ean13</t>
  </si>
  <si>
    <t>litros_por_unidad</t>
  </si>
  <si>
    <t>unidades_por_caja</t>
  </si>
  <si>
    <t>cajas_por_pallet</t>
  </si>
  <si>
    <t>precio_venta_cop</t>
  </si>
  <si>
    <t>costo_material_cop</t>
  </si>
  <si>
    <t>participacion_categoria</t>
  </si>
  <si>
    <t>carbonatadas</t>
  </si>
  <si>
    <t>QuAtro 1.5 L PET no retornable</t>
  </si>
  <si>
    <t>Garrafon agua 25 L retornable</t>
  </si>
  <si>
    <t>garrafon</t>
  </si>
  <si>
    <t>ciudad</t>
  </si>
  <si>
    <t>canal</t>
  </si>
  <si>
    <t>participacion</t>
  </si>
  <si>
    <t>Distribuidora La Sabana</t>
  </si>
  <si>
    <t>Bogota</t>
  </si>
  <si>
    <t>Mayorista</t>
  </si>
  <si>
    <t>Comercializadora Fontibon</t>
  </si>
  <si>
    <t>Supertiendas Occidente</t>
  </si>
  <si>
    <t>Minorista</t>
  </si>
  <si>
    <t>Autoservicio Kennedy</t>
  </si>
  <si>
    <t>fecha</t>
  </si>
  <si>
    <t>litros</t>
  </si>
  <si>
    <t>P1</t>
  </si>
  <si>
    <t>P2</t>
  </si>
  <si>
    <t>P3</t>
  </si>
  <si>
    <t>anio</t>
  </si>
  <si>
    <t>trim</t>
  </si>
  <si>
    <t>MCU_universo</t>
  </si>
  <si>
    <t>k</t>
  </si>
  <si>
    <t>refrescos</t>
  </si>
  <si>
    <t>agua</t>
  </si>
  <si>
    <t>otros</t>
  </si>
  <si>
    <t>total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</si>
  <si>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</si>
  <si>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</si>
  <si>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</si>
  <si>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</si>
  <si>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</si>
  <si>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</si>
  <si>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</si>
  <si>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</si>
  <si>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</si>
  <si>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</si>
  <si>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</si>
  <si>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</si>
  <si>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</si>
  <si>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</si>
  <si>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</si>
  <si>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</si>
  <si>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</si>
  <si>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</si>
  <si>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</si>
  <si>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</si>
  <si>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</si>
  <si>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clave</t>
  </si>
  <si>
    <t>json</t>
  </si>
  <si>
    <t>parametros_repo</t>
  </si>
  <si>
    <t>{"SHARE":{"P1":0.119,"P2":0.07650000000000001,"P3":0.085},"ENVASE":{"P1":0.35,"P2":1.5,"P3":25.0},"L_CU":5.678112,"RET":0.34,"NR":0.66,"W":{"1":[0.337,0.315,0.348],"2":[0.3233233233233233,0.3333333333333333,0.3433433433433433],"3":[0.349,0.329,0.322],"4":[0.309,0.325,0.366]}}</t>
  </si>
  <si>
    <t>parametros_planta</t>
  </si>
  <si>
    <t>{"planta":"Coca-Cola FEMSA / INDEGA — Fontibon, Bogota","lineas":{"L1":{"producto":"P1-CC350-RGB","vel_nominal_uph":42500,"oee":0.771,"teep":0.4028,"turnos":2,"horas_turno":8,"oee_base":0.771,"oee_mejorado":0.81,"dias_operativos":286},"L2":{"producto":"P2-QT1500-PET","vel_nominal_uph":12000,"oee":0.765,"teep":0.3996,"turnos":2,"horas_turno":8,"oee_base":0.765,"oee_mejorado":0.803,"dias_operativos":286},"L3":{"producto":"P3-GARR25L","vel_nominal_uph":480,"oee":0.754,"teep":0.0826,"turnos":1,"horas_turno":8,"nota":"Cuello de botella: paletizado manual, 2 operarios para 480 uph","oee_base":0.754,"oee_mejorado":0.792,"dias_operativos":120}},"calendario":{"dias_operativos_ano":286,"domingos":52,"festivos_ley_emiliani":18,"mantenimiento_anual_dias":10},"litros_por_caja_unidad":5.678,"participacion_planta_bogota":0.28,"nota_teep":"TEEP ~40% en L1/L2 es el techo realista a dos turnos con el calendario laboral de Bogota; no es un indicador de bajo desempeno.","mejora_oee":{"factor":1.05,"justificacion":{"disponibilidad":"+2.5 pp: celdas roboticas de paletizado eliminan microparos y esperas del paletizado manual; reduccion de MTTR con monitoreo UNS/MES","rendimiento":"+1.5 pp: modernizacion de llenadoras (retrofit Modulfill/Contiform) estabiliza velocidad real vs nominal","calidad":"+1.0 pp: inspeccion HEUFT/vision reduce scrap y reprocesos"},"meta_programa_oee":0.86,"nota":"OEE mejorado = OEE base x 1.05 (fase comprometida). Meta de programa &gt;=86% con mejora continua."},"modelo_negocio":{"tipo":"Retrofit brownfield: 3 lineas existentes FEMSA Fontibon","alcance":["Celdas roboticas de paletizado (gantry L1-L2 + robot articulado L3)","Modernizacion de llenadoras unicamente (retrofit)","Nuevas areas automatizadas + gemelo digital por equipo (Tecnomatix)","Trazabilidad MES/Cloud via UNS"],"objetivos":{"throughput_incremental":0.11,"oee_objetivo":0.86,"mejora_flujo_caja":0.05},"capex_celdas_usd":{"gantry_L1_L2":107993,"robot_L3":131896,"total":239889}},"deriva_mix_retornable_anual":0.005,"hallazgo_capacidad":"U_2026 con turnos actuales: L1 1.25 · L2 1.30 (INFACTIBLE) · L3 0.80. Con 3er turno L1/L2: 0.83/0.86 -&gt; factible. Fuente: Tiempos_Fontibon_Corregido, hoja Capacidad_vs_Demanda."}</t>
  </si>
  <si>
    <t>distribuciones</t>
  </si>
  <si>
    <t>{"P1":{"mu":0.00276,"sigma":0.03477,"KS_D":0.1294,"KS_p":0.83,"AD_A2":0.359,"AD_crit_5pct":0.723,"chi2":3.5238,"chi2_p":0.4743,"normal_aceptada":true},"P2":{"mu":0.00276,"sigma":0.03477,"KS_D":0.1294,"KS_p":0.83,"AD_A2":0.359,"AD_crit_5pct":0.723,"chi2":3.5238,"chi2_p":0.4743,"normal_aceptada":true},"P3":{"mu":-0.01094,"sigma":0.07034,"KS_D":0.11,"KS_p":0.9371,"AD_A2":0.5323,"AD_crit_5pct":0.723,"chi2":1.1429,"chi2_p":0.8874,"normal_aceptada":true}}</t>
  </si>
  <si>
    <t>resultado_supuestos</t>
  </si>
  <si>
    <t>{"fuente_datos":"Google Sheets (datasets Forecast_*)","mezcla_retornable":{"deriva_anual_pp":0.5},"comparacion_modelos_P3_MAPE_pct":{"Bates-Granger optimo":2.1118},"correlacion_mensual_P1P2":{"historico (mezcla fija)":1.0,"pronostico v4":0.957},"perfil_formato":"Forecast_Perfil_Formato (Sheets)","mc_n":10000}</t>
  </si>
  <si>
    <t>resultado_validacion</t>
  </si>
  <si>
    <t>{"P1":{"error_pct":0.07},"P2":{"error_pct":0.07},"P3":{"error_pct":-0.34}}</t>
  </si>
  <si>
    <t>ano</t>
  </si>
  <si>
    <t>P1-CC350-RGB_litros</t>
  </si>
  <si>
    <t>P1-CC350-RGB_p05</t>
  </si>
  <si>
    <t>P1-CC350-RGB_p95</t>
  </si>
  <si>
    <t>P2-QT1500-PET_litros</t>
  </si>
  <si>
    <t>P2-QT1500-PET_p05</t>
  </si>
  <si>
    <t>P2-QT1500-PET_p95</t>
  </si>
  <si>
    <t>P3-GARR25L_litros</t>
  </si>
  <si>
    <t>P3-GARR25L_p05</t>
  </si>
  <si>
    <t>P3-GARR25L_p95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</si>
  <si>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</si>
  <si>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</si>
  <si>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</si>
  <si>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</si>
  <si>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</si>
  <si>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</si>
  <si>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</si>
  <si>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</si>
  <si>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</si>
  <si>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</si>
  <si>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</si>
  <si>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</si>
  <si>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trimestre</t>
  </si>
  <si>
    <t>2026Q2</t>
  </si>
  <si>
    <t>2026Q3</t>
  </si>
  <si>
    <t>2026Q4</t>
  </si>
  <si>
    <t>2027Q1</t>
  </si>
  <si>
    <t>modelo</t>
  </si>
  <si>
    <t>mape</t>
  </si>
  <si>
    <t>mad</t>
  </si>
  <si>
    <t>rmse</t>
  </si>
  <si>
    <t>mse</t>
  </si>
  <si>
    <t>tracking_signal</t>
  </si>
  <si>
    <t>sigma_rel</t>
  </si>
  <si>
    <t>peso_combinacion</t>
  </si>
  <si>
    <t>HW amortiguado m=4 (litros)</t>
  </si>
  <si>
    <t>Bates-Granger OPTIMO (w_directo=0.73)</t>
  </si>
  <si>
    <t>prueba</t>
  </si>
  <si>
    <t>detalle</t>
  </si>
  <si>
    <t>KOF 21 trimestres y categorias=total</t>
  </si>
  <si>
    <t>filas=21, diferencia_max=0.100 MCU</t>
  </si>
  <si>
    <t>Agregados anuales KOF</t>
  </si>
  <si>
    <t>diferencia_max=0.100 MCU</t>
  </si>
  <si>
    <t>Pesos intra-trimestre</t>
  </si>
  <si>
    <t>desviacion_max=0</t>
  </si>
  <si>
    <t>Historico mensual re-agrega al trimestral</t>
  </si>
  <si>
    <t>filas=63, diferencia_max=0.100 L</t>
  </si>
  <si>
    <t>Jerarquia de empaque</t>
  </si>
  <si>
    <t>{'P1-CC350-RGB': 1620, 'P2-QT1500-PET': 840, 'P3-GARR25L': 30}</t>
  </si>
  <si>
    <t>EAN-13 de productos</t>
  </si>
  <si>
    <t>validos=1</t>
  </si>
  <si>
    <t>Contrato del pronostico mensual</t>
  </si>
  <si>
    <t>filas=12, columnas=15</t>
  </si>
  <si>
    <t>Demanda vigente == recalculo v4</t>
  </si>
  <si>
    <t>max_litros=262, max_unidades=11</t>
  </si>
  <si>
    <t>MAPE vigente == recalculo v4</t>
  </si>
  <si>
    <t>diferencia_max=0.00063070 (0.063 pp)</t>
  </si>
  <si>
    <t>VIABILIDAD ECONOMICA DE AUTOMATIZACION — ANTES vs ULOGIX vs MERCADO</t>
  </si>
  <si>
    <t>Se monetiza 70% del ahorro laboral equivalente para reconocer reasignacion. El porcentaje se edita en Parametros; no supone despidos automaticos.</t>
  </si>
  <si>
    <t>Concepto</t>
  </si>
  <si>
    <t>Valor</t>
  </si>
  <si>
    <t>Unidad</t>
  </si>
  <si>
    <t>Costo unitario mensual operador</t>
  </si>
  <si>
    <t>COP/FTE-mes</t>
  </si>
  <si>
    <t>FTE manual paletizado</t>
  </si>
  <si>
    <t>FTE manual encajonado</t>
  </si>
  <si>
    <t>FTE manual equivalente</t>
  </si>
  <si>
    <t>Costo manual mensual por linea</t>
  </si>
  <si>
    <t>Costo manual anual</t>
  </si>
  <si>
    <t>COP/año</t>
  </si>
  <si>
    <t>Ahorro laboral bruto mensual</t>
  </si>
  <si>
    <t>Porcentaje monetizable</t>
  </si>
  <si>
    <t>Ahorro laboral monetizable mensual</t>
  </si>
  <si>
    <t>Ahorro laboral monetizable anual</t>
  </si>
  <si>
    <t>CAPEX automatizacion ULogix</t>
  </si>
  <si>
    <t>Mantenimiento anual ULogix</t>
  </si>
  <si>
    <t>Ahorro neto anual ULogix</t>
  </si>
  <si>
    <t>Payback simple ULogix</t>
  </si>
  <si>
    <t>años</t>
  </si>
  <si>
    <t>VPN ULogix 10 años</t>
  </si>
  <si>
    <t>CAPEX mercado equivalente</t>
  </si>
  <si>
    <t>Nota mercado</t>
  </si>
  <si>
    <t>Paletizadora+encajonadora L1, paletizadora L2 y robot L3 independientes; no comparten GANTRY</t>
  </si>
  <si>
    <t>Conclusión</t>
  </si>
  <si>
    <t>TIEMPOS — RESUMEN EJECUTIVO ANTES vs DESPUES</t>
  </si>
  <si>
    <t>Los tiempos base/OEE medidos gobiernan ANTES; los equipos y OEE de diseño gobiernan DESPUES. L3 conserva la llenadora.</t>
  </si>
  <si>
    <t>equipo despues</t>
  </si>
  <si>
    <t>tasa antes</t>
  </si>
  <si>
    <t>tasa despues</t>
  </si>
  <si>
    <t>OEE antes</t>
  </si>
  <si>
    <t>OEE despues</t>
  </si>
  <si>
    <t>demanda anual</t>
  </si>
  <si>
    <t>capacidad antes</t>
  </si>
  <si>
    <t>capacidad despues</t>
  </si>
  <si>
    <t>utilizacion antes</t>
  </si>
  <si>
    <t>utilizacion despues</t>
  </si>
  <si>
    <t>dictamen despues</t>
  </si>
  <si>
    <t>Factible</t>
  </si>
  <si>
    <t>Lectura de ingenieria</t>
  </si>
  <si>
    <t>Encajonadora 30x30 + llenadora KRONES usada 44k + GANTRY compartido</t>
  </si>
  <si>
    <t>Llenadora KRONES usada 18k + Variopac + el mismo GANTRY alternado con L1</t>
  </si>
  <si>
    <t>Solo celda robotica; llenadora existente 600 gfn/h es suficiente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</si>
</sst>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$#,##0"/>
    <numFmt numFmtId="165" formatCode="\$#,##0;&quot;($&quot;#,##0\);\-"/>
    <numFmt numFmtId="166" formatCode="0.0%"/>
    <numFmt numFmtId="167" formatCode="0.0"/>
    <numFmt numFmtId="168" formatCode="0.000%"/>
    <numFmt numFmtId="169" formatCode="mmm-d"/>
    <numFmt numFmtId="170" formatCode="0.0000"/>
    <numFmt numFmtId="171" formatCode="\$#,##0.00"/>
    <numFmt numFmtId="172" formatCode="0.0000%"/>
    <numFmt numFmtId="173" formatCode="d.m"/>
    <numFmt numFmtId="174" formatCode="dd.mm"/>
    <numFmt numFmtId="175" formatCode="0.000"/>
    <numFmt numFmtId="176" formatCode="yyyy-mm-dd"/>
  </numFmts>
  <fonts count="19">
    <font>
      <sz val="10.0"/>
      <color rgb="FF000000"/>
      <name val="Calibri"/>
      <scheme val="minor"/>
    </font>
    <font>
      <b/>
      <sz val="14.0"/>
      <color rgb="FFFFFFFF"/>
      <name val="Arial"/>
    </font>
    <font>
      <color theme="1"/>
      <name val="Calibri"/>
      <scheme val="minor"/>
    </font>
    <font>
      <b/>
      <color theme="1"/>
      <name val="Arial"/>
    </font>
    <font>
      <b/>
      <sz val="14.0"/>
      <color rgb="FF1A1A2E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8000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rgb="FF0000FF"/>
      <name val="Arial"/>
    </font>
    <font>
      <b/>
      <color rgb="FFFFFFFF"/>
      <name val="Arial"/>
    </font>
    <font>
      <color rgb="FF7A7A7A"/>
      <name val="Calibri"/>
      <scheme val="minor"/>
    </font>
    <font>
      <u/>
      <color rgb="FF0000FF"/>
    </font>
    <font>
      <color rgb="FF727272"/>
      <name val="Calibri"/>
      <scheme val="minor"/>
    </font>
    <font>
      <i/>
      <sz val="10.0"/>
      <color rgb="FF777777"/>
      <name val="Arial"/>
    </font>
    <font>
      <b/>
      <sz val="13.0"/>
      <color rgb="FFFFFFFF"/>
      <name val="Arial"/>
    </font>
    <font>
      <b/>
      <sz val="11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241647"/>
        <bgColor rgb="FF241647"/>
      </patternFill>
    </fill>
    <fill>
      <patternFill patternType="solid">
        <fgColor rgb="FFBFA526"/>
        <bgColor rgb="FFBFA526"/>
      </patternFill>
    </fill>
    <fill>
      <patternFill patternType="solid">
        <fgColor rgb="FF16324F"/>
        <bgColor rgb="FF16324F"/>
      </patternFill>
    </fill>
    <fill>
      <patternFill patternType="solid">
        <fgColor rgb="FFFFFF00"/>
        <bgColor rgb="FFFFFF00"/>
      </patternFill>
    </fill>
    <fill>
      <patternFill patternType="solid">
        <fgColor rgb="FFE8EEF4"/>
        <bgColor rgb="FFE8EEF4"/>
      </patternFill>
    </fill>
    <fill>
      <patternFill patternType="solid">
        <fgColor rgb="FF2D1956"/>
        <bgColor rgb="FF2D1956"/>
      </patternFill>
    </fill>
    <fill>
      <patternFill patternType="solid">
        <fgColor rgb="FF1E1E28"/>
        <bgColor rgb="FF1E1E28"/>
      </patternFill>
    </fill>
    <fill>
      <patternFill patternType="solid">
        <fgColor rgb="FFCC282D"/>
        <bgColor rgb="FFCC282D"/>
      </patternFill>
    </fill>
    <fill>
      <patternFill patternType="solid">
        <fgColor rgb="FFF2F2F2"/>
        <bgColor rgb="FFF2F2F2"/>
      </patternFill>
    </fill>
    <fill>
      <patternFill patternType="solid">
        <fgColor rgb="FFE5E5EF"/>
        <bgColor rgb="FFE5E5EF"/>
      </patternFill>
    </fill>
    <fill>
      <patternFill patternType="solid">
        <fgColor rgb="FFFFD866"/>
        <bgColor rgb="FFFFD866"/>
      </patternFill>
    </fill>
    <fill>
      <patternFill patternType="solid">
        <fgColor rgb="FF1960B7"/>
        <bgColor rgb="FF1960B7"/>
      </patternFill>
    </fill>
    <fill>
      <patternFill patternType="solid">
        <fgColor rgb="FFE07A19"/>
        <bgColor rgb="FFE07A19"/>
      </patternFill>
    </fill>
    <fill>
      <patternFill patternType="solid">
        <fgColor rgb="FF198C56"/>
        <bgColor rgb="FF198C56"/>
      </patternFill>
    </fill>
    <fill>
      <patternFill patternType="solid">
        <fgColor rgb="FF593DA5"/>
        <bgColor rgb="FF593DA5"/>
      </patternFill>
    </fill>
    <fill>
      <patternFill patternType="solid">
        <fgColor rgb="FFEDEDED"/>
        <bgColor rgb="FFEDEDED"/>
      </patternFill>
    </fill>
    <fill>
      <patternFill patternType="solid">
        <fgColor rgb="FFE8E0F9"/>
        <bgColor rgb="FFE8E0F9"/>
      </patternFill>
    </fill>
    <fill>
      <patternFill patternType="solid">
        <fgColor rgb="FFD8D8D8"/>
        <bgColor rgb="FFD8D8D8"/>
      </patternFill>
    </fill>
  </fills>
  <borders count="3">
    <border/>
    <border>
      <left/>
      <right/>
      <top/>
      <bottom/>
    </border>
    <border>
      <left style="thin">
        <color rgb="FFB0B7C0"/>
      </left>
      <right style="thin">
        <color rgb="FFB0B7C0"/>
      </right>
      <top style="thin">
        <color rgb="FFB0B7C0"/>
      </top>
      <bottom style="thin">
        <color rgb="FFB0B7C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3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" xfId="0" applyFont="1" applyNumberForma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2" fillId="4" fontId="6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shrinkToFit="0" vertical="bottom" wrapText="0"/>
    </xf>
    <xf borderId="2" fillId="0" fontId="8" numFmtId="165" xfId="0" applyAlignment="1" applyBorder="1" applyFont="1" applyNumberFormat="1">
      <alignment shrinkToFit="0" vertical="bottom" wrapText="0"/>
    </xf>
    <xf borderId="2" fillId="0" fontId="7" numFmtId="165" xfId="0" applyAlignment="1" applyBorder="1" applyFont="1" applyNumberFormat="1">
      <alignment shrinkToFit="0" vertical="bottom" wrapText="0"/>
    </xf>
    <xf borderId="2" fillId="0" fontId="8" numFmtId="166" xfId="0" applyAlignment="1" applyBorder="1" applyFont="1" applyNumberFormat="1">
      <alignment shrinkToFit="0" vertical="bottom" wrapText="0"/>
    </xf>
    <xf borderId="2" fillId="0" fontId="7" numFmtId="10" xfId="0" applyAlignment="1" applyBorder="1" applyFont="1" applyNumberFormat="1">
      <alignment shrinkToFit="0" vertical="bottom" wrapText="0"/>
    </xf>
    <xf borderId="2" fillId="0" fontId="8" numFmtId="1" xfId="0" applyAlignment="1" applyBorder="1" applyFont="1" applyNumberFormat="1">
      <alignment shrinkToFit="0" vertical="bottom" wrapText="0"/>
    </xf>
    <xf borderId="2" fillId="0" fontId="7" numFmtId="1" xfId="0" applyAlignment="1" applyBorder="1" applyFont="1" applyNumberFormat="1">
      <alignment shrinkToFit="0" vertical="bottom" wrapText="0"/>
    </xf>
    <xf borderId="2" fillId="0" fontId="9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2" fillId="0" fontId="11" numFmtId="3" xfId="0" applyAlignment="1" applyBorder="1" applyFont="1" applyNumberFormat="1">
      <alignment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11" numFmtId="10" xfId="0" applyAlignment="1" applyBorder="1" applyFont="1" applyNumberFormat="1">
      <alignment shrinkToFit="0" vertical="bottom" wrapText="0"/>
    </xf>
    <xf borderId="2" fillId="5" fontId="11" numFmtId="10" xfId="0" applyAlignment="1" applyBorder="1" applyFill="1" applyFont="1" applyNumberFormat="1">
      <alignment shrinkToFit="0" vertical="bottom" wrapText="0"/>
    </xf>
    <xf borderId="2" fillId="0" fontId="11" numFmtId="10" xfId="0" applyAlignment="1" applyBorder="1" applyFont="1" applyNumberFormat="1">
      <alignment readingOrder="0" shrinkToFit="0" vertical="bottom" wrapText="0"/>
    </xf>
    <xf borderId="2" fillId="0" fontId="11" numFmtId="168" xfId="0" applyAlignment="1" applyBorder="1" applyFont="1" applyNumberFormat="1">
      <alignment shrinkToFit="0" vertical="bottom" wrapText="0"/>
    </xf>
    <xf borderId="2" fillId="0" fontId="11" numFmtId="165" xfId="0" applyAlignment="1" applyBorder="1" applyFont="1" applyNumberFormat="1">
      <alignment shrinkToFit="0" vertical="bottom" wrapText="0"/>
    </xf>
    <xf borderId="2" fillId="0" fontId="11" numFmtId="0" xfId="0" applyAlignment="1" applyBorder="1" applyFont="1">
      <alignment shrinkToFit="0" vertical="bottom" wrapText="0"/>
    </xf>
    <xf borderId="2" fillId="5" fontId="11" numFmtId="165" xfId="0" applyAlignment="1" applyBorder="1" applyFont="1" applyNumberFormat="1">
      <alignment readingOrder="0" shrinkToFit="0" vertical="bottom" wrapText="0"/>
    </xf>
    <xf borderId="2" fillId="5" fontId="11" numFmtId="165" xfId="0" applyAlignment="1" applyBorder="1" applyFont="1" applyNumberFormat="1">
      <alignment shrinkToFit="0" vertical="bottom" wrapText="0"/>
    </xf>
    <xf borderId="2" fillId="5" fontId="11" numFmtId="10" xfId="0" applyAlignment="1" applyBorder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2" fillId="0" fontId="10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top" wrapText="1"/>
    </xf>
    <xf borderId="2" fillId="0" fontId="8" numFmtId="0" xfId="0" applyAlignment="1" applyBorder="1" applyFont="1">
      <alignment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2" fillId="4" fontId="6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bottom" wrapText="0"/>
    </xf>
    <xf borderId="2" fillId="0" fontId="7" numFmtId="169" xfId="0" applyAlignment="1" applyBorder="1" applyFont="1" applyNumberFormat="1">
      <alignment readingOrder="0" shrinkToFit="0" vertical="bottom" wrapText="0"/>
    </xf>
    <xf borderId="2" fillId="0" fontId="7" numFmtId="3" xfId="0" applyAlignment="1" applyBorder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6" fontId="10" numFmtId="0" xfId="0" applyAlignment="1" applyBorder="1" applyFill="1" applyFont="1">
      <alignment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7" numFmtId="170" xfId="0" applyAlignment="1" applyFont="1" applyNumberFormat="1">
      <alignment shrinkToFit="0" vertical="bottom" wrapText="0"/>
    </xf>
    <xf borderId="0" fillId="7" fontId="12" numFmtId="0" xfId="0" applyAlignment="1" applyFill="1" applyFont="1">
      <alignment readingOrder="0" shrinkToFit="0" vertical="bottom" wrapText="0"/>
    </xf>
    <xf borderId="0" fillId="7" fontId="12" numFmtId="0" xfId="0" applyFont="1"/>
    <xf borderId="2" fillId="8" fontId="12" numFmtId="0" xfId="0" applyAlignment="1" applyBorder="1" applyFill="1" applyFont="1">
      <alignment readingOrder="0" shrinkToFit="0" vertical="center" wrapText="1"/>
    </xf>
    <xf borderId="2" fillId="9" fontId="12" numFmtId="0" xfId="0" applyAlignment="1" applyBorder="1" applyFill="1" applyFont="1">
      <alignment readingOrder="0" shrinkToFit="0" vertical="bottom" wrapText="0"/>
    </xf>
    <xf borderId="2" fillId="9" fontId="12" numFmtId="164" xfId="0" applyAlignment="1" applyBorder="1" applyFont="1" applyNumberFormat="1">
      <alignment readingOrder="0" shrinkToFit="0" vertical="bottom" wrapText="0"/>
    </xf>
    <xf borderId="2" fillId="9" fontId="12" numFmtId="164" xfId="0" applyAlignment="1" applyBorder="1" applyFont="1" applyNumberFormat="1">
      <alignment shrinkToFit="0" vertical="bottom" wrapText="0"/>
    </xf>
    <xf borderId="2" fillId="9" fontId="12" numFmtId="0" xfId="0" applyAlignment="1" applyBorder="1" applyFont="1">
      <alignment readingOrder="0"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2" fillId="0" fontId="11" numFmtId="164" xfId="0" applyAlignment="1" applyBorder="1" applyFont="1" applyNumberFormat="1">
      <alignment readingOrder="0" shrinkToFit="0" vertical="bottom" wrapText="0"/>
    </xf>
    <xf borderId="2" fillId="0" fontId="7" numFmtId="164" xfId="0" applyAlignment="1" applyBorder="1" applyFont="1" applyNumberFormat="1">
      <alignment readingOrder="0" shrinkToFit="0" vertical="bottom" wrapText="0"/>
    </xf>
    <xf borderId="2" fillId="10" fontId="13" numFmtId="0" xfId="0" applyAlignment="1" applyBorder="1" applyFill="1" applyFont="1">
      <alignment readingOrder="0" shrinkToFit="0" vertical="bottom" wrapText="0"/>
    </xf>
    <xf borderId="2" fillId="10" fontId="13" numFmtId="164" xfId="0" applyAlignment="1" applyBorder="1" applyFont="1" applyNumberFormat="1">
      <alignment readingOrder="0" shrinkToFit="0" vertical="bottom" wrapText="0"/>
    </xf>
    <xf borderId="2" fillId="11" fontId="3" numFmtId="0" xfId="0" applyAlignment="1" applyBorder="1" applyFill="1" applyFont="1">
      <alignment readingOrder="0" shrinkToFit="0" vertical="bottom" wrapText="0"/>
    </xf>
    <xf borderId="2" fillId="11" fontId="3" numFmtId="0" xfId="0" applyAlignment="1" applyBorder="1" applyFont="1">
      <alignment readingOrder="0" shrinkToFit="0" vertical="bottom" wrapText="0"/>
    </xf>
    <xf borderId="2" fillId="11" fontId="3" numFmtId="164" xfId="0" applyAlignment="1" applyBorder="1" applyFont="1" applyNumberFormat="1">
      <alignment readingOrder="0" shrinkToFit="0" vertical="bottom" wrapText="0"/>
    </xf>
    <xf borderId="2" fillId="12" fontId="3" numFmtId="0" xfId="0" applyAlignment="1" applyBorder="1" applyFill="1" applyFont="1">
      <alignment readingOrder="0" shrinkToFit="0" vertical="bottom" wrapText="0"/>
    </xf>
    <xf borderId="2" fillId="12" fontId="3" numFmtId="0" xfId="0" applyAlignment="1" applyBorder="1" applyFont="1">
      <alignment readingOrder="0" shrinkToFit="0" vertical="bottom" wrapText="0"/>
    </xf>
    <xf borderId="2" fillId="12" fontId="3" numFmtId="164" xfId="0" applyAlignment="1" applyBorder="1" applyFont="1" applyNumberFormat="1">
      <alignment readingOrder="0" shrinkToFit="0" vertical="bottom" wrapText="0"/>
    </xf>
    <xf borderId="2" fillId="12" fontId="3" numFmtId="164" xfId="0" applyAlignment="1" applyBorder="1" applyFont="1" applyNumberFormat="1">
      <alignment shrinkToFit="0" vertical="bottom" wrapText="0"/>
    </xf>
    <xf borderId="2" fillId="13" fontId="12" numFmtId="0" xfId="0" applyAlignment="1" applyBorder="1" applyFill="1" applyFont="1">
      <alignment readingOrder="0" shrinkToFit="0" vertical="bottom" wrapText="0"/>
    </xf>
    <xf borderId="2" fillId="13" fontId="12" numFmtId="164" xfId="0" applyAlignment="1" applyBorder="1" applyFont="1" applyNumberFormat="1">
      <alignment readingOrder="0" shrinkToFit="0" vertical="bottom" wrapText="0"/>
    </xf>
    <xf borderId="2" fillId="10" fontId="13" numFmtId="0" xfId="0" applyAlignment="1" applyBorder="1" applyFont="1">
      <alignment readingOrder="0" shrinkToFit="0" vertical="bottom" wrapText="0"/>
    </xf>
    <xf borderId="2" fillId="14" fontId="12" numFmtId="0" xfId="0" applyAlignment="1" applyBorder="1" applyFill="1" applyFont="1">
      <alignment readingOrder="0" shrinkToFit="0" vertical="bottom" wrapText="0"/>
    </xf>
    <xf borderId="2" fillId="14" fontId="12" numFmtId="164" xfId="0" applyAlignment="1" applyBorder="1" applyFont="1" applyNumberFormat="1">
      <alignment readingOrder="0" shrinkToFit="0" vertical="bottom" wrapText="0"/>
    </xf>
    <xf borderId="0" fillId="12" fontId="3" numFmtId="0" xfId="0" applyAlignment="1" applyFont="1">
      <alignment readingOrder="0"/>
    </xf>
    <xf borderId="1" fillId="12" fontId="3" numFmtId="0" xfId="0" applyAlignment="1" applyBorder="1" applyFont="1">
      <alignment readingOrder="0" shrinkToFit="0" vertical="bottom" wrapText="0"/>
    </xf>
    <xf borderId="0" fillId="12" fontId="3" numFmtId="0" xfId="0" applyAlignment="1" applyFont="1">
      <alignment readingOrder="0"/>
    </xf>
    <xf borderId="0" fillId="12" fontId="3" numFmtId="164" xfId="0" applyAlignment="1" applyFont="1" applyNumberFormat="1">
      <alignment readingOrder="0"/>
    </xf>
    <xf borderId="0" fillId="12" fontId="3" numFmtId="164" xfId="0" applyFont="1" applyNumberFormat="1"/>
    <xf borderId="0" fillId="0" fontId="2" numFmtId="164" xfId="0" applyAlignment="1" applyFont="1" applyNumberFormat="1">
      <alignment readingOrder="0"/>
    </xf>
    <xf borderId="1" fillId="4" fontId="6" numFmtId="0" xfId="0" applyAlignment="1" applyBorder="1" applyFon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12" fontId="3" numFmtId="164" xfId="0" applyAlignment="1" applyFont="1" applyNumberFormat="1">
      <alignment readingOrder="0" shrinkToFit="0" vertical="bottom" wrapText="0"/>
    </xf>
    <xf borderId="0" fillId="11" fontId="3" numFmtId="0" xfId="0" applyFont="1"/>
    <xf borderId="0" fillId="11" fontId="3" numFmtId="0" xfId="0" applyAlignment="1" applyFont="1">
      <alignment readingOrder="0"/>
    </xf>
    <xf borderId="0" fillId="11" fontId="3" numFmtId="164" xfId="0" applyAlignment="1" applyFont="1" applyNumberFormat="1">
      <alignment readingOrder="0"/>
    </xf>
    <xf borderId="0" fillId="11" fontId="3" numFmtId="164" xfId="0" applyFont="1" applyNumberFormat="1"/>
    <xf borderId="0" fillId="15" fontId="12" numFmtId="0" xfId="0" applyFill="1" applyFont="1"/>
    <xf borderId="0" fillId="15" fontId="12" numFmtId="0" xfId="0" applyAlignment="1" applyFont="1">
      <alignment readingOrder="0"/>
    </xf>
    <xf borderId="0" fillId="15" fontId="12" numFmtId="164" xfId="0" applyAlignment="1" applyFont="1" applyNumberFormat="1">
      <alignment readingOrder="0"/>
    </xf>
    <xf borderId="0" fillId="15" fontId="12" numFmtId="164" xfId="0" applyFont="1" applyNumberFormat="1"/>
    <xf borderId="0" fillId="10" fontId="13" numFmtId="0" xfId="0" applyAlignment="1" applyFont="1">
      <alignment readingOrder="0"/>
    </xf>
    <xf borderId="0" fillId="10" fontId="13" numFmtId="0" xfId="0" applyAlignment="1" applyFont="1">
      <alignment readingOrder="0"/>
    </xf>
    <xf borderId="0" fillId="10" fontId="13" numFmtId="164" xfId="0" applyAlignment="1" applyFont="1" applyNumberFormat="1">
      <alignment readingOrder="0"/>
    </xf>
    <xf borderId="0" fillId="10" fontId="13" numFmtId="164" xfId="0" applyFont="1" applyNumberFormat="1"/>
    <xf borderId="0" fillId="16" fontId="12" numFmtId="0" xfId="0" applyFill="1" applyFont="1"/>
    <xf borderId="0" fillId="16" fontId="12" numFmtId="0" xfId="0" applyAlignment="1" applyFont="1">
      <alignment readingOrder="0"/>
    </xf>
    <xf borderId="0" fillId="16" fontId="12" numFmtId="164" xfId="0" applyFont="1" applyNumberFormat="1"/>
    <xf borderId="0" fillId="12" fontId="3" numFmtId="0" xfId="0" applyFont="1"/>
    <xf borderId="0" fillId="0" fontId="2" numFmtId="4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2" numFmtId="49" xfId="0" applyFont="1" applyNumberFormat="1"/>
    <xf borderId="0" fillId="0" fontId="2" numFmtId="4" xfId="0" applyFont="1" applyNumberFormat="1"/>
    <xf borderId="0" fillId="8" fontId="12" numFmtId="0" xfId="0" applyAlignment="1" applyFont="1">
      <alignment readingOrder="0"/>
    </xf>
    <xf borderId="2" fillId="0" fontId="11" numFmtId="0" xfId="0" applyAlignment="1" applyBorder="1" applyFont="1">
      <alignment readingOrder="0" shrinkToFit="0" vertical="bottom" wrapText="0"/>
    </xf>
    <xf borderId="2" fillId="0" fontId="7" numFmtId="164" xfId="0" applyAlignment="1" applyBorder="1" applyFont="1" applyNumberFormat="1">
      <alignment shrinkToFit="0" vertical="bottom" wrapText="0"/>
    </xf>
    <xf borderId="2" fillId="0" fontId="11" numFmtId="164" xfId="0" applyAlignment="1" applyBorder="1" applyFont="1" applyNumberFormat="1">
      <alignment shrinkToFit="0" vertical="bottom" wrapText="0"/>
    </xf>
    <xf borderId="0" fillId="17" fontId="15" numFmtId="0" xfId="0" applyAlignment="1" applyFill="1" applyFont="1">
      <alignment readingOrder="0" shrinkToFit="0" vertical="bottom" wrapText="0"/>
    </xf>
    <xf borderId="0" fillId="17" fontId="15" numFmtId="0" xfId="0" applyAlignment="1" applyFont="1">
      <alignment readingOrder="0"/>
    </xf>
    <xf borderId="0" fillId="17" fontId="15" numFmtId="0" xfId="0" applyAlignment="1" applyFont="1">
      <alignment readingOrder="0"/>
    </xf>
    <xf borderId="0" fillId="17" fontId="15" numFmtId="164" xfId="0" applyAlignment="1" applyFont="1" applyNumberFormat="1">
      <alignment readingOrder="0"/>
    </xf>
    <xf borderId="0" fillId="17" fontId="15" numFmtId="164" xfId="0" applyAlignment="1" applyFont="1" applyNumberFormat="1">
      <alignment shrinkToFit="0" vertical="bottom" wrapText="0"/>
    </xf>
    <xf borderId="0" fillId="17" fontId="15" numFmtId="164" xfId="0" applyFont="1" applyNumberFormat="1"/>
    <xf borderId="1" fillId="17" fontId="15" numFmtId="164" xfId="0" applyAlignment="1" applyBorder="1" applyFont="1" applyNumberFormat="1">
      <alignment shrinkToFit="0" vertical="bottom" wrapText="0"/>
    </xf>
    <xf borderId="0" fillId="18" fontId="3" numFmtId="0" xfId="0" applyAlignment="1" applyFill="1" applyFont="1">
      <alignment readingOrder="0"/>
    </xf>
    <xf borderId="0" fillId="18" fontId="3" numFmtId="0" xfId="0" applyFont="1"/>
    <xf borderId="0" fillId="18" fontId="3" numFmtId="164" xfId="0" applyFont="1" applyNumberFormat="1"/>
    <xf borderId="2" fillId="0" fontId="7" numFmtId="166" xfId="0" applyAlignment="1" applyBorder="1" applyFont="1" applyNumberFormat="1">
      <alignment shrinkToFit="0" vertical="bottom" wrapText="0"/>
    </xf>
    <xf borderId="0" fillId="0" fontId="11" numFmtId="3" xfId="0" applyAlignment="1" applyFont="1" applyNumberFormat="1">
      <alignment shrinkToFit="0" vertical="bottom" wrapText="0"/>
    </xf>
    <xf borderId="1" fillId="6" fontId="7" numFmtId="171" xfId="0" applyAlignment="1" applyBorder="1" applyFont="1" applyNumberFormat="1">
      <alignment shrinkToFit="0" vertical="bottom" wrapText="0"/>
    </xf>
    <xf borderId="0" fillId="0" fontId="7" numFmtId="172" xfId="0" applyAlignment="1" applyFont="1" applyNumberFormat="1">
      <alignment shrinkToFit="0" vertical="bottom" wrapText="0"/>
    </xf>
    <xf borderId="1" fillId="6" fontId="7" numFmtId="165" xfId="0" applyAlignment="1" applyBorder="1" applyFont="1" applyNumberFormat="1">
      <alignment shrinkToFit="0" vertical="bottom" wrapText="0"/>
    </xf>
    <xf borderId="1" fillId="6" fontId="7" numFmtId="168" xfId="0" applyAlignment="1" applyBorder="1" applyFont="1" applyNumberFormat="1">
      <alignment shrinkToFit="0" vertical="bottom" wrapText="0"/>
    </xf>
    <xf borderId="1" fillId="6" fontId="7" numFmtId="166" xfId="0" applyAlignment="1" applyBorder="1" applyFont="1" applyNumberFormat="1">
      <alignment shrinkToFit="0" vertical="bottom" wrapText="0"/>
    </xf>
    <xf borderId="1" fillId="6" fontId="7" numFmtId="1" xfId="0" applyAlignment="1" applyBorder="1" applyFont="1" applyNumberFormat="1">
      <alignment shrinkToFit="0" vertical="bottom" wrapText="0"/>
    </xf>
    <xf borderId="0" fillId="0" fontId="7" numFmtId="1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6" fontId="7" numFmtId="10" xfId="0" applyAlignment="1" applyBorder="1" applyFont="1" applyNumberFormat="1">
      <alignment shrinkToFit="0" vertical="bottom" wrapText="0"/>
    </xf>
    <xf borderId="2" fillId="0" fontId="11" numFmtId="166" xfId="0" applyAlignment="1" applyBorder="1" applyFont="1" applyNumberFormat="1">
      <alignment shrinkToFit="0" vertical="bottom" wrapText="0"/>
    </xf>
    <xf quotePrefix="1" borderId="0" fillId="0" fontId="2" numFmtId="0" xfId="0" applyAlignment="1" applyFont="1">
      <alignment readingOrder="0"/>
    </xf>
    <xf borderId="2" fillId="0" fontId="16" numFmtId="0" xfId="0" applyAlignment="1" applyBorder="1" applyFont="1">
      <alignment readingOrder="0" shrinkToFit="0" vertical="bottom" wrapText="0"/>
    </xf>
    <xf borderId="2" fillId="0" fontId="16" numFmtId="0" xfId="0" applyAlignment="1" applyBorder="1" applyFont="1">
      <alignment readingOrder="0" shrinkToFit="0" vertical="bottom" wrapText="0"/>
    </xf>
    <xf borderId="2" fillId="0" fontId="7" numFmtId="3" xfId="0" applyAlignment="1" applyBorder="1" applyFont="1" applyNumberFormat="1">
      <alignment shrinkToFit="0" vertical="bottom" wrapText="0"/>
    </xf>
    <xf borderId="2" fillId="0" fontId="7" numFmtId="167" xfId="0" applyAlignment="1" applyBorder="1" applyFont="1" applyNumberFormat="1">
      <alignment shrinkToFit="0" vertical="bottom" wrapText="0"/>
    </xf>
    <xf borderId="1" fillId="6" fontId="7" numFmtId="3" xfId="0" applyAlignment="1" applyBorder="1" applyFont="1" applyNumberFormat="1">
      <alignment shrinkToFit="0" vertical="bottom" wrapText="0"/>
    </xf>
    <xf borderId="1" fillId="6" fontId="7" numFmtId="167" xfId="0" applyAlignment="1" applyBorder="1" applyFont="1" applyNumberFormat="1">
      <alignment shrinkToFit="0" vertical="bottom" wrapText="0"/>
    </xf>
    <xf borderId="0" fillId="2" fontId="17" numFmtId="0" xfId="0" applyAlignment="1" applyFont="1">
      <alignment readingOrder="0" shrinkToFit="0" vertical="bottom" wrapText="0"/>
    </xf>
    <xf borderId="0" fillId="2" fontId="17" numFmtId="0" xfId="0" applyAlignment="1" applyFont="1">
      <alignment readingOrder="0"/>
    </xf>
    <xf borderId="0" fillId="2" fontId="17" numFmtId="0" xfId="0" applyFont="1"/>
    <xf borderId="2" fillId="3" fontId="18" numFmtId="0" xfId="0" applyAlignment="1" applyBorder="1" applyFont="1">
      <alignment readingOrder="0" shrinkToFit="0" vertical="center" wrapText="1"/>
    </xf>
    <xf borderId="2" fillId="3" fontId="18" numFmtId="0" xfId="0" applyAlignment="1" applyBorder="1" applyFont="1">
      <alignment shrinkToFit="0" vertical="center" wrapText="1"/>
    </xf>
    <xf borderId="0" fillId="3" fontId="18" numFmtId="0" xfId="0" applyFont="1"/>
    <xf borderId="0" fillId="0" fontId="10" numFmtId="0" xfId="0" applyAlignment="1" applyFont="1">
      <alignment readingOrder="0" shrinkToFit="0" vertical="bottom" wrapText="0"/>
    </xf>
    <xf borderId="0" fillId="3" fontId="18" numFmtId="0" xfId="0" applyAlignment="1" applyFont="1">
      <alignment readingOrder="0"/>
    </xf>
    <xf borderId="0" fillId="0" fontId="2" numFmtId="173" xfId="0" applyAlignment="1" applyFont="1" applyNumberFormat="1">
      <alignment readingOrder="0"/>
    </xf>
    <xf borderId="0" fillId="0" fontId="2" numFmtId="173" xfId="0" applyFont="1" applyNumberFormat="1"/>
    <xf borderId="0" fillId="0" fontId="2" numFmtId="3" xfId="0" applyAlignment="1" applyFont="1" applyNumberFormat="1">
      <alignment readingOrder="0"/>
    </xf>
    <xf borderId="0" fillId="0" fontId="2" numFmtId="174" xfId="0" applyAlignment="1" applyFont="1" applyNumberFormat="1">
      <alignment readingOrder="0"/>
    </xf>
    <xf borderId="0" fillId="0" fontId="2" numFmtId="174" xfId="0" applyFont="1" applyNumberFormat="1"/>
    <xf borderId="0" fillId="0" fontId="2" numFmtId="9" xfId="0" applyAlignment="1" applyFont="1" applyNumberFormat="1">
      <alignment readingOrder="0"/>
    </xf>
    <xf borderId="0" fillId="0" fontId="2" numFmtId="175" xfId="0" applyFont="1" applyNumberFormat="1"/>
    <xf borderId="0" fillId="0" fontId="2" numFmtId="166" xfId="0" applyFont="1" applyNumberFormat="1"/>
    <xf borderId="0" fillId="0" fontId="2" numFmtId="2" xfId="0" applyFont="1" applyNumberFormat="1"/>
    <xf borderId="0" fillId="0" fontId="2" numFmtId="3" xfId="0" applyFont="1" applyNumberFormat="1"/>
    <xf borderId="2" fillId="0" fontId="16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4" fontId="6" numFmtId="0" xfId="0" applyAlignment="1" applyBorder="1" applyFont="1">
      <alignment readingOrder="0" shrinkToFit="0" vertical="center" wrapText="1"/>
    </xf>
    <xf borderId="0" fillId="0" fontId="2" numFmtId="176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9" xfId="0" applyAlignment="1" applyFont="1" applyNumberFormat="1">
      <alignment readingOrder="0"/>
    </xf>
    <xf borderId="0" fillId="0" fontId="2" numFmtId="9" xfId="0" applyFont="1" applyNumberFormat="1"/>
    <xf borderId="0" fillId="19" fontId="3" numFmtId="0" xfId="0" applyAlignment="1" applyFill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chinio.com/cat/variopac" TargetMode="External"/><Relationship Id="rId2" Type="http://schemas.openxmlformats.org/officeDocument/2006/relationships/hyperlink" Target="https://www.machinepoint.com/machinepoint/inventory.nsf/idmaquina/300047107?ln=es&amp;opendocument=" TargetMode="External"/><Relationship Id="rId3" Type="http://schemas.openxmlformats.org/officeDocument/2006/relationships/hyperlink" Target="https://www.machinepoint.com/machinepoint/inventory.nsf/idmaquina/300049529?ln=en&amp;opendocument=" TargetMode="External"/><Relationship Id="rId4" Type="http://schemas.openxmlformats.org/officeDocument/2006/relationships/hyperlink" Target="https://www.truck1.eu/industrial-equipment/liquid-filling-machines/used-krones-filling-line-for-flat-drinks-in-glass-a11361978.html" TargetMode="External"/><Relationship Id="rId5" Type="http://schemas.openxmlformats.org/officeDocument/2006/relationships/hyperlink" Target="https://used-german-machines.de/machines/99922681" TargetMode="External"/><Relationship Id="rId6" Type="http://schemas.openxmlformats.org/officeDocument/2006/relationships/hyperlink" Target="https://www.exapro.com/krones-ultra-clean-pet-p260108037/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</row>
    <row r="4">
      <c r="A4" s="3" t="s">
        <v>2</v>
      </c>
      <c r="B4" s="3"/>
      <c r="C4" s="3"/>
      <c r="D4" s="3"/>
      <c r="E4" s="3"/>
      <c r="F4" s="3"/>
    </row>
    <row r="5">
      <c r="A5" s="2" t="s">
        <v>3</v>
      </c>
      <c r="B5" s="2" t="s">
        <v>4</v>
      </c>
      <c r="C5" s="2" t="s">
        <v>5</v>
      </c>
    </row>
    <row r="6">
      <c r="A6" s="2" t="s">
        <v>6</v>
      </c>
      <c r="B6" s="4">
        <f>SUM(Demanda!D$5:D$16)</f>
        <v>188337814</v>
      </c>
      <c r="C6" s="2" t="s">
        <v>7</v>
      </c>
    </row>
    <row r="7">
      <c r="A7" s="2" t="s">
        <v>8</v>
      </c>
      <c r="B7" s="4">
        <f>SUM(Demanda!E$5:E$16)</f>
        <v>54228683</v>
      </c>
      <c r="C7" s="2" t="s">
        <v>7</v>
      </c>
    </row>
    <row r="8">
      <c r="A8" s="2" t="s">
        <v>9</v>
      </c>
      <c r="B8" s="4">
        <f>SUM(Demanda!F$5:F$16)</f>
        <v>279149</v>
      </c>
      <c r="C8" s="2" t="s">
        <v>10</v>
      </c>
    </row>
    <row r="10">
      <c r="A10" s="3" t="s">
        <v>11</v>
      </c>
      <c r="B10" s="3"/>
      <c r="C10" s="3"/>
      <c r="D10" s="3"/>
      <c r="E10" s="3"/>
      <c r="F10" s="3"/>
    </row>
    <row r="11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</row>
    <row r="12">
      <c r="A12" s="2" t="s">
        <v>18</v>
      </c>
      <c r="B12" s="5" t="str">
        <f>TEXT(Tiempos!I104,"0.0%")&amp;" → "&amp;TEXT(Tiempos!J104,"0.0%")</f>
        <v>77,1% → 81,0%</v>
      </c>
      <c r="C12" s="5" t="str">
        <f>TEXT(Tiempos!U104,"0%")&amp;" → "&amp;TEXT(Tiempos!V104,"0%")</f>
        <v>126% → 77%</v>
      </c>
      <c r="D12" s="5" t="str">
        <f>TEXT(Tiempos!R104/1000000,"0.0")&amp;"M → "&amp;TEXT(Tiempos!T104/1000000,"0.0")&amp;"M"</f>
        <v>150,0M → 244,5M</v>
      </c>
      <c r="E12" s="5" t="str">
        <f>Tiempos!X104</f>
        <v>INFACTIBLE</v>
      </c>
      <c r="F12" s="5" t="str">
        <f>Tiempos!Y104</f>
        <v>Factible</v>
      </c>
    </row>
    <row r="13">
      <c r="A13" s="2" t="s">
        <v>19</v>
      </c>
      <c r="B13" s="5" t="str">
        <f>TEXT(Tiempos!I105,"0.0%")&amp;" → "&amp;TEXT(Tiempos!J105,"0.0%")</f>
        <v>76,5% → 80,3%</v>
      </c>
      <c r="C13" s="5" t="str">
        <f>TEXT(Tiempos!U105,"0%")&amp;" → "&amp;TEXT(Tiempos!V105,"0%")</f>
        <v>129% → 55%</v>
      </c>
      <c r="D13" s="5" t="str">
        <f>TEXT(Tiempos!R105/1000000,"0.0")&amp;"M → "&amp;TEXT(Tiempos!T105/1000000,"0.0")&amp;"M"</f>
        <v>42,0M → 99,2M</v>
      </c>
      <c r="E13" s="5" t="str">
        <f>Tiempos!X105</f>
        <v>INFACTIBLE</v>
      </c>
      <c r="F13" s="5" t="str">
        <f>Tiempos!Y105</f>
        <v>Factible</v>
      </c>
    </row>
    <row r="14">
      <c r="A14" s="2" t="s">
        <v>20</v>
      </c>
      <c r="B14" s="5" t="str">
        <f>TEXT(Tiempos!I106,"0.0%")&amp;" → "&amp;TEXT(Tiempos!J106,"0.0%")</f>
        <v>75,4% → 79,1%</v>
      </c>
      <c r="C14" s="5" t="str">
        <f>TEXT(Tiempos!U106,"0%")&amp;" → "&amp;TEXT(Tiempos!V106,"0%")</f>
        <v>80% → 61%</v>
      </c>
      <c r="D14" s="5" t="str">
        <f>TEXT(Tiempos!R106/1000000,"0.0")&amp;"M → "&amp;TEXT(Tiempos!T106/1000000,"0.0")&amp;"M"</f>
        <v>0,3M → 0,5M</v>
      </c>
      <c r="E14" s="5" t="str">
        <f>Tiempos!X106</f>
        <v>Factible</v>
      </c>
      <c r="F14" s="5" t="str">
        <f>Tiempos!Y106</f>
        <v>Factible</v>
      </c>
    </row>
    <row r="16">
      <c r="A16" s="3" t="s">
        <v>21</v>
      </c>
      <c r="B16" s="3"/>
      <c r="C16" s="3"/>
      <c r="D16" s="3"/>
      <c r="E16" s="3"/>
      <c r="F16" s="3"/>
    </row>
    <row r="17">
      <c r="A17" s="2" t="s">
        <v>22</v>
      </c>
      <c r="B17" s="6">
        <f t="array" ref="B17">INDEX(CAPEX!$G:$G,MATCH("CAPEX TOTAL (con contingencia)",CAPEX!$C:$C,0))</f>
        <v>9165554245</v>
      </c>
    </row>
    <row r="18">
      <c r="A18" s="2" t="s">
        <v>23</v>
      </c>
      <c r="B18" s="7">
        <f>Flujo_Caja!B19</f>
        <v>11032069063</v>
      </c>
    </row>
    <row r="19">
      <c r="A19" s="2" t="s">
        <v>24</v>
      </c>
      <c r="B19" s="8">
        <f>Flujo_Caja!B21</f>
        <v>0.7815942755</v>
      </c>
    </row>
    <row r="20">
      <c r="A20" s="2" t="s">
        <v>25</v>
      </c>
      <c r="B20" s="8">
        <f>Flujo_Caja!B24</f>
        <v>2.266891232</v>
      </c>
    </row>
    <row r="21">
      <c r="A21" s="2" t="s">
        <v>26</v>
      </c>
      <c r="B21" s="9">
        <f>Flujo_Caja!B26</f>
        <v>22</v>
      </c>
    </row>
    <row r="22">
      <c r="A22" s="2" t="s">
        <v>27</v>
      </c>
      <c r="B22" s="9">
        <f>Flujo_Caja!B27</f>
        <v>25</v>
      </c>
    </row>
    <row r="23">
      <c r="A23" s="2" t="s">
        <v>28</v>
      </c>
      <c r="B23" s="7">
        <f>Flujo_Caja!B28</f>
        <v>9406419488</v>
      </c>
    </row>
    <row r="25">
      <c r="A25" s="3" t="s">
        <v>29</v>
      </c>
      <c r="B25" s="3"/>
      <c r="C25" s="3"/>
      <c r="D25" s="3"/>
      <c r="E25" s="3"/>
      <c r="F25" s="3"/>
    </row>
    <row r="26">
      <c r="A26" s="2" t="s">
        <v>30</v>
      </c>
      <c r="B26" s="2" t="s">
        <v>31</v>
      </c>
      <c r="C26" s="2" t="s">
        <v>32</v>
      </c>
      <c r="D26" s="2" t="s">
        <v>33</v>
      </c>
    </row>
    <row r="27">
      <c r="A27" s="2" t="s">
        <v>34</v>
      </c>
      <c r="B27" s="5">
        <f t="array" ref="B27">INDEX(RRHH!$B:$B,MATCH(A27,RRHH!$A:$A,0))</f>
        <v>7</v>
      </c>
      <c r="C27" s="5" t="str">
        <f t="array" ref="C27">INDEX(RRHH!$C:$C,MATCH(A27,RRHH!$A:$A,0))</f>
        <v>Implementacion</v>
      </c>
      <c r="D27" s="5">
        <f t="array" ref="D27">INDEX(RRHH!$H:$H,MATCH(A27,RRHH!$A:$A,0))</f>
        <v>87161760</v>
      </c>
    </row>
    <row r="28">
      <c r="A28" s="2" t="s">
        <v>35</v>
      </c>
      <c r="B28" s="5">
        <f t="array" ref="B28">INDEX(RRHH!$B:$B,MATCH(A28,RRHH!$A:$A,0))</f>
        <v>18</v>
      </c>
      <c r="C28" s="5" t="str">
        <f t="array" ref="C28">INDEX(RRHH!$C:$C,MATCH(A28,RRHH!$A:$A,0))</f>
        <v>Operacion</v>
      </c>
      <c r="D28" s="5">
        <f t="array" ref="D28">INDEX(RRHH!$H:$H,MATCH(A28,RRHH!$A:$A,0))</f>
        <v>68865804</v>
      </c>
    </row>
    <row r="29">
      <c r="A29" s="2" t="s">
        <v>36</v>
      </c>
      <c r="B29" s="5">
        <f t="array" ref="B29">INDEX(RRHH!$B:$B,MATCH(A29,RRHH!$A:$A,0))</f>
        <v>1</v>
      </c>
      <c r="C29" s="5" t="str">
        <f t="array" ref="C29">INDEX(RRHH!$C:$C,MATCH(A29,RRHH!$A:$A,0))</f>
        <v>Operacion</v>
      </c>
      <c r="D29" s="5">
        <f t="array" ref="D29">INDEX(RRHH!$H:$H,MATCH(A29,RRHH!$A:$A,0))</f>
        <v>6732768</v>
      </c>
    </row>
    <row r="30">
      <c r="A30" s="2" t="s">
        <v>37</v>
      </c>
      <c r="B30" s="5">
        <f t="array" ref="B30">INDEX(RRHH!$B:$B,MATCH(A30,RRHH!$A:$A,0))</f>
        <v>2</v>
      </c>
      <c r="C30" s="5" t="str">
        <f t="array" ref="C30">INDEX(RRHH!$C:$C,MATCH(A30,RRHH!$A:$A,0))</f>
        <v>Operacion</v>
      </c>
      <c r="D30" s="5">
        <f t="array" ref="D30">INDEX(RRHH!$H:$H,MATCH(A30,RRHH!$A:$A,0))</f>
        <v>10316810</v>
      </c>
    </row>
    <row r="31">
      <c r="A31" s="2" t="s">
        <v>38</v>
      </c>
      <c r="D31" s="5">
        <f>SUM(D27:D30)</f>
        <v>173077142</v>
      </c>
    </row>
    <row r="33">
      <c r="A33" s="3" t="s">
        <v>39</v>
      </c>
      <c r="B33" s="3"/>
      <c r="C33" s="3"/>
      <c r="D33" s="3"/>
      <c r="E33" s="3"/>
      <c r="F33" s="3"/>
    </row>
    <row r="34">
      <c r="A34" s="2" t="s">
        <v>40</v>
      </c>
      <c r="B34" s="2" t="s">
        <v>41</v>
      </c>
    </row>
    <row r="35">
      <c r="A35" s="2" t="s">
        <v>42</v>
      </c>
      <c r="B35" s="2" t="s">
        <v>43</v>
      </c>
    </row>
    <row r="36">
      <c r="A36" s="2" t="s">
        <v>44</v>
      </c>
      <c r="B36" s="2" t="s">
        <v>45</v>
      </c>
    </row>
    <row r="37">
      <c r="A37" s="2" t="s">
        <v>46</v>
      </c>
      <c r="B37" s="2" t="s">
        <v>47</v>
      </c>
    </row>
    <row r="38">
      <c r="A38" s="2" t="s">
        <v>48</v>
      </c>
      <c r="B38" s="2" t="s">
        <v>49</v>
      </c>
    </row>
    <row r="39">
      <c r="A39" s="2" t="s">
        <v>50</v>
      </c>
      <c r="B39" s="2" t="s">
        <v>51</v>
      </c>
    </row>
    <row r="40">
      <c r="A40" s="2" t="s">
        <v>52</v>
      </c>
      <c r="B40" s="2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40.0"/>
    <col customWidth="1" min="2" max="6" width="19.0"/>
    <col customWidth="1" min="7" max="26" width="8.71"/>
  </cols>
  <sheetData>
    <row r="1">
      <c r="A1" s="10" t="s">
        <v>54</v>
      </c>
    </row>
    <row r="2">
      <c r="A2" s="11" t="s">
        <v>55</v>
      </c>
    </row>
    <row r="4">
      <c r="A4" s="12" t="s">
        <v>56</v>
      </c>
    </row>
    <row r="5">
      <c r="A5" s="13" t="s">
        <v>57</v>
      </c>
      <c r="B5" s="13" t="s">
        <v>58</v>
      </c>
      <c r="C5" s="13" t="s">
        <v>59</v>
      </c>
      <c r="D5" s="13" t="s">
        <v>60</v>
      </c>
    </row>
    <row r="6">
      <c r="A6" s="14" t="s">
        <v>61</v>
      </c>
      <c r="B6" s="15">
        <f>Flujo_Caja!B19</f>
        <v>11032069063</v>
      </c>
      <c r="C6" s="15">
        <f>FinancieroEscenario!B21</f>
        <v>10832941906</v>
      </c>
      <c r="D6" s="16">
        <f t="shared" ref="D6:D12" si="1">C6-B6</f>
        <v>-199127156.7</v>
      </c>
    </row>
    <row r="7">
      <c r="A7" s="14" t="s">
        <v>62</v>
      </c>
      <c r="B7" s="17">
        <f>Flujo_Caja!B21</f>
        <v>0.7815942755</v>
      </c>
      <c r="C7" s="17">
        <f>FinancieroEscenario!B24</f>
        <v>0.7697627517</v>
      </c>
      <c r="D7" s="18">
        <f t="shared" si="1"/>
        <v>-0.01183152376</v>
      </c>
    </row>
    <row r="8">
      <c r="A8" s="14" t="s">
        <v>25</v>
      </c>
      <c r="B8" s="17">
        <f>Flujo_Caja!B24</f>
        <v>2.266891232</v>
      </c>
      <c r="C8" s="17">
        <f>FinancieroEscenario!B25</f>
        <v>2.235746087</v>
      </c>
      <c r="D8" s="18">
        <f t="shared" si="1"/>
        <v>-0.03114514437</v>
      </c>
    </row>
    <row r="9">
      <c r="A9" s="14" t="s">
        <v>63</v>
      </c>
      <c r="B9" s="17">
        <f>Flujo_Caja!B25</f>
        <v>0.2671468113</v>
      </c>
      <c r="C9" s="17">
        <f>FinancieroEscenario!B29</f>
        <v>0.2647214575</v>
      </c>
      <c r="D9" s="18">
        <f t="shared" si="1"/>
        <v>-0.00242535383</v>
      </c>
    </row>
    <row r="10">
      <c r="A10" s="14" t="s">
        <v>64</v>
      </c>
      <c r="B10" s="19">
        <f>Flujo_Caja!B26</f>
        <v>22</v>
      </c>
      <c r="C10" s="19">
        <f>FinancieroEscenario!B26</f>
        <v>22</v>
      </c>
      <c r="D10" s="20">
        <f t="shared" si="1"/>
        <v>0</v>
      </c>
    </row>
    <row r="11">
      <c r="A11" s="14" t="s">
        <v>65</v>
      </c>
      <c r="B11" s="19">
        <f>Flujo_Caja!B27</f>
        <v>25</v>
      </c>
      <c r="C11" s="19">
        <f>FinancieroEscenario!B27</f>
        <v>26</v>
      </c>
      <c r="D11" s="20">
        <f t="shared" si="1"/>
        <v>1</v>
      </c>
    </row>
    <row r="12">
      <c r="A12" s="14" t="s">
        <v>66</v>
      </c>
      <c r="B12" s="15">
        <f>Flujo_Caja!B28</f>
        <v>9406419488</v>
      </c>
      <c r="C12" s="15">
        <f>FinancieroEscenario!B28</f>
        <v>9349060283</v>
      </c>
      <c r="D12" s="16">
        <f t="shared" si="1"/>
        <v>-57359204.81</v>
      </c>
    </row>
    <row r="13">
      <c r="A13" s="14" t="s">
        <v>67</v>
      </c>
      <c r="B13" s="15">
        <f>Flujo_Caja!B22</f>
        <v>9514201285</v>
      </c>
      <c r="C13" s="21"/>
      <c r="D13" s="16"/>
    </row>
    <row r="14">
      <c r="A14" s="14" t="s">
        <v>68</v>
      </c>
      <c r="B14" s="15">
        <f t="array" ref="B14">INDEX(CAPEX!$G:$G,MATCH("CAPEX TOTAL (con contingencia)",CAPEX!$C:$C,0))</f>
        <v>9165554245</v>
      </c>
      <c r="C14" s="21"/>
      <c r="D14" s="16"/>
    </row>
    <row r="15">
      <c r="A15" s="14" t="s">
        <v>69</v>
      </c>
      <c r="B15" s="15">
        <f>Flujo_Caja!B29</f>
        <v>124997363.2</v>
      </c>
      <c r="C15" s="21"/>
      <c r="D15" s="16"/>
    </row>
    <row r="17">
      <c r="A17" s="12" t="s">
        <v>70</v>
      </c>
    </row>
    <row r="18">
      <c r="A18" s="13" t="s">
        <v>71</v>
      </c>
      <c r="B18" s="13" t="s">
        <v>72</v>
      </c>
      <c r="C18" s="13" t="s">
        <v>73</v>
      </c>
      <c r="D18" s="13" t="s">
        <v>74</v>
      </c>
      <c r="E18" s="13" t="s">
        <v>75</v>
      </c>
      <c r="F18" s="13" t="s">
        <v>76</v>
      </c>
    </row>
    <row r="19">
      <c r="A19" s="14" t="s">
        <v>77</v>
      </c>
      <c r="B19" s="16">
        <f>SUM(ER_Proyecto!B17:M17)-SUM(ER_Proyecto!B9:M9)</f>
        <v>12624025002</v>
      </c>
      <c r="C19" s="16">
        <f>SUM(ER_Proyecto!N17:Y17)-SUM(ER_Proyecto!N9:Y9)</f>
        <v>19533494678</v>
      </c>
      <c r="D19" s="16">
        <f>SUM(ER_Proyecto!Z17:AK17)-SUM(ER_Proyecto!Z9:AK9)</f>
        <v>19533494678</v>
      </c>
      <c r="E19" s="16">
        <f>SUM(ER_Proyecto!AL17:AW17)-SUM(ER_Proyecto!AL9:AW9)</f>
        <v>19533494678</v>
      </c>
      <c r="F19" s="16">
        <f>SUM(ER_Proyecto!AX17:BI17)-SUM(ER_Proyecto!AX9:BI9)</f>
        <v>19533494678</v>
      </c>
    </row>
    <row r="20">
      <c r="A20" s="14" t="s">
        <v>78</v>
      </c>
      <c r="B20" s="16">
        <f>SUM(ER_Proyecto!B25:M25)</f>
        <v>6237422529</v>
      </c>
      <c r="C20" s="16">
        <f>SUM(ER_Proyecto!N25:Y25)</f>
        <v>9678151543</v>
      </c>
      <c r="D20" s="16">
        <f>SUM(ER_Proyecto!Z25:AK25)</f>
        <v>9678151543</v>
      </c>
      <c r="E20" s="16">
        <f>SUM(ER_Proyecto!AL25:AW25)</f>
        <v>9678151543</v>
      </c>
      <c r="F20" s="16">
        <f>SUM(ER_Proyecto!AX25:BI25)</f>
        <v>9678151543</v>
      </c>
    </row>
    <row r="21">
      <c r="A21" s="14" t="s">
        <v>79</v>
      </c>
      <c r="B21" s="16">
        <f>SUM(ER_Proyecto!B29:M29)</f>
        <v>3559703270</v>
      </c>
      <c r="C21" s="16">
        <f>SUM(ER_Proyecto!N29:Y29)</f>
        <v>5548866443</v>
      </c>
      <c r="D21" s="16">
        <f>SUM(ER_Proyecto!Z29:AK29)</f>
        <v>5548866443</v>
      </c>
      <c r="E21" s="16">
        <f>SUM(ER_Proyecto!AL29:AW29)</f>
        <v>5548866443</v>
      </c>
      <c r="F21" s="16">
        <f>SUM(ER_Proyecto!AX29:BI29)</f>
        <v>5548866443</v>
      </c>
    </row>
    <row r="22">
      <c r="A22" s="22" t="s">
        <v>80</v>
      </c>
      <c r="B22" s="16">
        <f>SUM(Flujo_Caja!B11:M11)</f>
        <v>-5318539419</v>
      </c>
      <c r="C22" s="16">
        <f>SUM(Flujo_Caja!N11:Y11)</f>
        <v>6690300382</v>
      </c>
      <c r="D22" s="16">
        <f>SUM(Flujo_Caja!Z11:AK11)</f>
        <v>6690300382</v>
      </c>
      <c r="E22" s="16">
        <f>SUM(Flujo_Caja!AL11:AW11)</f>
        <v>6690300382</v>
      </c>
      <c r="F22" s="16">
        <f>SUM(Flujo_Caja!AX11:BI11)</f>
        <v>6815297745</v>
      </c>
    </row>
    <row r="23">
      <c r="A23" s="22" t="s">
        <v>81</v>
      </c>
      <c r="B23" s="16">
        <f>Flujo_Caja!M14</f>
        <v>-5318539419</v>
      </c>
      <c r="C23" s="16">
        <f>Flujo_Caja!Y14</f>
        <v>1371760962</v>
      </c>
      <c r="D23" s="16">
        <f>Flujo_Caja!AK14</f>
        <v>8062061344</v>
      </c>
      <c r="E23" s="16">
        <f>Flujo_Caja!AW14</f>
        <v>14752361726</v>
      </c>
      <c r="F23" s="16">
        <f>Flujo_Caja!BI14</f>
        <v>21567659470</v>
      </c>
    </row>
    <row r="24"/>
    <row r="25">
      <c r="A25" s="12" t="s">
        <v>82</v>
      </c>
    </row>
    <row r="26">
      <c r="A26" s="13" t="s">
        <v>83</v>
      </c>
      <c r="B26" s="13" t="s">
        <v>84</v>
      </c>
      <c r="C26" s="13" t="s">
        <v>24</v>
      </c>
    </row>
    <row r="27">
      <c r="A27" s="14" t="s">
        <v>85</v>
      </c>
      <c r="B27" s="15">
        <f>Sensibilidad!$E$5</f>
        <v>8014994753</v>
      </c>
      <c r="C27" s="17">
        <f>Sensibilidad!$F$5</f>
        <v>0.5980615482</v>
      </c>
    </row>
    <row r="28">
      <c r="A28" s="14" t="s">
        <v>86</v>
      </c>
      <c r="B28" s="15">
        <f>Sensibilidad!$E$6</f>
        <v>11032069063</v>
      </c>
      <c r="C28" s="17">
        <f>Sensibilidad!$F$6</f>
        <v>0.7815942755</v>
      </c>
    </row>
    <row r="29">
      <c r="A29" s="14" t="s">
        <v>87</v>
      </c>
      <c r="B29" s="15">
        <f>Sensibilidad!$E$7</f>
        <v>13751069360</v>
      </c>
      <c r="C29" s="17">
        <f>Sensibilidad!$F$7</f>
        <v>0.9588250909</v>
      </c>
    </row>
    <row r="30"/>
    <row r="31">
      <c r="A31" s="12" t="s">
        <v>88</v>
      </c>
    </row>
    <row r="32">
      <c r="A32" s="22" t="s">
        <v>89</v>
      </c>
      <c r="B32" s="23">
        <f>Inventarios!$E$15</f>
        <v>21.47058824</v>
      </c>
    </row>
    <row r="33">
      <c r="A33" s="22" t="s">
        <v>90</v>
      </c>
      <c r="B33" s="23">
        <f>Inventarios!$F$15</f>
        <v>17</v>
      </c>
    </row>
    <row r="34"/>
    <row r="35">
      <c r="A35" s="12" t="s">
        <v>91</v>
      </c>
    </row>
    <row r="36">
      <c r="A36" s="24" t="s">
        <v>92</v>
      </c>
      <c r="B36" s="22" t="s">
        <v>93</v>
      </c>
      <c r="D36" s="22" t="s">
        <v>94</v>
      </c>
    </row>
    <row r="37">
      <c r="A37" s="24" t="s">
        <v>95</v>
      </c>
      <c r="B37" s="22" t="s">
        <v>96</v>
      </c>
      <c r="D37" s="22" t="s">
        <v>97</v>
      </c>
    </row>
    <row r="38">
      <c r="A38" s="24" t="s">
        <v>98</v>
      </c>
      <c r="B38" s="22" t="s">
        <v>99</v>
      </c>
      <c r="D38" s="22" t="s">
        <v>100</v>
      </c>
    </row>
    <row r="39">
      <c r="A39" s="24" t="s">
        <v>101</v>
      </c>
      <c r="B39" s="22" t="s">
        <v>102</v>
      </c>
      <c r="D39" s="22" t="s">
        <v>103</v>
      </c>
    </row>
    <row r="40">
      <c r="A40" s="24" t="s">
        <v>104</v>
      </c>
      <c r="B40" s="22" t="s">
        <v>105</v>
      </c>
      <c r="D40" s="22" t="s">
        <v>106</v>
      </c>
    </row>
    <row r="41">
      <c r="A41" s="24" t="s">
        <v>46</v>
      </c>
      <c r="B41" s="22" t="s">
        <v>107</v>
      </c>
      <c r="D41" s="22" t="s">
        <v>108</v>
      </c>
    </row>
    <row r="42">
      <c r="A42" s="24" t="s">
        <v>109</v>
      </c>
      <c r="B42" s="22" t="s">
        <v>110</v>
      </c>
      <c r="D42" s="22" t="s">
        <v>111</v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3" width="24.0"/>
    <col customWidth="1" min="4" max="4" width="58.0"/>
    <col customWidth="1" min="5" max="26" width="8.71"/>
  </cols>
  <sheetData>
    <row r="1">
      <c r="A1" s="10" t="s">
        <v>112</v>
      </c>
    </row>
    <row r="2">
      <c r="A2" s="11" t="s">
        <v>113</v>
      </c>
    </row>
    <row r="4">
      <c r="A4" s="13" t="s">
        <v>114</v>
      </c>
      <c r="B4" s="13" t="s">
        <v>115</v>
      </c>
      <c r="C4" s="13" t="s">
        <v>116</v>
      </c>
      <c r="D4" s="13" t="s">
        <v>117</v>
      </c>
    </row>
    <row r="5">
      <c r="A5" s="14" t="s">
        <v>118</v>
      </c>
      <c r="B5" s="25">
        <v>3248.87</v>
      </c>
      <c r="C5" s="26" t="s">
        <v>119</v>
      </c>
      <c r="D5" s="26" t="s">
        <v>120</v>
      </c>
    </row>
    <row r="6">
      <c r="A6" s="14" t="s">
        <v>121</v>
      </c>
      <c r="B6" s="27">
        <v>0.97</v>
      </c>
      <c r="C6" s="14"/>
      <c r="D6" s="14" t="s">
        <v>122</v>
      </c>
    </row>
    <row r="7">
      <c r="A7" s="14" t="s">
        <v>123</v>
      </c>
      <c r="B7" s="28">
        <v>0.18</v>
      </c>
      <c r="C7" s="14" t="s">
        <v>124</v>
      </c>
      <c r="D7" s="14" t="s">
        <v>125</v>
      </c>
    </row>
    <row r="8">
      <c r="A8" s="14" t="s">
        <v>126</v>
      </c>
      <c r="B8" s="27">
        <v>0.35</v>
      </c>
      <c r="C8" s="14"/>
      <c r="D8" s="14" t="s">
        <v>127</v>
      </c>
    </row>
    <row r="9">
      <c r="A9" s="14" t="s">
        <v>128</v>
      </c>
      <c r="B9" s="27">
        <v>0.0529</v>
      </c>
      <c r="C9" s="14" t="s">
        <v>124</v>
      </c>
      <c r="D9" s="14" t="s">
        <v>129</v>
      </c>
    </row>
    <row r="10">
      <c r="A10" s="14" t="s">
        <v>130</v>
      </c>
      <c r="B10" s="29">
        <v>0.0</v>
      </c>
      <c r="C10" s="14" t="s">
        <v>131</v>
      </c>
      <c r="D10" s="26" t="s">
        <v>132</v>
      </c>
    </row>
    <row r="11">
      <c r="A11" s="14" t="s">
        <v>133</v>
      </c>
      <c r="B11" s="28">
        <v>0.11</v>
      </c>
      <c r="C11" s="14"/>
      <c r="D11" s="14" t="s">
        <v>134</v>
      </c>
    </row>
    <row r="12">
      <c r="A12" s="14" t="s">
        <v>135</v>
      </c>
      <c r="B12" s="28">
        <v>0.31</v>
      </c>
      <c r="C12" s="14"/>
      <c r="D12" s="14" t="s">
        <v>136</v>
      </c>
    </row>
    <row r="13">
      <c r="A13" s="14" t="s">
        <v>137</v>
      </c>
      <c r="B13" s="27">
        <v>0.67</v>
      </c>
      <c r="C13" s="14"/>
      <c r="D13" s="14" t="s">
        <v>138</v>
      </c>
    </row>
    <row r="14">
      <c r="A14" s="14" t="s">
        <v>139</v>
      </c>
      <c r="B14" s="30">
        <v>4.0E-4</v>
      </c>
      <c r="C14" s="14"/>
      <c r="D14" s="14" t="s">
        <v>140</v>
      </c>
    </row>
    <row r="15">
      <c r="A15" s="14" t="s">
        <v>141</v>
      </c>
      <c r="B15" s="31">
        <v>8.5E7</v>
      </c>
      <c r="C15" s="14" t="s">
        <v>142</v>
      </c>
      <c r="D15" s="14" t="s">
        <v>143</v>
      </c>
    </row>
    <row r="16">
      <c r="A16" s="14" t="s">
        <v>144</v>
      </c>
      <c r="B16" s="27">
        <v>0.08</v>
      </c>
      <c r="C16" s="14"/>
      <c r="D16" s="14" t="s">
        <v>145</v>
      </c>
    </row>
    <row r="17">
      <c r="A17" s="14" t="s">
        <v>146</v>
      </c>
      <c r="B17" s="32">
        <v>25.0</v>
      </c>
      <c r="C17" s="14" t="s">
        <v>147</v>
      </c>
      <c r="D17" s="14" t="s">
        <v>148</v>
      </c>
    </row>
    <row r="18">
      <c r="A18" s="14" t="s">
        <v>149</v>
      </c>
      <c r="B18" s="32">
        <v>17.0</v>
      </c>
      <c r="C18" s="14" t="s">
        <v>147</v>
      </c>
      <c r="D18" s="14" t="s">
        <v>150</v>
      </c>
    </row>
    <row r="19">
      <c r="A19" s="14" t="s">
        <v>151</v>
      </c>
      <c r="B19" s="32">
        <v>30.0</v>
      </c>
      <c r="C19" s="14" t="s">
        <v>147</v>
      </c>
      <c r="D19" s="14" t="s">
        <v>152</v>
      </c>
    </row>
    <row r="20">
      <c r="A20" s="26" t="s">
        <v>153</v>
      </c>
      <c r="B20" s="33">
        <v>1800.0</v>
      </c>
      <c r="C20" s="14" t="s">
        <v>154</v>
      </c>
      <c r="D20" s="14" t="s">
        <v>155</v>
      </c>
    </row>
    <row r="21">
      <c r="A21" s="14" t="s">
        <v>156</v>
      </c>
      <c r="B21" s="33">
        <v>4250.0</v>
      </c>
      <c r="C21" s="14" t="s">
        <v>154</v>
      </c>
      <c r="D21" s="14" t="s">
        <v>157</v>
      </c>
    </row>
    <row r="22">
      <c r="A22" s="14" t="s">
        <v>158</v>
      </c>
      <c r="B22" s="33">
        <v>12000.0</v>
      </c>
      <c r="C22" s="14" t="s">
        <v>154</v>
      </c>
      <c r="D22" s="14" t="s">
        <v>157</v>
      </c>
    </row>
    <row r="23">
      <c r="A23" s="14" t="s">
        <v>159</v>
      </c>
      <c r="B23" s="31">
        <f t="array" ref="B23">INDEX(RRHH!$E:$E,MATCH("Costo mensual OPERACION (→ ER)",RRHH!$A:$A,0))</f>
        <v>85915382</v>
      </c>
      <c r="C23" s="14" t="s">
        <v>142</v>
      </c>
      <c r="D23" s="26" t="s">
        <v>160</v>
      </c>
    </row>
    <row r="24">
      <c r="A24" s="14" t="s">
        <v>161</v>
      </c>
      <c r="B24" s="31">
        <f t="array" ref="B24">INDEX(RRHH!$E:$E,MATCH("Costo mensual IMPLEMENTACION (→ pre-op)",RRHH!$A:$A,0))</f>
        <v>87161760</v>
      </c>
      <c r="C24" s="14" t="s">
        <v>142</v>
      </c>
      <c r="D24" s="26" t="s">
        <v>160</v>
      </c>
    </row>
    <row r="25">
      <c r="A25" s="14" t="s">
        <v>162</v>
      </c>
      <c r="B25" s="31">
        <v>2.5E8</v>
      </c>
      <c r="C25" s="14" t="s">
        <v>142</v>
      </c>
      <c r="D25" s="14" t="s">
        <v>163</v>
      </c>
    </row>
    <row r="26">
      <c r="A26" s="14" t="s">
        <v>164</v>
      </c>
      <c r="B26" s="34">
        <v>2.8E8</v>
      </c>
      <c r="C26" s="14" t="s">
        <v>142</v>
      </c>
      <c r="D26" s="14" t="s">
        <v>165</v>
      </c>
    </row>
    <row r="27">
      <c r="A27" s="14" t="s">
        <v>166</v>
      </c>
      <c r="B27" s="28">
        <v>0.1</v>
      </c>
      <c r="C27" s="14"/>
      <c r="D27" s="14" t="s">
        <v>167</v>
      </c>
    </row>
    <row r="28">
      <c r="A28" s="14" t="s">
        <v>168</v>
      </c>
      <c r="B28" s="27">
        <v>0.2</v>
      </c>
      <c r="C28" s="14"/>
      <c r="D28" s="14" t="s">
        <v>169</v>
      </c>
    </row>
    <row r="29">
      <c r="A29" s="14" t="s">
        <v>170</v>
      </c>
      <c r="B29" s="27">
        <v>0.35</v>
      </c>
      <c r="C29" s="14"/>
      <c r="D29" s="14" t="s">
        <v>171</v>
      </c>
    </row>
    <row r="30">
      <c r="A30" s="14" t="s">
        <v>172</v>
      </c>
      <c r="B30" s="27">
        <v>0.27</v>
      </c>
      <c r="C30" s="14"/>
      <c r="D30" s="14" t="s">
        <v>173</v>
      </c>
    </row>
    <row r="31">
      <c r="A31" s="14" t="s">
        <v>174</v>
      </c>
      <c r="B31" s="27">
        <v>0.18</v>
      </c>
      <c r="C31" s="14"/>
      <c r="D31" s="14" t="s">
        <v>175</v>
      </c>
    </row>
    <row r="32">
      <c r="A32" s="14" t="s">
        <v>176</v>
      </c>
      <c r="B32" s="28">
        <v>0.05</v>
      </c>
      <c r="C32" s="14"/>
      <c r="D32" s="26" t="s">
        <v>177</v>
      </c>
    </row>
    <row r="33">
      <c r="A33" s="14" t="s">
        <v>178</v>
      </c>
      <c r="B33" s="35">
        <v>0.82</v>
      </c>
      <c r="C33" s="14"/>
      <c r="D33" s="14" t="s">
        <v>179</v>
      </c>
    </row>
    <row r="34">
      <c r="A34" s="14" t="s">
        <v>180</v>
      </c>
      <c r="B34" s="32">
        <v>4.0</v>
      </c>
      <c r="C34" s="14" t="s">
        <v>181</v>
      </c>
      <c r="D34" s="14" t="s">
        <v>182</v>
      </c>
    </row>
    <row r="35">
      <c r="A35" s="14" t="s">
        <v>183</v>
      </c>
      <c r="B35" s="32">
        <v>60.0</v>
      </c>
      <c r="C35" s="14" t="s">
        <v>181</v>
      </c>
      <c r="D35" s="14" t="s">
        <v>184</v>
      </c>
    </row>
    <row r="36">
      <c r="A36" s="2" t="s">
        <v>185</v>
      </c>
      <c r="B36" s="36">
        <v>4437.0</v>
      </c>
      <c r="C36" s="2" t="s">
        <v>186</v>
      </c>
      <c r="D36" s="2" t="s">
        <v>187</v>
      </c>
    </row>
    <row r="37">
      <c r="A37" s="2" t="s">
        <v>188</v>
      </c>
      <c r="B37" s="36">
        <v>10.0</v>
      </c>
      <c r="C37" s="2" t="s">
        <v>189</v>
      </c>
      <c r="D37" s="2" t="s">
        <v>190</v>
      </c>
    </row>
    <row r="38">
      <c r="A38" s="2" t="s">
        <v>191</v>
      </c>
      <c r="B38" s="36">
        <v>0.7</v>
      </c>
      <c r="C38" s="2" t="s">
        <v>192</v>
      </c>
      <c r="D38" s="2" t="s">
        <v>193</v>
      </c>
    </row>
    <row r="39">
      <c r="A39" s="2" t="s">
        <v>194</v>
      </c>
      <c r="B39" s="37">
        <f t="array" ref="B39">INDEX(Viabilidad_Automatizacion!$B:$B,MATCH("Ahorro laboral bruto mensual",Viabilidad_Automatizacion!$A:$A,0))*B38</f>
        <v>26781146</v>
      </c>
      <c r="C39" s="2" t="s">
        <v>142</v>
      </c>
      <c r="D39" s="2" t="s">
        <v>195</v>
      </c>
    </row>
    <row r="40">
      <c r="A40" s="2" t="s">
        <v>196</v>
      </c>
      <c r="B40" s="36">
        <v>3815.5</v>
      </c>
      <c r="C40" s="2" t="s">
        <v>197</v>
      </c>
      <c r="D40" s="2" t="s">
        <v>198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40.0"/>
    <col customWidth="1" min="2" max="2" width="60.0"/>
    <col customWidth="1" min="3" max="3" width="34.0"/>
    <col customWidth="1" min="4" max="26" width="8.71"/>
  </cols>
  <sheetData>
    <row r="1">
      <c r="A1" s="10" t="s">
        <v>199</v>
      </c>
    </row>
    <row r="4">
      <c r="A4" s="13" t="s">
        <v>200</v>
      </c>
      <c r="B4" s="13" t="s">
        <v>201</v>
      </c>
      <c r="C4" s="13" t="s">
        <v>202</v>
      </c>
    </row>
    <row r="5" ht="45.75" customHeight="1">
      <c r="A5" s="38" t="s">
        <v>203</v>
      </c>
      <c r="B5" s="39" t="s">
        <v>204</v>
      </c>
      <c r="C5" s="40" t="s">
        <v>99</v>
      </c>
    </row>
    <row r="6" ht="45.75" customHeight="1">
      <c r="A6" s="38" t="s">
        <v>205</v>
      </c>
      <c r="B6" s="39" t="s">
        <v>206</v>
      </c>
      <c r="C6" s="40" t="s">
        <v>207</v>
      </c>
    </row>
    <row r="7" ht="45.75" customHeight="1">
      <c r="A7" s="38" t="s">
        <v>208</v>
      </c>
      <c r="B7" s="39" t="s">
        <v>209</v>
      </c>
      <c r="C7" s="40" t="s">
        <v>210</v>
      </c>
    </row>
    <row r="8" ht="45.75" customHeight="1">
      <c r="A8" s="41" t="s">
        <v>211</v>
      </c>
      <c r="B8" s="39" t="s">
        <v>212</v>
      </c>
      <c r="C8" s="40" t="s">
        <v>213</v>
      </c>
    </row>
    <row r="9" ht="45.75" customHeight="1">
      <c r="A9" s="38" t="s">
        <v>214</v>
      </c>
      <c r="B9" s="39" t="s">
        <v>215</v>
      </c>
      <c r="C9" s="40" t="s">
        <v>216</v>
      </c>
    </row>
    <row r="10" ht="45.75" customHeight="1">
      <c r="A10" s="38" t="s">
        <v>217</v>
      </c>
      <c r="B10" s="39" t="s">
        <v>218</v>
      </c>
      <c r="C10" s="40" t="s">
        <v>219</v>
      </c>
    </row>
    <row r="11" ht="45.75" customHeight="1">
      <c r="A11" s="38" t="s">
        <v>220</v>
      </c>
      <c r="B11" s="39" t="s">
        <v>221</v>
      </c>
      <c r="C11" s="40" t="s">
        <v>222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6" width="20.0"/>
    <col customWidth="1" min="7" max="26" width="8.71"/>
  </cols>
  <sheetData>
    <row r="1">
      <c r="A1" s="10" t="s">
        <v>223</v>
      </c>
    </row>
    <row r="2">
      <c r="A2" s="11" t="s">
        <v>224</v>
      </c>
    </row>
    <row r="4">
      <c r="A4" s="42" t="s">
        <v>83</v>
      </c>
      <c r="B4" s="42" t="s">
        <v>225</v>
      </c>
      <c r="C4" s="42" t="s">
        <v>226</v>
      </c>
      <c r="D4" s="42" t="s">
        <v>227</v>
      </c>
      <c r="E4" s="42" t="s">
        <v>228</v>
      </c>
      <c r="F4" s="42" t="s">
        <v>229</v>
      </c>
    </row>
    <row r="5">
      <c r="A5" s="26" t="s">
        <v>86</v>
      </c>
      <c r="B5" s="43">
        <v>1.0</v>
      </c>
      <c r="C5" s="44">
        <v>46138.0</v>
      </c>
      <c r="D5" s="45">
        <v>1.4359006E7</v>
      </c>
      <c r="E5" s="45">
        <v>4241454.0</v>
      </c>
      <c r="F5" s="45">
        <v>21691.0</v>
      </c>
    </row>
    <row r="6">
      <c r="A6" s="26" t="s">
        <v>86</v>
      </c>
      <c r="B6" s="43">
        <v>2.0</v>
      </c>
      <c r="C6" s="44">
        <v>46168.0</v>
      </c>
      <c r="D6" s="45">
        <v>1.4803557E7</v>
      </c>
      <c r="E6" s="45">
        <v>4372768.0</v>
      </c>
      <c r="F6" s="45">
        <v>22362.0</v>
      </c>
    </row>
    <row r="7">
      <c r="A7" s="26" t="s">
        <v>86</v>
      </c>
      <c r="B7" s="43">
        <v>3.0</v>
      </c>
      <c r="C7" s="44">
        <v>46199.0</v>
      </c>
      <c r="D7" s="45">
        <v>1.5705552E7</v>
      </c>
      <c r="E7" s="45">
        <v>4414001.0</v>
      </c>
      <c r="F7" s="45">
        <v>23034.0</v>
      </c>
    </row>
    <row r="8">
      <c r="A8" s="26" t="s">
        <v>86</v>
      </c>
      <c r="B8" s="43">
        <v>4.0</v>
      </c>
      <c r="C8" s="44">
        <v>46229.0</v>
      </c>
      <c r="D8" s="45">
        <v>1.6744208E7</v>
      </c>
      <c r="E8" s="45">
        <v>4651364.0</v>
      </c>
      <c r="F8" s="45">
        <v>25180.0</v>
      </c>
    </row>
    <row r="9">
      <c r="A9" s="26" t="s">
        <v>86</v>
      </c>
      <c r="B9" s="43">
        <v>5.0</v>
      </c>
      <c r="C9" s="44">
        <v>46260.0</v>
      </c>
      <c r="D9" s="45">
        <v>1.5329328E7</v>
      </c>
      <c r="E9" s="45">
        <v>4475219.0</v>
      </c>
      <c r="F9" s="45">
        <v>23737.0</v>
      </c>
    </row>
    <row r="10">
      <c r="A10" s="26" t="s">
        <v>86</v>
      </c>
      <c r="B10" s="43">
        <v>6.0</v>
      </c>
      <c r="C10" s="26" t="s">
        <v>230</v>
      </c>
      <c r="D10" s="45">
        <v>1.4854626E7</v>
      </c>
      <c r="E10" s="45">
        <v>4424244.0</v>
      </c>
      <c r="F10" s="45">
        <v>23232.0</v>
      </c>
    </row>
    <row r="11">
      <c r="A11" s="26" t="s">
        <v>86</v>
      </c>
      <c r="B11" s="43">
        <v>7.0</v>
      </c>
      <c r="C11" s="44">
        <v>46321.0</v>
      </c>
      <c r="D11" s="45">
        <v>1.553772E7</v>
      </c>
      <c r="E11" s="45">
        <v>4355974.0</v>
      </c>
      <c r="F11" s="45">
        <v>21894.0</v>
      </c>
    </row>
    <row r="12">
      <c r="A12" s="26" t="s">
        <v>86</v>
      </c>
      <c r="B12" s="43">
        <v>8.0</v>
      </c>
      <c r="C12" s="44">
        <v>46352.0</v>
      </c>
      <c r="D12" s="45">
        <v>1.617884E7</v>
      </c>
      <c r="E12" s="45">
        <v>4673157.0</v>
      </c>
      <c r="F12" s="45">
        <v>23028.0</v>
      </c>
    </row>
    <row r="13">
      <c r="A13" s="26" t="s">
        <v>86</v>
      </c>
      <c r="B13" s="43">
        <v>9.0</v>
      </c>
      <c r="C13" s="44">
        <v>46382.0</v>
      </c>
      <c r="D13" s="45">
        <v>1.877198E7</v>
      </c>
      <c r="E13" s="45">
        <v>5469074.0</v>
      </c>
      <c r="F13" s="45">
        <v>25933.0</v>
      </c>
    </row>
    <row r="14">
      <c r="A14" s="26" t="s">
        <v>86</v>
      </c>
      <c r="B14" s="43">
        <v>10.0</v>
      </c>
      <c r="C14" s="44">
        <v>46049.0</v>
      </c>
      <c r="D14" s="45">
        <v>1.5568902E7</v>
      </c>
      <c r="E14" s="45">
        <v>4430554.0</v>
      </c>
      <c r="F14" s="45">
        <v>23273.0</v>
      </c>
    </row>
    <row r="15">
      <c r="A15" s="26" t="s">
        <v>86</v>
      </c>
      <c r="B15" s="43">
        <v>11.0</v>
      </c>
      <c r="C15" s="44">
        <v>46080.0</v>
      </c>
      <c r="D15" s="45">
        <v>1.4407009E7</v>
      </c>
      <c r="E15" s="45">
        <v>4099488.0</v>
      </c>
      <c r="F15" s="45">
        <v>21753.0</v>
      </c>
    </row>
    <row r="16">
      <c r="A16" s="26" t="s">
        <v>86</v>
      </c>
      <c r="B16" s="43">
        <v>12.0</v>
      </c>
      <c r="C16" s="44">
        <v>46108.0</v>
      </c>
      <c r="D16" s="45">
        <v>1.6077086E7</v>
      </c>
      <c r="E16" s="45">
        <v>4621386.0</v>
      </c>
      <c r="F16" s="45">
        <v>24032.0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6" width="20.0"/>
    <col customWidth="1" min="7" max="26" width="8.71"/>
  </cols>
  <sheetData>
    <row r="1">
      <c r="A1" s="10" t="s">
        <v>231</v>
      </c>
    </row>
    <row r="2">
      <c r="A2" s="11" t="s">
        <v>232</v>
      </c>
    </row>
    <row r="4">
      <c r="A4" s="42" t="s">
        <v>83</v>
      </c>
      <c r="B4" s="42" t="s">
        <v>225</v>
      </c>
      <c r="C4" s="42" t="s">
        <v>226</v>
      </c>
      <c r="D4" s="42" t="s">
        <v>227</v>
      </c>
      <c r="E4" s="42" t="s">
        <v>228</v>
      </c>
      <c r="F4" s="42" t="s">
        <v>229</v>
      </c>
    </row>
    <row r="5">
      <c r="A5" s="26" t="s">
        <v>233</v>
      </c>
      <c r="B5" s="43">
        <v>1.0</v>
      </c>
      <c r="C5" s="44">
        <v>46138.0</v>
      </c>
      <c r="D5" s="45">
        <v>1.4359007E7</v>
      </c>
      <c r="E5" s="45">
        <v>4241455.0</v>
      </c>
      <c r="F5" s="45">
        <v>21681.0</v>
      </c>
    </row>
    <row r="6">
      <c r="A6" s="26" t="s">
        <v>233</v>
      </c>
      <c r="B6" s="43">
        <v>2.0</v>
      </c>
      <c r="C6" s="44">
        <v>46168.0</v>
      </c>
      <c r="D6" s="45">
        <v>1.4803558E7</v>
      </c>
      <c r="E6" s="45">
        <v>4372769.0</v>
      </c>
      <c r="F6" s="45">
        <v>22352.0</v>
      </c>
    </row>
    <row r="7">
      <c r="A7" s="26" t="s">
        <v>233</v>
      </c>
      <c r="B7" s="43">
        <v>3.0</v>
      </c>
      <c r="C7" s="44">
        <v>46199.0</v>
      </c>
      <c r="D7" s="45">
        <v>1.5705553E7</v>
      </c>
      <c r="E7" s="45">
        <v>4414002.0</v>
      </c>
      <c r="F7" s="45">
        <v>23023.0</v>
      </c>
    </row>
    <row r="8">
      <c r="A8" s="26" t="s">
        <v>233</v>
      </c>
      <c r="B8" s="43">
        <v>4.0</v>
      </c>
      <c r="C8" s="44">
        <v>46229.0</v>
      </c>
      <c r="D8" s="45">
        <v>1.6744208E7</v>
      </c>
      <c r="E8" s="45">
        <v>4651367.0</v>
      </c>
      <c r="F8" s="45">
        <v>25177.0</v>
      </c>
    </row>
    <row r="9">
      <c r="A9" s="26" t="s">
        <v>233</v>
      </c>
      <c r="B9" s="43">
        <v>5.0</v>
      </c>
      <c r="C9" s="44">
        <v>46260.0</v>
      </c>
      <c r="D9" s="45">
        <v>1.2570049E7</v>
      </c>
      <c r="E9" s="45">
        <v>3669682.0</v>
      </c>
      <c r="F9" s="45">
        <v>19462.0</v>
      </c>
    </row>
    <row r="10">
      <c r="A10" s="26" t="s">
        <v>233</v>
      </c>
      <c r="B10" s="43">
        <v>6.0</v>
      </c>
      <c r="C10" s="26" t="s">
        <v>230</v>
      </c>
      <c r="D10" s="45">
        <v>1.4854626E7</v>
      </c>
      <c r="E10" s="45">
        <v>4424247.0</v>
      </c>
      <c r="F10" s="45">
        <v>23229.0</v>
      </c>
    </row>
    <row r="11">
      <c r="A11" s="26" t="s">
        <v>233</v>
      </c>
      <c r="B11" s="43">
        <v>7.0</v>
      </c>
      <c r="C11" s="44">
        <v>46321.0</v>
      </c>
      <c r="D11" s="45">
        <v>1.6159229E7</v>
      </c>
      <c r="E11" s="45">
        <v>4530217.0</v>
      </c>
      <c r="F11" s="45">
        <v>22767.0</v>
      </c>
    </row>
    <row r="12">
      <c r="A12" s="26" t="s">
        <v>233</v>
      </c>
      <c r="B12" s="43">
        <v>8.0</v>
      </c>
      <c r="C12" s="44">
        <v>46352.0</v>
      </c>
      <c r="D12" s="45">
        <v>1.617884E7</v>
      </c>
      <c r="E12" s="45">
        <v>4673161.0</v>
      </c>
      <c r="F12" s="45">
        <v>23024.0</v>
      </c>
    </row>
    <row r="13">
      <c r="A13" s="26" t="s">
        <v>233</v>
      </c>
      <c r="B13" s="43">
        <v>9.0</v>
      </c>
      <c r="C13" s="44">
        <v>46382.0</v>
      </c>
      <c r="D13" s="45">
        <v>1.877198E7</v>
      </c>
      <c r="E13" s="45">
        <v>5469078.0</v>
      </c>
      <c r="F13" s="45">
        <v>25929.0</v>
      </c>
    </row>
    <row r="14">
      <c r="A14" s="26" t="s">
        <v>233</v>
      </c>
      <c r="B14" s="43">
        <v>10.0</v>
      </c>
      <c r="C14" s="44">
        <v>46049.0</v>
      </c>
      <c r="D14" s="45">
        <v>1.5568902E7</v>
      </c>
      <c r="E14" s="45">
        <v>4430558.0</v>
      </c>
      <c r="F14" s="45">
        <v>23267.0</v>
      </c>
    </row>
    <row r="15">
      <c r="A15" s="26" t="s">
        <v>233</v>
      </c>
      <c r="B15" s="43">
        <v>11.0</v>
      </c>
      <c r="C15" s="44">
        <v>46080.0</v>
      </c>
      <c r="D15" s="45">
        <v>1.4407009E7</v>
      </c>
      <c r="E15" s="45">
        <v>4099491.0</v>
      </c>
      <c r="F15" s="45">
        <v>21748.0</v>
      </c>
    </row>
    <row r="16">
      <c r="A16" s="26" t="s">
        <v>233</v>
      </c>
      <c r="B16" s="43">
        <v>12.0</v>
      </c>
      <c r="C16" s="44">
        <v>46108.0</v>
      </c>
      <c r="D16" s="45">
        <v>1.6077085E7</v>
      </c>
      <c r="E16" s="45">
        <v>4621389.0</v>
      </c>
      <c r="F16" s="45">
        <v>24027.0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6.0"/>
    <col customWidth="1" min="2" max="61" width="13.43"/>
  </cols>
  <sheetData>
    <row r="1">
      <c r="A1" s="10" t="s">
        <v>234</v>
      </c>
    </row>
    <row r="2">
      <c r="A2" s="46" t="s">
        <v>235</v>
      </c>
    </row>
    <row r="4">
      <c r="A4" s="12" t="s">
        <v>236</v>
      </c>
      <c r="B4" s="12">
        <v>1.0</v>
      </c>
      <c r="C4" s="12">
        <v>2.0</v>
      </c>
      <c r="D4" s="12">
        <v>3.0</v>
      </c>
      <c r="E4" s="12">
        <v>4.0</v>
      </c>
      <c r="F4" s="12">
        <v>5.0</v>
      </c>
      <c r="G4" s="12">
        <v>6.0</v>
      </c>
      <c r="H4" s="12">
        <v>7.0</v>
      </c>
      <c r="I4" s="12">
        <v>8.0</v>
      </c>
      <c r="J4" s="12">
        <v>9.0</v>
      </c>
      <c r="K4" s="12">
        <v>10.0</v>
      </c>
      <c r="L4" s="12">
        <v>11.0</v>
      </c>
      <c r="M4" s="12">
        <v>12.0</v>
      </c>
      <c r="N4" s="12">
        <v>13.0</v>
      </c>
      <c r="O4" s="12">
        <v>14.0</v>
      </c>
      <c r="P4" s="12">
        <v>15.0</v>
      </c>
      <c r="Q4" s="12">
        <v>16.0</v>
      </c>
      <c r="R4" s="12">
        <v>17.0</v>
      </c>
      <c r="S4" s="12">
        <v>18.0</v>
      </c>
      <c r="T4" s="12">
        <v>19.0</v>
      </c>
      <c r="U4" s="12">
        <v>20.0</v>
      </c>
      <c r="V4" s="12">
        <v>21.0</v>
      </c>
      <c r="W4" s="12">
        <v>22.0</v>
      </c>
      <c r="X4" s="12">
        <v>23.0</v>
      </c>
      <c r="Y4" s="12">
        <v>24.0</v>
      </c>
      <c r="Z4" s="12">
        <v>25.0</v>
      </c>
      <c r="AA4" s="12">
        <v>26.0</v>
      </c>
      <c r="AB4" s="12">
        <v>27.0</v>
      </c>
      <c r="AC4" s="12">
        <v>28.0</v>
      </c>
      <c r="AD4" s="12">
        <v>29.0</v>
      </c>
      <c r="AE4" s="12">
        <v>30.0</v>
      </c>
      <c r="AF4" s="12">
        <v>31.0</v>
      </c>
      <c r="AG4" s="12">
        <v>32.0</v>
      </c>
      <c r="AH4" s="12">
        <v>33.0</v>
      </c>
      <c r="AI4" s="12">
        <v>34.0</v>
      </c>
      <c r="AJ4" s="12">
        <v>35.0</v>
      </c>
      <c r="AK4" s="12">
        <v>36.0</v>
      </c>
      <c r="AL4" s="12">
        <v>37.0</v>
      </c>
      <c r="AM4" s="12">
        <v>38.0</v>
      </c>
      <c r="AN4" s="12">
        <v>39.0</v>
      </c>
      <c r="AO4" s="12">
        <v>40.0</v>
      </c>
      <c r="AP4" s="12">
        <v>41.0</v>
      </c>
      <c r="AQ4" s="12">
        <v>42.0</v>
      </c>
      <c r="AR4" s="12">
        <v>43.0</v>
      </c>
      <c r="AS4" s="12">
        <v>44.0</v>
      </c>
      <c r="AT4" s="12">
        <v>45.0</v>
      </c>
      <c r="AU4" s="12">
        <v>46.0</v>
      </c>
      <c r="AV4" s="12">
        <v>47.0</v>
      </c>
      <c r="AW4" s="12">
        <v>48.0</v>
      </c>
      <c r="AX4" s="12">
        <v>49.0</v>
      </c>
      <c r="AY4" s="12">
        <v>50.0</v>
      </c>
      <c r="AZ4" s="12">
        <v>51.0</v>
      </c>
      <c r="BA4" s="12">
        <v>52.0</v>
      </c>
      <c r="BB4" s="12">
        <v>53.0</v>
      </c>
      <c r="BC4" s="12">
        <v>54.0</v>
      </c>
      <c r="BD4" s="12">
        <v>55.0</v>
      </c>
      <c r="BE4" s="12">
        <v>56.0</v>
      </c>
      <c r="BF4" s="12">
        <v>57.0</v>
      </c>
      <c r="BG4" s="12">
        <v>58.0</v>
      </c>
      <c r="BH4" s="12">
        <v>59.0</v>
      </c>
      <c r="BI4" s="12">
        <v>60.0</v>
      </c>
    </row>
    <row r="5">
      <c r="A5" s="47" t="s">
        <v>237</v>
      </c>
    </row>
    <row r="6">
      <c r="A6" s="22" t="s">
        <v>238</v>
      </c>
      <c r="B6" s="48">
        <f>Demanda!$D$5</f>
        <v>14359006</v>
      </c>
      <c r="C6" s="48">
        <f>Demanda!$D$6</f>
        <v>14803557</v>
      </c>
      <c r="D6" s="48">
        <f>Demanda!$D$7</f>
        <v>15705552</v>
      </c>
      <c r="E6" s="48">
        <f>Demanda!$D$8</f>
        <v>16744208</v>
      </c>
      <c r="F6" s="48">
        <f>Demanda!$D$9</f>
        <v>15329328</v>
      </c>
      <c r="G6" s="48">
        <f>Demanda!$D$10</f>
        <v>14854626</v>
      </c>
      <c r="H6" s="48">
        <f>Demanda!$D$11</f>
        <v>15537720</v>
      </c>
      <c r="I6" s="48">
        <f>Demanda!$D$12</f>
        <v>16178840</v>
      </c>
      <c r="J6" s="48">
        <f>Demanda!$D$13</f>
        <v>18771980</v>
      </c>
      <c r="K6" s="48">
        <f>Demanda!$D$14</f>
        <v>15568902</v>
      </c>
      <c r="L6" s="48">
        <f>Demanda!$D$15</f>
        <v>14407009</v>
      </c>
      <c r="M6" s="48">
        <f>Demanda!$D$16</f>
        <v>16077086</v>
      </c>
      <c r="N6" s="48">
        <f>Demanda!$D$5*(1+Parametros!$B$10)^1</f>
        <v>14359006</v>
      </c>
      <c r="O6" s="48">
        <f>Demanda!$D$6*(1+Parametros!$B$10)^1</f>
        <v>14803557</v>
      </c>
      <c r="P6" s="48">
        <f>Demanda!$D$7*(1+Parametros!$B$10)^1</f>
        <v>15705552</v>
      </c>
      <c r="Q6" s="48">
        <f>Demanda!$D$8*(1+Parametros!$B$10)^1</f>
        <v>16744208</v>
      </c>
      <c r="R6" s="48">
        <f>Demanda!$D$9*(1+Parametros!$B$10)^1</f>
        <v>15329328</v>
      </c>
      <c r="S6" s="48">
        <f>Demanda!$D$10*(1+Parametros!$B$10)^1</f>
        <v>14854626</v>
      </c>
      <c r="T6" s="48">
        <f>Demanda!$D$11*(1+Parametros!$B$10)^1</f>
        <v>15537720</v>
      </c>
      <c r="U6" s="48">
        <f>Demanda!$D$12*(1+Parametros!$B$10)^1</f>
        <v>16178840</v>
      </c>
      <c r="V6" s="48">
        <f>Demanda!$D$13*(1+Parametros!$B$10)^1</f>
        <v>18771980</v>
      </c>
      <c r="W6" s="48">
        <f>Demanda!$D$14*(1+Parametros!$B$10)^1</f>
        <v>15568902</v>
      </c>
      <c r="X6" s="48">
        <f>Demanda!$D$15*(1+Parametros!$B$10)^1</f>
        <v>14407009</v>
      </c>
      <c r="Y6" s="48">
        <f>Demanda!$D$16*(1+Parametros!$B$10)^1</f>
        <v>16077086</v>
      </c>
      <c r="Z6" s="48">
        <f>Demanda!$D$5*(1+Parametros!$B$10)^2</f>
        <v>14359006</v>
      </c>
      <c r="AA6" s="48">
        <f>Demanda!$D$6*(1+Parametros!$B$10)^2</f>
        <v>14803557</v>
      </c>
      <c r="AB6" s="48">
        <f>Demanda!$D$7*(1+Parametros!$B$10)^2</f>
        <v>15705552</v>
      </c>
      <c r="AC6" s="48">
        <f>Demanda!$D$8*(1+Parametros!$B$10)^2</f>
        <v>16744208</v>
      </c>
      <c r="AD6" s="48">
        <f>Demanda!$D$9*(1+Parametros!$B$10)^2</f>
        <v>15329328</v>
      </c>
      <c r="AE6" s="48">
        <f>Demanda!$D$10*(1+Parametros!$B$10)^2</f>
        <v>14854626</v>
      </c>
      <c r="AF6" s="48">
        <f>Demanda!$D$11*(1+Parametros!$B$10)^2</f>
        <v>15537720</v>
      </c>
      <c r="AG6" s="48">
        <f>Demanda!$D$12*(1+Parametros!$B$10)^2</f>
        <v>16178840</v>
      </c>
      <c r="AH6" s="48">
        <f>Demanda!$D$13*(1+Parametros!$B$10)^2</f>
        <v>18771980</v>
      </c>
      <c r="AI6" s="48">
        <f>Demanda!$D$14*(1+Parametros!$B$10)^2</f>
        <v>15568902</v>
      </c>
      <c r="AJ6" s="48">
        <f>Demanda!$D$15*(1+Parametros!$B$10)^2</f>
        <v>14407009</v>
      </c>
      <c r="AK6" s="48">
        <f>Demanda!$D$16*(1+Parametros!$B$10)^2</f>
        <v>16077086</v>
      </c>
      <c r="AL6" s="48">
        <f>Demanda!$D$5*(1+Parametros!$B$10)^3</f>
        <v>14359006</v>
      </c>
      <c r="AM6" s="48">
        <f>Demanda!$D$6*(1+Parametros!$B$10)^3</f>
        <v>14803557</v>
      </c>
      <c r="AN6" s="48">
        <f>Demanda!$D$7*(1+Parametros!$B$10)^3</f>
        <v>15705552</v>
      </c>
      <c r="AO6" s="48">
        <f>Demanda!$D$8*(1+Parametros!$B$10)^3</f>
        <v>16744208</v>
      </c>
      <c r="AP6" s="48">
        <f>Demanda!$D$9*(1+Parametros!$B$10)^3</f>
        <v>15329328</v>
      </c>
      <c r="AQ6" s="48">
        <f>Demanda!$D$10*(1+Parametros!$B$10)^3</f>
        <v>14854626</v>
      </c>
      <c r="AR6" s="48">
        <f>Demanda!$D$11*(1+Parametros!$B$10)^3</f>
        <v>15537720</v>
      </c>
      <c r="AS6" s="48">
        <f>Demanda!$D$12*(1+Parametros!$B$10)^3</f>
        <v>16178840</v>
      </c>
      <c r="AT6" s="48">
        <f>Demanda!$D$13*(1+Parametros!$B$10)^3</f>
        <v>18771980</v>
      </c>
      <c r="AU6" s="48">
        <f>Demanda!$D$14*(1+Parametros!$B$10)^3</f>
        <v>15568902</v>
      </c>
      <c r="AV6" s="48">
        <f>Demanda!$D$15*(1+Parametros!$B$10)^3</f>
        <v>14407009</v>
      </c>
      <c r="AW6" s="48">
        <f>Demanda!$D$16*(1+Parametros!$B$10)^3</f>
        <v>16077086</v>
      </c>
      <c r="AX6" s="48">
        <f>Demanda!$D$5*(1+Parametros!$B$10)^4</f>
        <v>14359006</v>
      </c>
      <c r="AY6" s="48">
        <f>Demanda!$D$6*(1+Parametros!$B$10)^4</f>
        <v>14803557</v>
      </c>
      <c r="AZ6" s="48">
        <f>Demanda!$D$7*(1+Parametros!$B$10)^4</f>
        <v>15705552</v>
      </c>
      <c r="BA6" s="48">
        <f>Demanda!$D$8*(1+Parametros!$B$10)^4</f>
        <v>16744208</v>
      </c>
      <c r="BB6" s="48">
        <f>Demanda!$D$9*(1+Parametros!$B$10)^4</f>
        <v>15329328</v>
      </c>
      <c r="BC6" s="48">
        <f>Demanda!$D$10*(1+Parametros!$B$10)^4</f>
        <v>14854626</v>
      </c>
      <c r="BD6" s="48">
        <f>Demanda!$D$11*(1+Parametros!$B$10)^4</f>
        <v>15537720</v>
      </c>
      <c r="BE6" s="48">
        <f>Demanda!$D$12*(1+Parametros!$B$10)^4</f>
        <v>16178840</v>
      </c>
      <c r="BF6" s="48">
        <f>Demanda!$D$13*(1+Parametros!$B$10)^4</f>
        <v>18771980</v>
      </c>
      <c r="BG6" s="48">
        <f>Demanda!$D$14*(1+Parametros!$B$10)^4</f>
        <v>15568902</v>
      </c>
      <c r="BH6" s="48">
        <f>Demanda!$D$15*(1+Parametros!$B$10)^4</f>
        <v>14407009</v>
      </c>
      <c r="BI6" s="48">
        <f>Demanda!$D$16*(1+Parametros!$B$10)^4</f>
        <v>16077086</v>
      </c>
    </row>
    <row r="7">
      <c r="A7" s="22" t="s">
        <v>239</v>
      </c>
      <c r="B7" s="48">
        <f>Demanda!$E$5</f>
        <v>4241454</v>
      </c>
      <c r="C7" s="48">
        <f>Demanda!$E$6</f>
        <v>4372768</v>
      </c>
      <c r="D7" s="48">
        <f>Demanda!$E$7</f>
        <v>4414001</v>
      </c>
      <c r="E7" s="48">
        <f>Demanda!$E$8</f>
        <v>4651364</v>
      </c>
      <c r="F7" s="48">
        <f>Demanda!$E$9</f>
        <v>4475219</v>
      </c>
      <c r="G7" s="48">
        <f>Demanda!$E$10</f>
        <v>4424244</v>
      </c>
      <c r="H7" s="48">
        <f>Demanda!$E$11</f>
        <v>4355974</v>
      </c>
      <c r="I7" s="48">
        <f>Demanda!$E$12</f>
        <v>4673157</v>
      </c>
      <c r="J7" s="48">
        <f>Demanda!$E$13</f>
        <v>5469074</v>
      </c>
      <c r="K7" s="48">
        <f>Demanda!$E$14</f>
        <v>4430554</v>
      </c>
      <c r="L7" s="48">
        <f>Demanda!$E$15</f>
        <v>4099488</v>
      </c>
      <c r="M7" s="48">
        <f>Demanda!$E$16</f>
        <v>4621386</v>
      </c>
      <c r="N7" s="48">
        <f>Demanda!$E$5*(1+Parametros!$B$10)^1</f>
        <v>4241454</v>
      </c>
      <c r="O7" s="48">
        <f>Demanda!$E$6*(1+Parametros!$B$10)^1</f>
        <v>4372768</v>
      </c>
      <c r="P7" s="48">
        <f>Demanda!$E$7*(1+Parametros!$B$10)^1</f>
        <v>4414001</v>
      </c>
      <c r="Q7" s="48">
        <f>Demanda!$E$8*(1+Parametros!$B$10)^1</f>
        <v>4651364</v>
      </c>
      <c r="R7" s="48">
        <f>Demanda!$E$9*(1+Parametros!$B$10)^1</f>
        <v>4475219</v>
      </c>
      <c r="S7" s="48">
        <f>Demanda!$E$10*(1+Parametros!$B$10)^1</f>
        <v>4424244</v>
      </c>
      <c r="T7" s="48">
        <f>Demanda!$E$11*(1+Parametros!$B$10)^1</f>
        <v>4355974</v>
      </c>
      <c r="U7" s="48">
        <f>Demanda!$E$12*(1+Parametros!$B$10)^1</f>
        <v>4673157</v>
      </c>
      <c r="V7" s="48">
        <f>Demanda!$E$13*(1+Parametros!$B$10)^1</f>
        <v>5469074</v>
      </c>
      <c r="W7" s="48">
        <f>Demanda!$E$14*(1+Parametros!$B$10)^1</f>
        <v>4430554</v>
      </c>
      <c r="X7" s="48">
        <f>Demanda!$E$15*(1+Parametros!$B$10)^1</f>
        <v>4099488</v>
      </c>
      <c r="Y7" s="48">
        <f>Demanda!$E$16*(1+Parametros!$B$10)^1</f>
        <v>4621386</v>
      </c>
      <c r="Z7" s="48">
        <f>Demanda!$E$5*(1+Parametros!$B$10)^2</f>
        <v>4241454</v>
      </c>
      <c r="AA7" s="48">
        <f>Demanda!$E$6*(1+Parametros!$B$10)^2</f>
        <v>4372768</v>
      </c>
      <c r="AB7" s="48">
        <f>Demanda!$E$7*(1+Parametros!$B$10)^2</f>
        <v>4414001</v>
      </c>
      <c r="AC7" s="48">
        <f>Demanda!$E$8*(1+Parametros!$B$10)^2</f>
        <v>4651364</v>
      </c>
      <c r="AD7" s="48">
        <f>Demanda!$E$9*(1+Parametros!$B$10)^2</f>
        <v>4475219</v>
      </c>
      <c r="AE7" s="48">
        <f>Demanda!$E$10*(1+Parametros!$B$10)^2</f>
        <v>4424244</v>
      </c>
      <c r="AF7" s="48">
        <f>Demanda!$E$11*(1+Parametros!$B$10)^2</f>
        <v>4355974</v>
      </c>
      <c r="AG7" s="48">
        <f>Demanda!$E$12*(1+Parametros!$B$10)^2</f>
        <v>4673157</v>
      </c>
      <c r="AH7" s="48">
        <f>Demanda!$E$13*(1+Parametros!$B$10)^2</f>
        <v>5469074</v>
      </c>
      <c r="AI7" s="48">
        <f>Demanda!$E$14*(1+Parametros!$B$10)^2</f>
        <v>4430554</v>
      </c>
      <c r="AJ7" s="48">
        <f>Demanda!$E$15*(1+Parametros!$B$10)^2</f>
        <v>4099488</v>
      </c>
      <c r="AK7" s="48">
        <f>Demanda!$E$16*(1+Parametros!$B$10)^2</f>
        <v>4621386</v>
      </c>
      <c r="AL7" s="48">
        <f>Demanda!$E$5*(1+Parametros!$B$10)^3</f>
        <v>4241454</v>
      </c>
      <c r="AM7" s="48">
        <f>Demanda!$E$6*(1+Parametros!$B$10)^3</f>
        <v>4372768</v>
      </c>
      <c r="AN7" s="48">
        <f>Demanda!$E$7*(1+Parametros!$B$10)^3</f>
        <v>4414001</v>
      </c>
      <c r="AO7" s="48">
        <f>Demanda!$E$8*(1+Parametros!$B$10)^3</f>
        <v>4651364</v>
      </c>
      <c r="AP7" s="48">
        <f>Demanda!$E$9*(1+Parametros!$B$10)^3</f>
        <v>4475219</v>
      </c>
      <c r="AQ7" s="48">
        <f>Demanda!$E$10*(1+Parametros!$B$10)^3</f>
        <v>4424244</v>
      </c>
      <c r="AR7" s="48">
        <f>Demanda!$E$11*(1+Parametros!$B$10)^3</f>
        <v>4355974</v>
      </c>
      <c r="AS7" s="48">
        <f>Demanda!$E$12*(1+Parametros!$B$10)^3</f>
        <v>4673157</v>
      </c>
      <c r="AT7" s="48">
        <f>Demanda!$E$13*(1+Parametros!$B$10)^3</f>
        <v>5469074</v>
      </c>
      <c r="AU7" s="48">
        <f>Demanda!$E$14*(1+Parametros!$B$10)^3</f>
        <v>4430554</v>
      </c>
      <c r="AV7" s="48">
        <f>Demanda!$E$15*(1+Parametros!$B$10)^3</f>
        <v>4099488</v>
      </c>
      <c r="AW7" s="48">
        <f>Demanda!$E$16*(1+Parametros!$B$10)^3</f>
        <v>4621386</v>
      </c>
      <c r="AX7" s="48">
        <f>Demanda!$E$5*(1+Parametros!$B$10)^4</f>
        <v>4241454</v>
      </c>
      <c r="AY7" s="48">
        <f>Demanda!$E$6*(1+Parametros!$B$10)^4</f>
        <v>4372768</v>
      </c>
      <c r="AZ7" s="48">
        <f>Demanda!$E$7*(1+Parametros!$B$10)^4</f>
        <v>4414001</v>
      </c>
      <c r="BA7" s="48">
        <f>Demanda!$E$8*(1+Parametros!$B$10)^4</f>
        <v>4651364</v>
      </c>
      <c r="BB7" s="48">
        <f>Demanda!$E$9*(1+Parametros!$B$10)^4</f>
        <v>4475219</v>
      </c>
      <c r="BC7" s="48">
        <f>Demanda!$E$10*(1+Parametros!$B$10)^4</f>
        <v>4424244</v>
      </c>
      <c r="BD7" s="48">
        <f>Demanda!$E$11*(1+Parametros!$B$10)^4</f>
        <v>4355974</v>
      </c>
      <c r="BE7" s="48">
        <f>Demanda!$E$12*(1+Parametros!$B$10)^4</f>
        <v>4673157</v>
      </c>
      <c r="BF7" s="48">
        <f>Demanda!$E$13*(1+Parametros!$B$10)^4</f>
        <v>5469074</v>
      </c>
      <c r="BG7" s="48">
        <f>Demanda!$E$14*(1+Parametros!$B$10)^4</f>
        <v>4430554</v>
      </c>
      <c r="BH7" s="48">
        <f>Demanda!$E$15*(1+Parametros!$B$10)^4</f>
        <v>4099488</v>
      </c>
      <c r="BI7" s="48">
        <f>Demanda!$E$16*(1+Parametros!$B$10)^4</f>
        <v>4621386</v>
      </c>
    </row>
    <row r="8">
      <c r="A8" s="22" t="s">
        <v>240</v>
      </c>
      <c r="B8" s="48">
        <f>Demanda!$F$5</f>
        <v>21691</v>
      </c>
      <c r="C8" s="48">
        <f>Demanda!$F$6</f>
        <v>22362</v>
      </c>
      <c r="D8" s="48">
        <f>Demanda!$F$7</f>
        <v>23034</v>
      </c>
      <c r="E8" s="48">
        <f>Demanda!$F$8</f>
        <v>25180</v>
      </c>
      <c r="F8" s="48">
        <f>Demanda!$F$9</f>
        <v>23737</v>
      </c>
      <c r="G8" s="48">
        <f>Demanda!$F$10</f>
        <v>23232</v>
      </c>
      <c r="H8" s="48">
        <f>Demanda!$F$11</f>
        <v>21894</v>
      </c>
      <c r="I8" s="48">
        <f>Demanda!$F$12</f>
        <v>23028</v>
      </c>
      <c r="J8" s="48">
        <f>Demanda!$F$13</f>
        <v>25933</v>
      </c>
      <c r="K8" s="48">
        <f>Demanda!$F$14</f>
        <v>23273</v>
      </c>
      <c r="L8" s="48">
        <f>Demanda!$F$15</f>
        <v>21753</v>
      </c>
      <c r="M8" s="48">
        <f>Demanda!$F$16</f>
        <v>24032</v>
      </c>
      <c r="N8" s="48">
        <f>Demanda!$F$5*(1+Parametros!$B$10)^1</f>
        <v>21691</v>
      </c>
      <c r="O8" s="48">
        <f>Demanda!$F$6*(1+Parametros!$B$10)^1</f>
        <v>22362</v>
      </c>
      <c r="P8" s="48">
        <f>Demanda!$F$7*(1+Parametros!$B$10)^1</f>
        <v>23034</v>
      </c>
      <c r="Q8" s="48">
        <f>Demanda!$F$8*(1+Parametros!$B$10)^1</f>
        <v>25180</v>
      </c>
      <c r="R8" s="48">
        <f>Demanda!$F$9*(1+Parametros!$B$10)^1</f>
        <v>23737</v>
      </c>
      <c r="S8" s="48">
        <f>Demanda!$F$10*(1+Parametros!$B$10)^1</f>
        <v>23232</v>
      </c>
      <c r="T8" s="48">
        <f>Demanda!$F$11*(1+Parametros!$B$10)^1</f>
        <v>21894</v>
      </c>
      <c r="U8" s="48">
        <f>Demanda!$F$12*(1+Parametros!$B$10)^1</f>
        <v>23028</v>
      </c>
      <c r="V8" s="48">
        <f>Demanda!$F$13*(1+Parametros!$B$10)^1</f>
        <v>25933</v>
      </c>
      <c r="W8" s="48">
        <f>Demanda!$F$14*(1+Parametros!$B$10)^1</f>
        <v>23273</v>
      </c>
      <c r="X8" s="48">
        <f>Demanda!$F$15*(1+Parametros!$B$10)^1</f>
        <v>21753</v>
      </c>
      <c r="Y8" s="48">
        <f>Demanda!$F$16*(1+Parametros!$B$10)^1</f>
        <v>24032</v>
      </c>
      <c r="Z8" s="48">
        <f>Demanda!$F$5*(1+Parametros!$B$10)^2</f>
        <v>21691</v>
      </c>
      <c r="AA8" s="48">
        <f>Demanda!$F$6*(1+Parametros!$B$10)^2</f>
        <v>22362</v>
      </c>
      <c r="AB8" s="48">
        <f>Demanda!$F$7*(1+Parametros!$B$10)^2</f>
        <v>23034</v>
      </c>
      <c r="AC8" s="48">
        <f>Demanda!$F$8*(1+Parametros!$B$10)^2</f>
        <v>25180</v>
      </c>
      <c r="AD8" s="48">
        <f>Demanda!$F$9*(1+Parametros!$B$10)^2</f>
        <v>23737</v>
      </c>
      <c r="AE8" s="48">
        <f>Demanda!$F$10*(1+Parametros!$B$10)^2</f>
        <v>23232</v>
      </c>
      <c r="AF8" s="48">
        <f>Demanda!$F$11*(1+Parametros!$B$10)^2</f>
        <v>21894</v>
      </c>
      <c r="AG8" s="48">
        <f>Demanda!$F$12*(1+Parametros!$B$10)^2</f>
        <v>23028</v>
      </c>
      <c r="AH8" s="48">
        <f>Demanda!$F$13*(1+Parametros!$B$10)^2</f>
        <v>25933</v>
      </c>
      <c r="AI8" s="48">
        <f>Demanda!$F$14*(1+Parametros!$B$10)^2</f>
        <v>23273</v>
      </c>
      <c r="AJ8" s="48">
        <f>Demanda!$F$15*(1+Parametros!$B$10)^2</f>
        <v>21753</v>
      </c>
      <c r="AK8" s="48">
        <f>Demanda!$F$16*(1+Parametros!$B$10)^2</f>
        <v>24032</v>
      </c>
      <c r="AL8" s="48">
        <f>Demanda!$F$5*(1+Parametros!$B$10)^3</f>
        <v>21691</v>
      </c>
      <c r="AM8" s="48">
        <f>Demanda!$F$6*(1+Parametros!$B$10)^3</f>
        <v>22362</v>
      </c>
      <c r="AN8" s="48">
        <f>Demanda!$F$7*(1+Parametros!$B$10)^3</f>
        <v>23034</v>
      </c>
      <c r="AO8" s="48">
        <f>Demanda!$F$8*(1+Parametros!$B$10)^3</f>
        <v>25180</v>
      </c>
      <c r="AP8" s="48">
        <f>Demanda!$F$9*(1+Parametros!$B$10)^3</f>
        <v>23737</v>
      </c>
      <c r="AQ8" s="48">
        <f>Demanda!$F$10*(1+Parametros!$B$10)^3</f>
        <v>23232</v>
      </c>
      <c r="AR8" s="48">
        <f>Demanda!$F$11*(1+Parametros!$B$10)^3</f>
        <v>21894</v>
      </c>
      <c r="AS8" s="48">
        <f>Demanda!$F$12*(1+Parametros!$B$10)^3</f>
        <v>23028</v>
      </c>
      <c r="AT8" s="48">
        <f>Demanda!$F$13*(1+Parametros!$B$10)^3</f>
        <v>25933</v>
      </c>
      <c r="AU8" s="48">
        <f>Demanda!$F$14*(1+Parametros!$B$10)^3</f>
        <v>23273</v>
      </c>
      <c r="AV8" s="48">
        <f>Demanda!$F$15*(1+Parametros!$B$10)^3</f>
        <v>21753</v>
      </c>
      <c r="AW8" s="48">
        <f>Demanda!$F$16*(1+Parametros!$B$10)^3</f>
        <v>24032</v>
      </c>
      <c r="AX8" s="48">
        <f>Demanda!$F$5*(1+Parametros!$B$10)^4</f>
        <v>21691</v>
      </c>
      <c r="AY8" s="48">
        <f>Demanda!$F$6*(1+Parametros!$B$10)^4</f>
        <v>22362</v>
      </c>
      <c r="AZ8" s="48">
        <f>Demanda!$F$7*(1+Parametros!$B$10)^4</f>
        <v>23034</v>
      </c>
      <c r="BA8" s="48">
        <f>Demanda!$F$8*(1+Parametros!$B$10)^4</f>
        <v>25180</v>
      </c>
      <c r="BB8" s="48">
        <f>Demanda!$F$9*(1+Parametros!$B$10)^4</f>
        <v>23737</v>
      </c>
      <c r="BC8" s="48">
        <f>Demanda!$F$10*(1+Parametros!$B$10)^4</f>
        <v>23232</v>
      </c>
      <c r="BD8" s="48">
        <f>Demanda!$F$11*(1+Parametros!$B$10)^4</f>
        <v>21894</v>
      </c>
      <c r="BE8" s="48">
        <f>Demanda!$F$12*(1+Parametros!$B$10)^4</f>
        <v>23028</v>
      </c>
      <c r="BF8" s="48">
        <f>Demanda!$F$13*(1+Parametros!$B$10)^4</f>
        <v>25933</v>
      </c>
      <c r="BG8" s="48">
        <f>Demanda!$F$14*(1+Parametros!$B$10)^4</f>
        <v>23273</v>
      </c>
      <c r="BH8" s="48">
        <f>Demanda!$F$15*(1+Parametros!$B$10)^4</f>
        <v>21753</v>
      </c>
      <c r="BI8" s="48">
        <f>Demanda!$F$16*(1+Parametros!$B$10)^4</f>
        <v>24032</v>
      </c>
    </row>
    <row r="9">
      <c r="A9" s="22" t="s">
        <v>241</v>
      </c>
      <c r="B9" s="49">
        <f>B6*Parametros!$B$20+B7*Parametros!$B$21+B8*Parametros!$B$22</f>
        <v>44132682300</v>
      </c>
      <c r="C9" s="49">
        <f>C6*Parametros!$B$20+C7*Parametros!$B$21+C8*Parametros!$B$22</f>
        <v>45499010600</v>
      </c>
      <c r="D9" s="49">
        <f>D6*Parametros!$B$20+D7*Parametros!$B$21+D8*Parametros!$B$22</f>
        <v>47305905850</v>
      </c>
      <c r="E9" s="49">
        <f>E6*Parametros!$B$20+E7*Parametros!$B$21+E8*Parametros!$B$22</f>
        <v>50210031400</v>
      </c>
      <c r="F9" s="49">
        <f>F6*Parametros!$B$20+F7*Parametros!$B$21+F8*Parametros!$B$22</f>
        <v>46897315150</v>
      </c>
      <c r="G9" s="49">
        <f>G6*Parametros!$B$20+G7*Parametros!$B$21+G8*Parametros!$B$22</f>
        <v>45820147800</v>
      </c>
      <c r="H9" s="49">
        <f>H6*Parametros!$B$20+H7*Parametros!$B$21+H8*Parametros!$B$22</f>
        <v>46743513500</v>
      </c>
      <c r="I9" s="49">
        <f>I6*Parametros!$B$20+I7*Parametros!$B$21+I8*Parametros!$B$22</f>
        <v>49259165250</v>
      </c>
      <c r="J9" s="49">
        <f>J6*Parametros!$B$20+J7*Parametros!$B$21+J8*Parametros!$B$22</f>
        <v>57344324500</v>
      </c>
      <c r="K9" s="49">
        <f>K6*Parametros!$B$20+K7*Parametros!$B$21+K8*Parametros!$B$22</f>
        <v>47133154100</v>
      </c>
      <c r="L9" s="49">
        <f>L6*Parametros!$B$20+L7*Parametros!$B$21+L8*Parametros!$B$22</f>
        <v>43616476200</v>
      </c>
      <c r="M9" s="49">
        <f>M6*Parametros!$B$20+M7*Parametros!$B$21+M8*Parametros!$B$22</f>
        <v>48868029300</v>
      </c>
      <c r="N9" s="49">
        <f>N6*Parametros!$B$20+N7*Parametros!$B$21+N8*Parametros!$B$22</f>
        <v>44132682300</v>
      </c>
      <c r="O9" s="49">
        <f>O6*Parametros!$B$20+O7*Parametros!$B$21+O8*Parametros!$B$22</f>
        <v>45499010600</v>
      </c>
      <c r="P9" s="49">
        <f>P6*Parametros!$B$20+P7*Parametros!$B$21+P8*Parametros!$B$22</f>
        <v>47305905850</v>
      </c>
      <c r="Q9" s="49">
        <f>Q6*Parametros!$B$20+Q7*Parametros!$B$21+Q8*Parametros!$B$22</f>
        <v>50210031400</v>
      </c>
      <c r="R9" s="49">
        <f>R6*Parametros!$B$20+R7*Parametros!$B$21+R8*Parametros!$B$22</f>
        <v>46897315150</v>
      </c>
      <c r="S9" s="49">
        <f>S6*Parametros!$B$20+S7*Parametros!$B$21+S8*Parametros!$B$22</f>
        <v>45820147800</v>
      </c>
      <c r="T9" s="49">
        <f>T6*Parametros!$B$20+T7*Parametros!$B$21+T8*Parametros!$B$22</f>
        <v>46743513500</v>
      </c>
      <c r="U9" s="49">
        <f>U6*Parametros!$B$20+U7*Parametros!$B$21+U8*Parametros!$B$22</f>
        <v>49259165250</v>
      </c>
      <c r="V9" s="49">
        <f>V6*Parametros!$B$20+V7*Parametros!$B$21+V8*Parametros!$B$22</f>
        <v>57344324500</v>
      </c>
      <c r="W9" s="49">
        <f>W6*Parametros!$B$20+W7*Parametros!$B$21+W8*Parametros!$B$22</f>
        <v>47133154100</v>
      </c>
      <c r="X9" s="49">
        <f>X6*Parametros!$B$20+X7*Parametros!$B$21+X8*Parametros!$B$22</f>
        <v>43616476200</v>
      </c>
      <c r="Y9" s="49">
        <f>Y6*Parametros!$B$20+Y7*Parametros!$B$21+Y8*Parametros!$B$22</f>
        <v>48868029300</v>
      </c>
      <c r="Z9" s="49">
        <f>Z6*Parametros!$B$20+Z7*Parametros!$B$21+Z8*Parametros!$B$22</f>
        <v>44132682300</v>
      </c>
      <c r="AA9" s="49">
        <f>AA6*Parametros!$B$20+AA7*Parametros!$B$21+AA8*Parametros!$B$22</f>
        <v>45499010600</v>
      </c>
      <c r="AB9" s="49">
        <f>AB6*Parametros!$B$20+AB7*Parametros!$B$21+AB8*Parametros!$B$22</f>
        <v>47305905850</v>
      </c>
      <c r="AC9" s="49">
        <f>AC6*Parametros!$B$20+AC7*Parametros!$B$21+AC8*Parametros!$B$22</f>
        <v>50210031400</v>
      </c>
      <c r="AD9" s="49">
        <f>AD6*Parametros!$B$20+AD7*Parametros!$B$21+AD8*Parametros!$B$22</f>
        <v>46897315150</v>
      </c>
      <c r="AE9" s="49">
        <f>AE6*Parametros!$B$20+AE7*Parametros!$B$21+AE8*Parametros!$B$22</f>
        <v>45820147800</v>
      </c>
      <c r="AF9" s="49">
        <f>AF6*Parametros!$B$20+AF7*Parametros!$B$21+AF8*Parametros!$B$22</f>
        <v>46743513500</v>
      </c>
      <c r="AG9" s="49">
        <f>AG6*Parametros!$B$20+AG7*Parametros!$B$21+AG8*Parametros!$B$22</f>
        <v>49259165250</v>
      </c>
      <c r="AH9" s="49">
        <f>AH6*Parametros!$B$20+AH7*Parametros!$B$21+AH8*Parametros!$B$22</f>
        <v>57344324500</v>
      </c>
      <c r="AI9" s="49">
        <f>AI6*Parametros!$B$20+AI7*Parametros!$B$21+AI8*Parametros!$B$22</f>
        <v>47133154100</v>
      </c>
      <c r="AJ9" s="49">
        <f>AJ6*Parametros!$B$20+AJ7*Parametros!$B$21+AJ8*Parametros!$B$22</f>
        <v>43616476200</v>
      </c>
      <c r="AK9" s="49">
        <f>AK6*Parametros!$B$20+AK7*Parametros!$B$21+AK8*Parametros!$B$22</f>
        <v>48868029300</v>
      </c>
      <c r="AL9" s="49">
        <f>AL6*Parametros!$B$20+AL7*Parametros!$B$21+AL8*Parametros!$B$22</f>
        <v>44132682300</v>
      </c>
      <c r="AM9" s="49">
        <f>AM6*Parametros!$B$20+AM7*Parametros!$B$21+AM8*Parametros!$B$22</f>
        <v>45499010600</v>
      </c>
      <c r="AN9" s="49">
        <f>AN6*Parametros!$B$20+AN7*Parametros!$B$21+AN8*Parametros!$B$22</f>
        <v>47305905850</v>
      </c>
      <c r="AO9" s="49">
        <f>AO6*Parametros!$B$20+AO7*Parametros!$B$21+AO8*Parametros!$B$22</f>
        <v>50210031400</v>
      </c>
      <c r="AP9" s="49">
        <f>AP6*Parametros!$B$20+AP7*Parametros!$B$21+AP8*Parametros!$B$22</f>
        <v>46897315150</v>
      </c>
      <c r="AQ9" s="49">
        <f>AQ6*Parametros!$B$20+AQ7*Parametros!$B$21+AQ8*Parametros!$B$22</f>
        <v>45820147800</v>
      </c>
      <c r="AR9" s="49">
        <f>AR6*Parametros!$B$20+AR7*Parametros!$B$21+AR8*Parametros!$B$22</f>
        <v>46743513500</v>
      </c>
      <c r="AS9" s="49">
        <f>AS6*Parametros!$B$20+AS7*Parametros!$B$21+AS8*Parametros!$B$22</f>
        <v>49259165250</v>
      </c>
      <c r="AT9" s="49">
        <f>AT6*Parametros!$B$20+AT7*Parametros!$B$21+AT8*Parametros!$B$22</f>
        <v>57344324500</v>
      </c>
      <c r="AU9" s="49">
        <f>AU6*Parametros!$B$20+AU7*Parametros!$B$21+AU8*Parametros!$B$22</f>
        <v>47133154100</v>
      </c>
      <c r="AV9" s="49">
        <f>AV6*Parametros!$B$20+AV7*Parametros!$B$21+AV8*Parametros!$B$22</f>
        <v>43616476200</v>
      </c>
      <c r="AW9" s="49">
        <f>AW6*Parametros!$B$20+AW7*Parametros!$B$21+AW8*Parametros!$B$22</f>
        <v>48868029300</v>
      </c>
      <c r="AX9" s="49">
        <f>AX6*Parametros!$B$20+AX7*Parametros!$B$21+AX8*Parametros!$B$22</f>
        <v>44132682300</v>
      </c>
      <c r="AY9" s="49">
        <f>AY6*Parametros!$B$20+AY7*Parametros!$B$21+AY8*Parametros!$B$22</f>
        <v>45499010600</v>
      </c>
      <c r="AZ9" s="49">
        <f>AZ6*Parametros!$B$20+AZ7*Parametros!$B$21+AZ8*Parametros!$B$22</f>
        <v>47305905850</v>
      </c>
      <c r="BA9" s="49">
        <f>BA6*Parametros!$B$20+BA7*Parametros!$B$21+BA8*Parametros!$B$22</f>
        <v>50210031400</v>
      </c>
      <c r="BB9" s="49">
        <f>BB6*Parametros!$B$20+BB7*Parametros!$B$21+BB8*Parametros!$B$22</f>
        <v>46897315150</v>
      </c>
      <c r="BC9" s="49">
        <f>BC6*Parametros!$B$20+BC7*Parametros!$B$21+BC8*Parametros!$B$22</f>
        <v>45820147800</v>
      </c>
      <c r="BD9" s="49">
        <f>BD6*Parametros!$B$20+BD7*Parametros!$B$21+BD8*Parametros!$B$22</f>
        <v>46743513500</v>
      </c>
      <c r="BE9" s="49">
        <f>BE6*Parametros!$B$20+BE7*Parametros!$B$21+BE8*Parametros!$B$22</f>
        <v>49259165250</v>
      </c>
      <c r="BF9" s="49">
        <f>BF6*Parametros!$B$20+BF7*Parametros!$B$21+BF8*Parametros!$B$22</f>
        <v>57344324500</v>
      </c>
      <c r="BG9" s="49">
        <f>BG6*Parametros!$B$20+BG7*Parametros!$B$21+BG8*Parametros!$B$22</f>
        <v>47133154100</v>
      </c>
      <c r="BH9" s="49">
        <f>BH6*Parametros!$B$20+BH7*Parametros!$B$21+BH8*Parametros!$B$22</f>
        <v>43616476200</v>
      </c>
      <c r="BI9" s="49">
        <f>BI6*Parametros!$B$20+BI7*Parametros!$B$21+BI8*Parametros!$B$22</f>
        <v>48868029300</v>
      </c>
    </row>
    <row r="10">
      <c r="A10" s="22" t="s">
        <v>242</v>
      </c>
      <c r="B10" s="49">
        <f>B6*Costos_Lote!$B$18+B7*Costos_Lote!$B$33+B8*Costos_Lote!$B$46</f>
        <v>24814796268</v>
      </c>
      <c r="C10" s="49">
        <f>C6*Costos_Lote!$B$18+C7*Costos_Lote!$B$33+C8*Costos_Lote!$B$46</f>
        <v>25583051184</v>
      </c>
      <c r="D10" s="49">
        <f>D6*Costos_Lote!$B$18+D7*Costos_Lote!$B$33+D8*Costos_Lote!$B$46</f>
        <v>26535762249</v>
      </c>
      <c r="E10" s="49">
        <f>E6*Costos_Lote!$B$18+E7*Costos_Lote!$B$33+E8*Costos_Lote!$B$46</f>
        <v>28149332255</v>
      </c>
      <c r="F10" s="49">
        <f>F6*Costos_Lote!$B$18+F7*Costos_Lote!$B$33+F8*Costos_Lote!$B$46</f>
        <v>26354583042</v>
      </c>
      <c r="G10" s="49">
        <f>G6*Costos_Lote!$B$18+G7*Costos_Lote!$B$33+G8*Costos_Lote!$B$46</f>
        <v>25773975491</v>
      </c>
      <c r="H10" s="49">
        <f>H6*Costos_Lote!$B$18+H7*Costos_Lote!$B$33+H8*Costos_Lote!$B$46</f>
        <v>26216999374</v>
      </c>
      <c r="I10" s="49">
        <f>I6*Costos_Lote!$B$18+I7*Costos_Lote!$B$33+I8*Costos_Lote!$B$46</f>
        <v>27667351664</v>
      </c>
      <c r="J10" s="49">
        <f>J6*Costos_Lote!$B$18+J7*Costos_Lote!$B$33+J8*Costos_Lote!$B$46</f>
        <v>32221646114</v>
      </c>
      <c r="K10" s="49">
        <f>K6*Costos_Lote!$B$18+K7*Costos_Lote!$B$33+K8*Costos_Lote!$B$46</f>
        <v>26454670252</v>
      </c>
      <c r="L10" s="49">
        <f>L6*Costos_Lote!$B$18+L7*Costos_Lote!$B$33+L8*Costos_Lote!$B$46</f>
        <v>24480772292</v>
      </c>
      <c r="M10" s="49">
        <f>M6*Costos_Lote!$B$18+M7*Costos_Lote!$B$33+M8*Costos_Lote!$B$46</f>
        <v>27441564257</v>
      </c>
      <c r="N10" s="49">
        <f>N6*Costos_Lote!$B$18+N7*Costos_Lote!$B$33+N8*Costos_Lote!$B$46</f>
        <v>24814796268</v>
      </c>
      <c r="O10" s="49">
        <f>O6*Costos_Lote!$B$18+O7*Costos_Lote!$B$33+O8*Costos_Lote!$B$46</f>
        <v>25583051184</v>
      </c>
      <c r="P10" s="49">
        <f>P6*Costos_Lote!$B$18+P7*Costos_Lote!$B$33+P8*Costos_Lote!$B$46</f>
        <v>26535762249</v>
      </c>
      <c r="Q10" s="49">
        <f>Q6*Costos_Lote!$B$18+Q7*Costos_Lote!$B$33+Q8*Costos_Lote!$B$46</f>
        <v>28149332255</v>
      </c>
      <c r="R10" s="49">
        <f>R6*Costos_Lote!$B$18+R7*Costos_Lote!$B$33+R8*Costos_Lote!$B$46</f>
        <v>26354583042</v>
      </c>
      <c r="S10" s="49">
        <f>S6*Costos_Lote!$B$18+S7*Costos_Lote!$B$33+S8*Costos_Lote!$B$46</f>
        <v>25773975491</v>
      </c>
      <c r="T10" s="49">
        <f>T6*Costos_Lote!$B$18+T7*Costos_Lote!$B$33+T8*Costos_Lote!$B$46</f>
        <v>26216999374</v>
      </c>
      <c r="U10" s="49">
        <f>U6*Costos_Lote!$B$18+U7*Costos_Lote!$B$33+U8*Costos_Lote!$B$46</f>
        <v>27667351664</v>
      </c>
      <c r="V10" s="49">
        <f>V6*Costos_Lote!$B$18+V7*Costos_Lote!$B$33+V8*Costos_Lote!$B$46</f>
        <v>32221646114</v>
      </c>
      <c r="W10" s="49">
        <f>W6*Costos_Lote!$B$18+W7*Costos_Lote!$B$33+W8*Costos_Lote!$B$46</f>
        <v>26454670252</v>
      </c>
      <c r="X10" s="49">
        <f>X6*Costos_Lote!$B$18+X7*Costos_Lote!$B$33+X8*Costos_Lote!$B$46</f>
        <v>24480772292</v>
      </c>
      <c r="Y10" s="49">
        <f>Y6*Costos_Lote!$B$18+Y7*Costos_Lote!$B$33+Y8*Costos_Lote!$B$46</f>
        <v>27441564257</v>
      </c>
      <c r="Z10" s="49">
        <f>Z6*Costos_Lote!$B$18+Z7*Costos_Lote!$B$33+Z8*Costos_Lote!$B$46</f>
        <v>24814796268</v>
      </c>
      <c r="AA10" s="49">
        <f>AA6*Costos_Lote!$B$18+AA7*Costos_Lote!$B$33+AA8*Costos_Lote!$B$46</f>
        <v>25583051184</v>
      </c>
      <c r="AB10" s="49">
        <f>AB6*Costos_Lote!$B$18+AB7*Costos_Lote!$B$33+AB8*Costos_Lote!$B$46</f>
        <v>26535762249</v>
      </c>
      <c r="AC10" s="49">
        <f>AC6*Costos_Lote!$B$18+AC7*Costos_Lote!$B$33+AC8*Costos_Lote!$B$46</f>
        <v>28149332255</v>
      </c>
      <c r="AD10" s="49">
        <f>AD6*Costos_Lote!$B$18+AD7*Costos_Lote!$B$33+AD8*Costos_Lote!$B$46</f>
        <v>26354583042</v>
      </c>
      <c r="AE10" s="49">
        <f>AE6*Costos_Lote!$B$18+AE7*Costos_Lote!$B$33+AE8*Costos_Lote!$B$46</f>
        <v>25773975491</v>
      </c>
      <c r="AF10" s="49">
        <f>AF6*Costos_Lote!$B$18+AF7*Costos_Lote!$B$33+AF8*Costos_Lote!$B$46</f>
        <v>26216999374</v>
      </c>
      <c r="AG10" s="49">
        <f>AG6*Costos_Lote!$B$18+AG7*Costos_Lote!$B$33+AG8*Costos_Lote!$B$46</f>
        <v>27667351664</v>
      </c>
      <c r="AH10" s="49">
        <f>AH6*Costos_Lote!$B$18+AH7*Costos_Lote!$B$33+AH8*Costos_Lote!$B$46</f>
        <v>32221646114</v>
      </c>
      <c r="AI10" s="49">
        <f>AI6*Costos_Lote!$B$18+AI7*Costos_Lote!$B$33+AI8*Costos_Lote!$B$46</f>
        <v>26454670252</v>
      </c>
      <c r="AJ10" s="49">
        <f>AJ6*Costos_Lote!$B$18+AJ7*Costos_Lote!$B$33+AJ8*Costos_Lote!$B$46</f>
        <v>24480772292</v>
      </c>
      <c r="AK10" s="49">
        <f>AK6*Costos_Lote!$B$18+AK7*Costos_Lote!$B$33+AK8*Costos_Lote!$B$46</f>
        <v>27441564257</v>
      </c>
      <c r="AL10" s="49">
        <f>AL6*Costos_Lote!$B$18+AL7*Costos_Lote!$B$33+AL8*Costos_Lote!$B$46</f>
        <v>24814796268</v>
      </c>
      <c r="AM10" s="49">
        <f>AM6*Costos_Lote!$B$18+AM7*Costos_Lote!$B$33+AM8*Costos_Lote!$B$46</f>
        <v>25583051184</v>
      </c>
      <c r="AN10" s="49">
        <f>AN6*Costos_Lote!$B$18+AN7*Costos_Lote!$B$33+AN8*Costos_Lote!$B$46</f>
        <v>26535762249</v>
      </c>
      <c r="AO10" s="49">
        <f>AO6*Costos_Lote!$B$18+AO7*Costos_Lote!$B$33+AO8*Costos_Lote!$B$46</f>
        <v>28149332255</v>
      </c>
      <c r="AP10" s="49">
        <f>AP6*Costos_Lote!$B$18+AP7*Costos_Lote!$B$33+AP8*Costos_Lote!$B$46</f>
        <v>26354583042</v>
      </c>
      <c r="AQ10" s="49">
        <f>AQ6*Costos_Lote!$B$18+AQ7*Costos_Lote!$B$33+AQ8*Costos_Lote!$B$46</f>
        <v>25773975491</v>
      </c>
      <c r="AR10" s="49">
        <f>AR6*Costos_Lote!$B$18+AR7*Costos_Lote!$B$33+AR8*Costos_Lote!$B$46</f>
        <v>26216999374</v>
      </c>
      <c r="AS10" s="49">
        <f>AS6*Costos_Lote!$B$18+AS7*Costos_Lote!$B$33+AS8*Costos_Lote!$B$46</f>
        <v>27667351664</v>
      </c>
      <c r="AT10" s="49">
        <f>AT6*Costos_Lote!$B$18+AT7*Costos_Lote!$B$33+AT8*Costos_Lote!$B$46</f>
        <v>32221646114</v>
      </c>
      <c r="AU10" s="49">
        <f>AU6*Costos_Lote!$B$18+AU7*Costos_Lote!$B$33+AU8*Costos_Lote!$B$46</f>
        <v>26454670252</v>
      </c>
      <c r="AV10" s="49">
        <f>AV6*Costos_Lote!$B$18+AV7*Costos_Lote!$B$33+AV8*Costos_Lote!$B$46</f>
        <v>24480772292</v>
      </c>
      <c r="AW10" s="49">
        <f>AW6*Costos_Lote!$B$18+AW7*Costos_Lote!$B$33+AW8*Costos_Lote!$B$46</f>
        <v>27441564257</v>
      </c>
      <c r="AX10" s="49">
        <f>AX6*Costos_Lote!$B$18+AX7*Costos_Lote!$B$33+AX8*Costos_Lote!$B$46</f>
        <v>24814796268</v>
      </c>
      <c r="AY10" s="49">
        <f>AY6*Costos_Lote!$B$18+AY7*Costos_Lote!$B$33+AY8*Costos_Lote!$B$46</f>
        <v>25583051184</v>
      </c>
      <c r="AZ10" s="49">
        <f>AZ6*Costos_Lote!$B$18+AZ7*Costos_Lote!$B$33+AZ8*Costos_Lote!$B$46</f>
        <v>26535762249</v>
      </c>
      <c r="BA10" s="49">
        <f>BA6*Costos_Lote!$B$18+BA7*Costos_Lote!$B$33+BA8*Costos_Lote!$B$46</f>
        <v>28149332255</v>
      </c>
      <c r="BB10" s="49">
        <f>BB6*Costos_Lote!$B$18+BB7*Costos_Lote!$B$33+BB8*Costos_Lote!$B$46</f>
        <v>26354583042</v>
      </c>
      <c r="BC10" s="49">
        <f>BC6*Costos_Lote!$B$18+BC7*Costos_Lote!$B$33+BC8*Costos_Lote!$B$46</f>
        <v>25773975491</v>
      </c>
      <c r="BD10" s="49">
        <f>BD6*Costos_Lote!$B$18+BD7*Costos_Lote!$B$33+BD8*Costos_Lote!$B$46</f>
        <v>26216999374</v>
      </c>
      <c r="BE10" s="49">
        <f>BE6*Costos_Lote!$B$18+BE7*Costos_Lote!$B$33+BE8*Costos_Lote!$B$46</f>
        <v>27667351664</v>
      </c>
      <c r="BF10" s="49">
        <f>BF6*Costos_Lote!$B$18+BF7*Costos_Lote!$B$33+BF8*Costos_Lote!$B$46</f>
        <v>32221646114</v>
      </c>
      <c r="BG10" s="49">
        <f>BG6*Costos_Lote!$B$18+BG7*Costos_Lote!$B$33+BG8*Costos_Lote!$B$46</f>
        <v>26454670252</v>
      </c>
      <c r="BH10" s="49">
        <f>BH6*Costos_Lote!$B$18+BH7*Costos_Lote!$B$33+BH8*Costos_Lote!$B$46</f>
        <v>24480772292</v>
      </c>
      <c r="BI10" s="49">
        <f>BI6*Costos_Lote!$B$18+BI7*Costos_Lote!$B$33+BI8*Costos_Lote!$B$46</f>
        <v>27441564257</v>
      </c>
    </row>
    <row r="11">
      <c r="A11" s="22" t="s">
        <v>243</v>
      </c>
      <c r="B11" s="49">
        <f t="shared" ref="B11:BI11" si="1">B9-B10</f>
        <v>19317886032</v>
      </c>
      <c r="C11" s="49">
        <f t="shared" si="1"/>
        <v>19915959416</v>
      </c>
      <c r="D11" s="49">
        <f t="shared" si="1"/>
        <v>20770143601</v>
      </c>
      <c r="E11" s="49">
        <f t="shared" si="1"/>
        <v>22060699145</v>
      </c>
      <c r="F11" s="49">
        <f t="shared" si="1"/>
        <v>20542732108</v>
      </c>
      <c r="G11" s="49">
        <f t="shared" si="1"/>
        <v>20046172309</v>
      </c>
      <c r="H11" s="49">
        <f t="shared" si="1"/>
        <v>20526514126</v>
      </c>
      <c r="I11" s="49">
        <f t="shared" si="1"/>
        <v>21591813586</v>
      </c>
      <c r="J11" s="49">
        <f t="shared" si="1"/>
        <v>25122678386</v>
      </c>
      <c r="K11" s="49">
        <f t="shared" si="1"/>
        <v>20678483848</v>
      </c>
      <c r="L11" s="49">
        <f t="shared" si="1"/>
        <v>19135703908</v>
      </c>
      <c r="M11" s="49">
        <f t="shared" si="1"/>
        <v>21426465043</v>
      </c>
      <c r="N11" s="49">
        <f t="shared" si="1"/>
        <v>19317886032</v>
      </c>
      <c r="O11" s="49">
        <f t="shared" si="1"/>
        <v>19915959416</v>
      </c>
      <c r="P11" s="49">
        <f t="shared" si="1"/>
        <v>20770143601</v>
      </c>
      <c r="Q11" s="49">
        <f t="shared" si="1"/>
        <v>22060699145</v>
      </c>
      <c r="R11" s="49">
        <f t="shared" si="1"/>
        <v>20542732108</v>
      </c>
      <c r="S11" s="49">
        <f t="shared" si="1"/>
        <v>20046172309</v>
      </c>
      <c r="T11" s="49">
        <f t="shared" si="1"/>
        <v>20526514126</v>
      </c>
      <c r="U11" s="49">
        <f t="shared" si="1"/>
        <v>21591813586</v>
      </c>
      <c r="V11" s="49">
        <f t="shared" si="1"/>
        <v>25122678386</v>
      </c>
      <c r="W11" s="49">
        <f t="shared" si="1"/>
        <v>20678483848</v>
      </c>
      <c r="X11" s="49">
        <f t="shared" si="1"/>
        <v>19135703908</v>
      </c>
      <c r="Y11" s="49">
        <f t="shared" si="1"/>
        <v>21426465043</v>
      </c>
      <c r="Z11" s="49">
        <f t="shared" si="1"/>
        <v>19317886032</v>
      </c>
      <c r="AA11" s="49">
        <f t="shared" si="1"/>
        <v>19915959416</v>
      </c>
      <c r="AB11" s="49">
        <f t="shared" si="1"/>
        <v>20770143601</v>
      </c>
      <c r="AC11" s="49">
        <f t="shared" si="1"/>
        <v>22060699145</v>
      </c>
      <c r="AD11" s="49">
        <f t="shared" si="1"/>
        <v>20542732108</v>
      </c>
      <c r="AE11" s="49">
        <f t="shared" si="1"/>
        <v>20046172309</v>
      </c>
      <c r="AF11" s="49">
        <f t="shared" si="1"/>
        <v>20526514126</v>
      </c>
      <c r="AG11" s="49">
        <f t="shared" si="1"/>
        <v>21591813586</v>
      </c>
      <c r="AH11" s="49">
        <f t="shared" si="1"/>
        <v>25122678386</v>
      </c>
      <c r="AI11" s="49">
        <f t="shared" si="1"/>
        <v>20678483848</v>
      </c>
      <c r="AJ11" s="49">
        <f t="shared" si="1"/>
        <v>19135703908</v>
      </c>
      <c r="AK11" s="49">
        <f t="shared" si="1"/>
        <v>21426465043</v>
      </c>
      <c r="AL11" s="49">
        <f t="shared" si="1"/>
        <v>19317886032</v>
      </c>
      <c r="AM11" s="49">
        <f t="shared" si="1"/>
        <v>19915959416</v>
      </c>
      <c r="AN11" s="49">
        <f t="shared" si="1"/>
        <v>20770143601</v>
      </c>
      <c r="AO11" s="49">
        <f t="shared" si="1"/>
        <v>22060699145</v>
      </c>
      <c r="AP11" s="49">
        <f t="shared" si="1"/>
        <v>20542732108</v>
      </c>
      <c r="AQ11" s="49">
        <f t="shared" si="1"/>
        <v>20046172309</v>
      </c>
      <c r="AR11" s="49">
        <f t="shared" si="1"/>
        <v>20526514126</v>
      </c>
      <c r="AS11" s="49">
        <f t="shared" si="1"/>
        <v>21591813586</v>
      </c>
      <c r="AT11" s="49">
        <f t="shared" si="1"/>
        <v>25122678386</v>
      </c>
      <c r="AU11" s="49">
        <f t="shared" si="1"/>
        <v>20678483848</v>
      </c>
      <c r="AV11" s="49">
        <f t="shared" si="1"/>
        <v>19135703908</v>
      </c>
      <c r="AW11" s="49">
        <f t="shared" si="1"/>
        <v>21426465043</v>
      </c>
      <c r="AX11" s="49">
        <f t="shared" si="1"/>
        <v>19317886032</v>
      </c>
      <c r="AY11" s="49">
        <f t="shared" si="1"/>
        <v>19915959416</v>
      </c>
      <c r="AZ11" s="49">
        <f t="shared" si="1"/>
        <v>20770143601</v>
      </c>
      <c r="BA11" s="49">
        <f t="shared" si="1"/>
        <v>22060699145</v>
      </c>
      <c r="BB11" s="49">
        <f t="shared" si="1"/>
        <v>20542732108</v>
      </c>
      <c r="BC11" s="49">
        <f t="shared" si="1"/>
        <v>20046172309</v>
      </c>
      <c r="BD11" s="49">
        <f t="shared" si="1"/>
        <v>20526514126</v>
      </c>
      <c r="BE11" s="49">
        <f t="shared" si="1"/>
        <v>21591813586</v>
      </c>
      <c r="BF11" s="49">
        <f t="shared" si="1"/>
        <v>25122678386</v>
      </c>
      <c r="BG11" s="49">
        <f t="shared" si="1"/>
        <v>20678483848</v>
      </c>
      <c r="BH11" s="49">
        <f t="shared" si="1"/>
        <v>19135703908</v>
      </c>
      <c r="BI11" s="49">
        <f t="shared" si="1"/>
        <v>21426465043</v>
      </c>
    </row>
    <row r="12">
      <c r="A12" s="22" t="s">
        <v>244</v>
      </c>
      <c r="B12" s="49">
        <f t="array" ref="B12">INDEX(RRHH!$E:$E,MATCH("Costo mensual OPERACION (→ ER)",RRHH!$A:$A,0))</f>
        <v>85915382</v>
      </c>
      <c r="C12" s="49">
        <f t="array" ref="C12">INDEX(RRHH!$E:$E,MATCH("Costo mensual OPERACION (→ ER)",RRHH!$A:$A,0))</f>
        <v>85915382</v>
      </c>
      <c r="D12" s="49">
        <f t="array" ref="D12">INDEX(RRHH!$E:$E,MATCH("Costo mensual OPERACION (→ ER)",RRHH!$A:$A,0))</f>
        <v>85915382</v>
      </c>
      <c r="E12" s="49">
        <f t="array" ref="E12">INDEX(RRHH!$E:$E,MATCH("Costo mensual OPERACION (→ ER)",RRHH!$A:$A,0))</f>
        <v>85915382</v>
      </c>
      <c r="F12" s="49">
        <f t="array" ref="F12">INDEX(RRHH!$E:$E,MATCH("Costo mensual OPERACION (→ ER)",RRHH!$A:$A,0))</f>
        <v>85915382</v>
      </c>
      <c r="G12" s="49">
        <f t="array" ref="G12">INDEX(RRHH!$E:$E,MATCH("Costo mensual OPERACION (→ ER)",RRHH!$A:$A,0))</f>
        <v>85915382</v>
      </c>
      <c r="H12" s="49">
        <f t="array" ref="H12">INDEX(RRHH!$E:$E,MATCH("Costo mensual OPERACION (→ ER)",RRHH!$A:$A,0))</f>
        <v>85915382</v>
      </c>
      <c r="I12" s="49">
        <f t="array" ref="I12">INDEX(RRHH!$E:$E,MATCH("Costo mensual OPERACION (→ ER)",RRHH!$A:$A,0))</f>
        <v>85915382</v>
      </c>
      <c r="J12" s="49">
        <f t="array" ref="J12">INDEX(RRHH!$E:$E,MATCH("Costo mensual OPERACION (→ ER)",RRHH!$A:$A,0))</f>
        <v>85915382</v>
      </c>
      <c r="K12" s="49">
        <f t="array" ref="K12">INDEX(RRHH!$E:$E,MATCH("Costo mensual OPERACION (→ ER)",RRHH!$A:$A,0))</f>
        <v>85915382</v>
      </c>
      <c r="L12" s="49">
        <f t="array" ref="L12">INDEX(RRHH!$E:$E,MATCH("Costo mensual OPERACION (→ ER)",RRHH!$A:$A,0))</f>
        <v>85915382</v>
      </c>
      <c r="M12" s="49">
        <f t="array" ref="M12">INDEX(RRHH!$E:$E,MATCH("Costo mensual OPERACION (→ ER)",RRHH!$A:$A,0))</f>
        <v>85915382</v>
      </c>
      <c r="N12" s="49">
        <f t="array" ref="N12">INDEX(RRHH!$E:$E,MATCH("Costo mensual OPERACION (→ ER)",RRHH!$A:$A,0))</f>
        <v>85915382</v>
      </c>
      <c r="O12" s="49">
        <f t="array" ref="O12">INDEX(RRHH!$E:$E,MATCH("Costo mensual OPERACION (→ ER)",RRHH!$A:$A,0))</f>
        <v>85915382</v>
      </c>
      <c r="P12" s="49">
        <f t="array" ref="P12">INDEX(RRHH!$E:$E,MATCH("Costo mensual OPERACION (→ ER)",RRHH!$A:$A,0))</f>
        <v>85915382</v>
      </c>
      <c r="Q12" s="49">
        <f t="array" ref="Q12">INDEX(RRHH!$E:$E,MATCH("Costo mensual OPERACION (→ ER)",RRHH!$A:$A,0))</f>
        <v>85915382</v>
      </c>
      <c r="R12" s="49">
        <f t="array" ref="R12">INDEX(RRHH!$E:$E,MATCH("Costo mensual OPERACION (→ ER)",RRHH!$A:$A,0))</f>
        <v>85915382</v>
      </c>
      <c r="S12" s="49">
        <f t="array" ref="S12">INDEX(RRHH!$E:$E,MATCH("Costo mensual OPERACION (→ ER)",RRHH!$A:$A,0))</f>
        <v>85915382</v>
      </c>
      <c r="T12" s="49">
        <f t="array" ref="T12">INDEX(RRHH!$E:$E,MATCH("Costo mensual OPERACION (→ ER)",RRHH!$A:$A,0))</f>
        <v>85915382</v>
      </c>
      <c r="U12" s="49">
        <f t="array" ref="U12">INDEX(RRHH!$E:$E,MATCH("Costo mensual OPERACION (→ ER)",RRHH!$A:$A,0))</f>
        <v>85915382</v>
      </c>
      <c r="V12" s="49">
        <f t="array" ref="V12">INDEX(RRHH!$E:$E,MATCH("Costo mensual OPERACION (→ ER)",RRHH!$A:$A,0))</f>
        <v>85915382</v>
      </c>
      <c r="W12" s="49">
        <f t="array" ref="W12">INDEX(RRHH!$E:$E,MATCH("Costo mensual OPERACION (→ ER)",RRHH!$A:$A,0))</f>
        <v>85915382</v>
      </c>
      <c r="X12" s="49">
        <f t="array" ref="X12">INDEX(RRHH!$E:$E,MATCH("Costo mensual OPERACION (→ ER)",RRHH!$A:$A,0))</f>
        <v>85915382</v>
      </c>
      <c r="Y12" s="49">
        <f t="array" ref="Y12">INDEX(RRHH!$E:$E,MATCH("Costo mensual OPERACION (→ ER)",RRHH!$A:$A,0))</f>
        <v>85915382</v>
      </c>
      <c r="Z12" s="49">
        <f t="array" ref="Z12">INDEX(RRHH!$E:$E,MATCH("Costo mensual OPERACION (→ ER)",RRHH!$A:$A,0))</f>
        <v>85915382</v>
      </c>
      <c r="AA12" s="49">
        <f t="array" ref="AA12">INDEX(RRHH!$E:$E,MATCH("Costo mensual OPERACION (→ ER)",RRHH!$A:$A,0))</f>
        <v>85915382</v>
      </c>
      <c r="AB12" s="49">
        <f t="array" ref="AB12">INDEX(RRHH!$E:$E,MATCH("Costo mensual OPERACION (→ ER)",RRHH!$A:$A,0))</f>
        <v>85915382</v>
      </c>
      <c r="AC12" s="49">
        <f t="array" ref="AC12">INDEX(RRHH!$E:$E,MATCH("Costo mensual OPERACION (→ ER)",RRHH!$A:$A,0))</f>
        <v>85915382</v>
      </c>
      <c r="AD12" s="49">
        <f t="array" ref="AD12">INDEX(RRHH!$E:$E,MATCH("Costo mensual OPERACION (→ ER)",RRHH!$A:$A,0))</f>
        <v>85915382</v>
      </c>
      <c r="AE12" s="49">
        <f t="array" ref="AE12">INDEX(RRHH!$E:$E,MATCH("Costo mensual OPERACION (→ ER)",RRHH!$A:$A,0))</f>
        <v>85915382</v>
      </c>
      <c r="AF12" s="49">
        <f t="array" ref="AF12">INDEX(RRHH!$E:$E,MATCH("Costo mensual OPERACION (→ ER)",RRHH!$A:$A,0))</f>
        <v>85915382</v>
      </c>
      <c r="AG12" s="49">
        <f t="array" ref="AG12">INDEX(RRHH!$E:$E,MATCH("Costo mensual OPERACION (→ ER)",RRHH!$A:$A,0))</f>
        <v>85915382</v>
      </c>
      <c r="AH12" s="49">
        <f t="array" ref="AH12">INDEX(RRHH!$E:$E,MATCH("Costo mensual OPERACION (→ ER)",RRHH!$A:$A,0))</f>
        <v>85915382</v>
      </c>
      <c r="AI12" s="49">
        <f t="array" ref="AI12">INDEX(RRHH!$E:$E,MATCH("Costo mensual OPERACION (→ ER)",RRHH!$A:$A,0))</f>
        <v>85915382</v>
      </c>
      <c r="AJ12" s="49">
        <f t="array" ref="AJ12">INDEX(RRHH!$E:$E,MATCH("Costo mensual OPERACION (→ ER)",RRHH!$A:$A,0))</f>
        <v>85915382</v>
      </c>
      <c r="AK12" s="49">
        <f t="array" ref="AK12">INDEX(RRHH!$E:$E,MATCH("Costo mensual OPERACION (→ ER)",RRHH!$A:$A,0))</f>
        <v>85915382</v>
      </c>
      <c r="AL12" s="49">
        <f t="array" ref="AL12">INDEX(RRHH!$E:$E,MATCH("Costo mensual OPERACION (→ ER)",RRHH!$A:$A,0))</f>
        <v>85915382</v>
      </c>
      <c r="AM12" s="49">
        <f t="array" ref="AM12">INDEX(RRHH!$E:$E,MATCH("Costo mensual OPERACION (→ ER)",RRHH!$A:$A,0))</f>
        <v>85915382</v>
      </c>
      <c r="AN12" s="49">
        <f t="array" ref="AN12">INDEX(RRHH!$E:$E,MATCH("Costo mensual OPERACION (→ ER)",RRHH!$A:$A,0))</f>
        <v>85915382</v>
      </c>
      <c r="AO12" s="49">
        <f t="array" ref="AO12">INDEX(RRHH!$E:$E,MATCH("Costo mensual OPERACION (→ ER)",RRHH!$A:$A,0))</f>
        <v>85915382</v>
      </c>
      <c r="AP12" s="49">
        <f t="array" ref="AP12">INDEX(RRHH!$E:$E,MATCH("Costo mensual OPERACION (→ ER)",RRHH!$A:$A,0))</f>
        <v>85915382</v>
      </c>
      <c r="AQ12" s="49">
        <f t="array" ref="AQ12">INDEX(RRHH!$E:$E,MATCH("Costo mensual OPERACION (→ ER)",RRHH!$A:$A,0))</f>
        <v>85915382</v>
      </c>
      <c r="AR12" s="49">
        <f t="array" ref="AR12">INDEX(RRHH!$E:$E,MATCH("Costo mensual OPERACION (→ ER)",RRHH!$A:$A,0))</f>
        <v>85915382</v>
      </c>
      <c r="AS12" s="49">
        <f t="array" ref="AS12">INDEX(RRHH!$E:$E,MATCH("Costo mensual OPERACION (→ ER)",RRHH!$A:$A,0))</f>
        <v>85915382</v>
      </c>
      <c r="AT12" s="49">
        <f t="array" ref="AT12">INDEX(RRHH!$E:$E,MATCH("Costo mensual OPERACION (→ ER)",RRHH!$A:$A,0))</f>
        <v>85915382</v>
      </c>
      <c r="AU12" s="49">
        <f t="array" ref="AU12">INDEX(RRHH!$E:$E,MATCH("Costo mensual OPERACION (→ ER)",RRHH!$A:$A,0))</f>
        <v>85915382</v>
      </c>
      <c r="AV12" s="49">
        <f t="array" ref="AV12">INDEX(RRHH!$E:$E,MATCH("Costo mensual OPERACION (→ ER)",RRHH!$A:$A,0))</f>
        <v>85915382</v>
      </c>
      <c r="AW12" s="49">
        <f t="array" ref="AW12">INDEX(RRHH!$E:$E,MATCH("Costo mensual OPERACION (→ ER)",RRHH!$A:$A,0))</f>
        <v>85915382</v>
      </c>
      <c r="AX12" s="49">
        <f t="array" ref="AX12">INDEX(RRHH!$E:$E,MATCH("Costo mensual OPERACION (→ ER)",RRHH!$A:$A,0))</f>
        <v>85915382</v>
      </c>
      <c r="AY12" s="49">
        <f t="array" ref="AY12">INDEX(RRHH!$E:$E,MATCH("Costo mensual OPERACION (→ ER)",RRHH!$A:$A,0))</f>
        <v>85915382</v>
      </c>
      <c r="AZ12" s="49">
        <f t="array" ref="AZ12">INDEX(RRHH!$E:$E,MATCH("Costo mensual OPERACION (→ ER)",RRHH!$A:$A,0))</f>
        <v>85915382</v>
      </c>
      <c r="BA12" s="49">
        <f t="array" ref="BA12">INDEX(RRHH!$E:$E,MATCH("Costo mensual OPERACION (→ ER)",RRHH!$A:$A,0))</f>
        <v>85915382</v>
      </c>
      <c r="BB12" s="49">
        <f t="array" ref="BB12">INDEX(RRHH!$E:$E,MATCH("Costo mensual OPERACION (→ ER)",RRHH!$A:$A,0))</f>
        <v>85915382</v>
      </c>
      <c r="BC12" s="49">
        <f t="array" ref="BC12">INDEX(RRHH!$E:$E,MATCH("Costo mensual OPERACION (→ ER)",RRHH!$A:$A,0))</f>
        <v>85915382</v>
      </c>
      <c r="BD12" s="49">
        <f t="array" ref="BD12">INDEX(RRHH!$E:$E,MATCH("Costo mensual OPERACION (→ ER)",RRHH!$A:$A,0))</f>
        <v>85915382</v>
      </c>
      <c r="BE12" s="49">
        <f t="array" ref="BE12">INDEX(RRHH!$E:$E,MATCH("Costo mensual OPERACION (→ ER)",RRHH!$A:$A,0))</f>
        <v>85915382</v>
      </c>
      <c r="BF12" s="49">
        <f t="array" ref="BF12">INDEX(RRHH!$E:$E,MATCH("Costo mensual OPERACION (→ ER)",RRHH!$A:$A,0))</f>
        <v>85915382</v>
      </c>
      <c r="BG12" s="49">
        <f t="array" ref="BG12">INDEX(RRHH!$E:$E,MATCH("Costo mensual OPERACION (→ ER)",RRHH!$A:$A,0))</f>
        <v>85915382</v>
      </c>
      <c r="BH12" s="49">
        <f t="array" ref="BH12">INDEX(RRHH!$E:$E,MATCH("Costo mensual OPERACION (→ ER)",RRHH!$A:$A,0))</f>
        <v>85915382</v>
      </c>
      <c r="BI12" s="49">
        <f t="array" ref="BI12">INDEX(RRHH!$E:$E,MATCH("Costo mensual OPERACION (→ ER)",RRHH!$A:$A,0))</f>
        <v>85915382</v>
      </c>
    </row>
    <row r="13">
      <c r="A13" s="22" t="s">
        <v>245</v>
      </c>
      <c r="B13" s="49">
        <f>Parametros!$B$25</f>
        <v>250000000</v>
      </c>
      <c r="C13" s="49">
        <f>Parametros!$B$25</f>
        <v>250000000</v>
      </c>
      <c r="D13" s="49">
        <f>Parametros!$B$25</f>
        <v>250000000</v>
      </c>
      <c r="E13" s="49">
        <f>Parametros!$B$25</f>
        <v>250000000</v>
      </c>
      <c r="F13" s="49">
        <f>Parametros!$B$25</f>
        <v>250000000</v>
      </c>
      <c r="G13" s="49">
        <f>Parametros!$B$25</f>
        <v>250000000</v>
      </c>
      <c r="H13" s="49">
        <f>Parametros!$B$25</f>
        <v>250000000</v>
      </c>
      <c r="I13" s="49">
        <f>Parametros!$B$25</f>
        <v>250000000</v>
      </c>
      <c r="J13" s="49">
        <f>Parametros!$B$25</f>
        <v>250000000</v>
      </c>
      <c r="K13" s="49">
        <f>Parametros!$B$25</f>
        <v>250000000</v>
      </c>
      <c r="L13" s="49">
        <f>Parametros!$B$25</f>
        <v>250000000</v>
      </c>
      <c r="M13" s="49">
        <f>Parametros!$B$25</f>
        <v>250000000</v>
      </c>
      <c r="N13" s="49">
        <f>Parametros!$B$25</f>
        <v>250000000</v>
      </c>
      <c r="O13" s="49">
        <f>Parametros!$B$25</f>
        <v>250000000</v>
      </c>
      <c r="P13" s="49">
        <f>Parametros!$B$25</f>
        <v>250000000</v>
      </c>
      <c r="Q13" s="49">
        <f>Parametros!$B$25</f>
        <v>250000000</v>
      </c>
      <c r="R13" s="49">
        <f>Parametros!$B$25</f>
        <v>250000000</v>
      </c>
      <c r="S13" s="49">
        <f>Parametros!$B$25</f>
        <v>250000000</v>
      </c>
      <c r="T13" s="49">
        <f>Parametros!$B$25</f>
        <v>250000000</v>
      </c>
      <c r="U13" s="49">
        <f>Parametros!$B$25</f>
        <v>250000000</v>
      </c>
      <c r="V13" s="49">
        <f>Parametros!$B$25</f>
        <v>250000000</v>
      </c>
      <c r="W13" s="49">
        <f>Parametros!$B$25</f>
        <v>250000000</v>
      </c>
      <c r="X13" s="49">
        <f>Parametros!$B$25</f>
        <v>250000000</v>
      </c>
      <c r="Y13" s="49">
        <f>Parametros!$B$25</f>
        <v>250000000</v>
      </c>
      <c r="Z13" s="49">
        <f>Parametros!$B$25</f>
        <v>250000000</v>
      </c>
      <c r="AA13" s="49">
        <f>Parametros!$B$25</f>
        <v>250000000</v>
      </c>
      <c r="AB13" s="49">
        <f>Parametros!$B$25</f>
        <v>250000000</v>
      </c>
      <c r="AC13" s="49">
        <f>Parametros!$B$25</f>
        <v>250000000</v>
      </c>
      <c r="AD13" s="49">
        <f>Parametros!$B$25</f>
        <v>250000000</v>
      </c>
      <c r="AE13" s="49">
        <f>Parametros!$B$25</f>
        <v>250000000</v>
      </c>
      <c r="AF13" s="49">
        <f>Parametros!$B$25</f>
        <v>250000000</v>
      </c>
      <c r="AG13" s="49">
        <f>Parametros!$B$25</f>
        <v>250000000</v>
      </c>
      <c r="AH13" s="49">
        <f>Parametros!$B$25</f>
        <v>250000000</v>
      </c>
      <c r="AI13" s="49">
        <f>Parametros!$B$25</f>
        <v>250000000</v>
      </c>
      <c r="AJ13" s="49">
        <f>Parametros!$B$25</f>
        <v>250000000</v>
      </c>
      <c r="AK13" s="49">
        <f>Parametros!$B$25</f>
        <v>250000000</v>
      </c>
      <c r="AL13" s="49">
        <f>Parametros!$B$25</f>
        <v>250000000</v>
      </c>
      <c r="AM13" s="49">
        <f>Parametros!$B$25</f>
        <v>250000000</v>
      </c>
      <c r="AN13" s="49">
        <f>Parametros!$B$25</f>
        <v>250000000</v>
      </c>
      <c r="AO13" s="49">
        <f>Parametros!$B$25</f>
        <v>250000000</v>
      </c>
      <c r="AP13" s="49">
        <f>Parametros!$B$25</f>
        <v>250000000</v>
      </c>
      <c r="AQ13" s="49">
        <f>Parametros!$B$25</f>
        <v>250000000</v>
      </c>
      <c r="AR13" s="49">
        <f>Parametros!$B$25</f>
        <v>250000000</v>
      </c>
      <c r="AS13" s="49">
        <f>Parametros!$B$25</f>
        <v>250000000</v>
      </c>
      <c r="AT13" s="49">
        <f>Parametros!$B$25</f>
        <v>250000000</v>
      </c>
      <c r="AU13" s="49">
        <f>Parametros!$B$25</f>
        <v>250000000</v>
      </c>
      <c r="AV13" s="49">
        <f>Parametros!$B$25</f>
        <v>250000000</v>
      </c>
      <c r="AW13" s="49">
        <f>Parametros!$B$25</f>
        <v>250000000</v>
      </c>
      <c r="AX13" s="49">
        <f>Parametros!$B$25</f>
        <v>250000000</v>
      </c>
      <c r="AY13" s="49">
        <f>Parametros!$B$25</f>
        <v>250000000</v>
      </c>
      <c r="AZ13" s="49">
        <f>Parametros!$B$25</f>
        <v>250000000</v>
      </c>
      <c r="BA13" s="49">
        <f>Parametros!$B$25</f>
        <v>250000000</v>
      </c>
      <c r="BB13" s="49">
        <f>Parametros!$B$25</f>
        <v>250000000</v>
      </c>
      <c r="BC13" s="49">
        <f>Parametros!$B$25</f>
        <v>250000000</v>
      </c>
      <c r="BD13" s="49">
        <f>Parametros!$B$25</f>
        <v>250000000</v>
      </c>
      <c r="BE13" s="49">
        <f>Parametros!$B$25</f>
        <v>250000000</v>
      </c>
      <c r="BF13" s="49">
        <f>Parametros!$B$25</f>
        <v>250000000</v>
      </c>
      <c r="BG13" s="49">
        <f>Parametros!$B$25</f>
        <v>250000000</v>
      </c>
      <c r="BH13" s="49">
        <f>Parametros!$B$25</f>
        <v>250000000</v>
      </c>
      <c r="BI13" s="49">
        <f>Parametros!$B$25</f>
        <v>250000000</v>
      </c>
    </row>
    <row r="14">
      <c r="A14" s="24" t="s">
        <v>246</v>
      </c>
      <c r="B14" s="49">
        <f t="shared" ref="B14:BI14" si="2">B11-B12-B13</f>
        <v>18981970650</v>
      </c>
      <c r="C14" s="49">
        <f t="shared" si="2"/>
        <v>19580044034</v>
      </c>
      <c r="D14" s="49">
        <f t="shared" si="2"/>
        <v>20434228219</v>
      </c>
      <c r="E14" s="49">
        <f t="shared" si="2"/>
        <v>21724783763</v>
      </c>
      <c r="F14" s="49">
        <f t="shared" si="2"/>
        <v>20206816726</v>
      </c>
      <c r="G14" s="49">
        <f t="shared" si="2"/>
        <v>19710256927</v>
      </c>
      <c r="H14" s="49">
        <f t="shared" si="2"/>
        <v>20190598744</v>
      </c>
      <c r="I14" s="49">
        <f t="shared" si="2"/>
        <v>21255898204</v>
      </c>
      <c r="J14" s="49">
        <f t="shared" si="2"/>
        <v>24786763004</v>
      </c>
      <c r="K14" s="49">
        <f t="shared" si="2"/>
        <v>20342568466</v>
      </c>
      <c r="L14" s="49">
        <f t="shared" si="2"/>
        <v>18799788526</v>
      </c>
      <c r="M14" s="49">
        <f t="shared" si="2"/>
        <v>21090549661</v>
      </c>
      <c r="N14" s="49">
        <f t="shared" si="2"/>
        <v>18981970650</v>
      </c>
      <c r="O14" s="49">
        <f t="shared" si="2"/>
        <v>19580044034</v>
      </c>
      <c r="P14" s="49">
        <f t="shared" si="2"/>
        <v>20434228219</v>
      </c>
      <c r="Q14" s="49">
        <f t="shared" si="2"/>
        <v>21724783763</v>
      </c>
      <c r="R14" s="49">
        <f t="shared" si="2"/>
        <v>20206816726</v>
      </c>
      <c r="S14" s="49">
        <f t="shared" si="2"/>
        <v>19710256927</v>
      </c>
      <c r="T14" s="49">
        <f t="shared" si="2"/>
        <v>20190598744</v>
      </c>
      <c r="U14" s="49">
        <f t="shared" si="2"/>
        <v>21255898204</v>
      </c>
      <c r="V14" s="49">
        <f t="shared" si="2"/>
        <v>24786763004</v>
      </c>
      <c r="W14" s="49">
        <f t="shared" si="2"/>
        <v>20342568466</v>
      </c>
      <c r="X14" s="49">
        <f t="shared" si="2"/>
        <v>18799788526</v>
      </c>
      <c r="Y14" s="49">
        <f t="shared" si="2"/>
        <v>21090549661</v>
      </c>
      <c r="Z14" s="49">
        <f t="shared" si="2"/>
        <v>18981970650</v>
      </c>
      <c r="AA14" s="49">
        <f t="shared" si="2"/>
        <v>19580044034</v>
      </c>
      <c r="AB14" s="49">
        <f t="shared" si="2"/>
        <v>20434228219</v>
      </c>
      <c r="AC14" s="49">
        <f t="shared" si="2"/>
        <v>21724783763</v>
      </c>
      <c r="AD14" s="49">
        <f t="shared" si="2"/>
        <v>20206816726</v>
      </c>
      <c r="AE14" s="49">
        <f t="shared" si="2"/>
        <v>19710256927</v>
      </c>
      <c r="AF14" s="49">
        <f t="shared" si="2"/>
        <v>20190598744</v>
      </c>
      <c r="AG14" s="49">
        <f t="shared" si="2"/>
        <v>21255898204</v>
      </c>
      <c r="AH14" s="49">
        <f t="shared" si="2"/>
        <v>24786763004</v>
      </c>
      <c r="AI14" s="49">
        <f t="shared" si="2"/>
        <v>20342568466</v>
      </c>
      <c r="AJ14" s="49">
        <f t="shared" si="2"/>
        <v>18799788526</v>
      </c>
      <c r="AK14" s="49">
        <f t="shared" si="2"/>
        <v>21090549661</v>
      </c>
      <c r="AL14" s="49">
        <f t="shared" si="2"/>
        <v>18981970650</v>
      </c>
      <c r="AM14" s="49">
        <f t="shared" si="2"/>
        <v>19580044034</v>
      </c>
      <c r="AN14" s="49">
        <f t="shared" si="2"/>
        <v>20434228219</v>
      </c>
      <c r="AO14" s="49">
        <f t="shared" si="2"/>
        <v>21724783763</v>
      </c>
      <c r="AP14" s="49">
        <f t="shared" si="2"/>
        <v>20206816726</v>
      </c>
      <c r="AQ14" s="49">
        <f t="shared" si="2"/>
        <v>19710256927</v>
      </c>
      <c r="AR14" s="49">
        <f t="shared" si="2"/>
        <v>20190598744</v>
      </c>
      <c r="AS14" s="49">
        <f t="shared" si="2"/>
        <v>21255898204</v>
      </c>
      <c r="AT14" s="49">
        <f t="shared" si="2"/>
        <v>24786763004</v>
      </c>
      <c r="AU14" s="49">
        <f t="shared" si="2"/>
        <v>20342568466</v>
      </c>
      <c r="AV14" s="49">
        <f t="shared" si="2"/>
        <v>18799788526</v>
      </c>
      <c r="AW14" s="49">
        <f t="shared" si="2"/>
        <v>21090549661</v>
      </c>
      <c r="AX14" s="49">
        <f t="shared" si="2"/>
        <v>18981970650</v>
      </c>
      <c r="AY14" s="49">
        <f t="shared" si="2"/>
        <v>19580044034</v>
      </c>
      <c r="AZ14" s="49">
        <f t="shared" si="2"/>
        <v>20434228219</v>
      </c>
      <c r="BA14" s="49">
        <f t="shared" si="2"/>
        <v>21724783763</v>
      </c>
      <c r="BB14" s="49">
        <f t="shared" si="2"/>
        <v>20206816726</v>
      </c>
      <c r="BC14" s="49">
        <f t="shared" si="2"/>
        <v>19710256927</v>
      </c>
      <c r="BD14" s="49">
        <f t="shared" si="2"/>
        <v>20190598744</v>
      </c>
      <c r="BE14" s="49">
        <f t="shared" si="2"/>
        <v>21255898204</v>
      </c>
      <c r="BF14" s="49">
        <f t="shared" si="2"/>
        <v>24786763004</v>
      </c>
      <c r="BG14" s="49">
        <f t="shared" si="2"/>
        <v>20342568466</v>
      </c>
      <c r="BH14" s="49">
        <f t="shared" si="2"/>
        <v>18799788526</v>
      </c>
      <c r="BI14" s="49">
        <f t="shared" si="2"/>
        <v>21090549661</v>
      </c>
    </row>
    <row r="15">
      <c r="A15" s="47" t="s">
        <v>247</v>
      </c>
    </row>
    <row r="16">
      <c r="A16" s="22" t="s">
        <v>248</v>
      </c>
      <c r="B16" s="50">
        <f t="shared" ref="B16:E16" si="3">1</f>
        <v>1</v>
      </c>
      <c r="C16" s="50">
        <f t="shared" si="3"/>
        <v>1</v>
      </c>
      <c r="D16" s="50">
        <f t="shared" si="3"/>
        <v>1</v>
      </c>
      <c r="E16" s="50">
        <f t="shared" si="3"/>
        <v>1</v>
      </c>
      <c r="F16" s="50">
        <f>1+Parametros!$B$13*Parametros!$B$11*Parametros!$B$12</f>
        <v>1.022847</v>
      </c>
      <c r="G16" s="50">
        <f>1+Parametros!$B$11*Parametros!$B$12</f>
        <v>1.0341</v>
      </c>
      <c r="H16" s="50">
        <f>1+Parametros!$B$11*Parametros!$B$12</f>
        <v>1.0341</v>
      </c>
      <c r="I16" s="50">
        <f>1+Parametros!$B$11*Parametros!$B$12</f>
        <v>1.0341</v>
      </c>
      <c r="J16" s="50">
        <f>1+Parametros!$B$11*Parametros!$B$12</f>
        <v>1.0341</v>
      </c>
      <c r="K16" s="50">
        <f>1+Parametros!$B$11*Parametros!$B$12</f>
        <v>1.0341</v>
      </c>
      <c r="L16" s="50">
        <f>1+Parametros!$B$11*Parametros!$B$12</f>
        <v>1.0341</v>
      </c>
      <c r="M16" s="50">
        <f>1+Parametros!$B$11*Parametros!$B$12</f>
        <v>1.0341</v>
      </c>
      <c r="N16" s="50">
        <f>1+Parametros!$B$11*Parametros!$B$12</f>
        <v>1.0341</v>
      </c>
      <c r="O16" s="50">
        <f>1+Parametros!$B$11*Parametros!$B$12</f>
        <v>1.0341</v>
      </c>
      <c r="P16" s="50">
        <f>1+Parametros!$B$11*Parametros!$B$12</f>
        <v>1.0341</v>
      </c>
      <c r="Q16" s="50">
        <f>1+Parametros!$B$11*Parametros!$B$12</f>
        <v>1.0341</v>
      </c>
      <c r="R16" s="50">
        <f>1+Parametros!$B$11*Parametros!$B$12</f>
        <v>1.0341</v>
      </c>
      <c r="S16" s="50">
        <f>1+Parametros!$B$11*Parametros!$B$12</f>
        <v>1.0341</v>
      </c>
      <c r="T16" s="50">
        <f>1+Parametros!$B$11*Parametros!$B$12</f>
        <v>1.0341</v>
      </c>
      <c r="U16" s="50">
        <f>1+Parametros!$B$11*Parametros!$B$12</f>
        <v>1.0341</v>
      </c>
      <c r="V16" s="50">
        <f>1+Parametros!$B$11*Parametros!$B$12</f>
        <v>1.0341</v>
      </c>
      <c r="W16" s="50">
        <f>1+Parametros!$B$11*Parametros!$B$12</f>
        <v>1.0341</v>
      </c>
      <c r="X16" s="50">
        <f>1+Parametros!$B$11*Parametros!$B$12</f>
        <v>1.0341</v>
      </c>
      <c r="Y16" s="50">
        <f>1+Parametros!$B$11*Parametros!$B$12</f>
        <v>1.0341</v>
      </c>
      <c r="Z16" s="50">
        <f>1+Parametros!$B$11*Parametros!$B$12</f>
        <v>1.0341</v>
      </c>
      <c r="AA16" s="50">
        <f>1+Parametros!$B$11*Parametros!$B$12</f>
        <v>1.0341</v>
      </c>
      <c r="AB16" s="50">
        <f>1+Parametros!$B$11*Parametros!$B$12</f>
        <v>1.0341</v>
      </c>
      <c r="AC16" s="50">
        <f>1+Parametros!$B$11*Parametros!$B$12</f>
        <v>1.0341</v>
      </c>
      <c r="AD16" s="50">
        <f>1+Parametros!$B$11*Parametros!$B$12</f>
        <v>1.0341</v>
      </c>
      <c r="AE16" s="50">
        <f>1+Parametros!$B$11*Parametros!$B$12</f>
        <v>1.0341</v>
      </c>
      <c r="AF16" s="50">
        <f>1+Parametros!$B$11*Parametros!$B$12</f>
        <v>1.0341</v>
      </c>
      <c r="AG16" s="50">
        <f>1+Parametros!$B$11*Parametros!$B$12</f>
        <v>1.0341</v>
      </c>
      <c r="AH16" s="50">
        <f>1+Parametros!$B$11*Parametros!$B$12</f>
        <v>1.0341</v>
      </c>
      <c r="AI16" s="50">
        <f>1+Parametros!$B$11*Parametros!$B$12</f>
        <v>1.0341</v>
      </c>
      <c r="AJ16" s="50">
        <f>1+Parametros!$B$11*Parametros!$B$12</f>
        <v>1.0341</v>
      </c>
      <c r="AK16" s="50">
        <f>1+Parametros!$B$11*Parametros!$B$12</f>
        <v>1.0341</v>
      </c>
      <c r="AL16" s="50">
        <f>1+Parametros!$B$11*Parametros!$B$12</f>
        <v>1.0341</v>
      </c>
      <c r="AM16" s="50">
        <f>1+Parametros!$B$11*Parametros!$B$12</f>
        <v>1.0341</v>
      </c>
      <c r="AN16" s="50">
        <f>1+Parametros!$B$11*Parametros!$B$12</f>
        <v>1.0341</v>
      </c>
      <c r="AO16" s="50">
        <f>1+Parametros!$B$11*Parametros!$B$12</f>
        <v>1.0341</v>
      </c>
      <c r="AP16" s="50">
        <f>1+Parametros!$B$11*Parametros!$B$12</f>
        <v>1.0341</v>
      </c>
      <c r="AQ16" s="50">
        <f>1+Parametros!$B$11*Parametros!$B$12</f>
        <v>1.0341</v>
      </c>
      <c r="AR16" s="50">
        <f>1+Parametros!$B$11*Parametros!$B$12</f>
        <v>1.0341</v>
      </c>
      <c r="AS16" s="50">
        <f>1+Parametros!$B$11*Parametros!$B$12</f>
        <v>1.0341</v>
      </c>
      <c r="AT16" s="50">
        <f>1+Parametros!$B$11*Parametros!$B$12</f>
        <v>1.0341</v>
      </c>
      <c r="AU16" s="50">
        <f>1+Parametros!$B$11*Parametros!$B$12</f>
        <v>1.0341</v>
      </c>
      <c r="AV16" s="50">
        <f>1+Parametros!$B$11*Parametros!$B$12</f>
        <v>1.0341</v>
      </c>
      <c r="AW16" s="50">
        <f>1+Parametros!$B$11*Parametros!$B$12</f>
        <v>1.0341</v>
      </c>
      <c r="AX16" s="50">
        <f>1+Parametros!$B$11*Parametros!$B$12</f>
        <v>1.0341</v>
      </c>
      <c r="AY16" s="50">
        <f>1+Parametros!$B$11*Parametros!$B$12</f>
        <v>1.0341</v>
      </c>
      <c r="AZ16" s="50">
        <f>1+Parametros!$B$11*Parametros!$B$12</f>
        <v>1.0341</v>
      </c>
      <c r="BA16" s="50">
        <f>1+Parametros!$B$11*Parametros!$B$12</f>
        <v>1.0341</v>
      </c>
      <c r="BB16" s="50">
        <f>1+Parametros!$B$11*Parametros!$B$12</f>
        <v>1.0341</v>
      </c>
      <c r="BC16" s="50">
        <f>1+Parametros!$B$11*Parametros!$B$12</f>
        <v>1.0341</v>
      </c>
      <c r="BD16" s="50">
        <f>1+Parametros!$B$11*Parametros!$B$12</f>
        <v>1.0341</v>
      </c>
      <c r="BE16" s="50">
        <f>1+Parametros!$B$11*Parametros!$B$12</f>
        <v>1.0341</v>
      </c>
      <c r="BF16" s="50">
        <f>1+Parametros!$B$11*Parametros!$B$12</f>
        <v>1.0341</v>
      </c>
      <c r="BG16" s="50">
        <f>1+Parametros!$B$11*Parametros!$B$12</f>
        <v>1.0341</v>
      </c>
      <c r="BH16" s="50">
        <f>1+Parametros!$B$11*Parametros!$B$12</f>
        <v>1.0341</v>
      </c>
      <c r="BI16" s="50">
        <f>1+Parametros!$B$11*Parametros!$B$12</f>
        <v>1.0341</v>
      </c>
    </row>
    <row r="17">
      <c r="A17" s="22" t="s">
        <v>249</v>
      </c>
      <c r="B17" s="49">
        <f t="shared" ref="B17:BI17" si="4">B9*B16</f>
        <v>44132682300</v>
      </c>
      <c r="C17" s="49">
        <f t="shared" si="4"/>
        <v>45499010600</v>
      </c>
      <c r="D17" s="49">
        <f t="shared" si="4"/>
        <v>47305905850</v>
      </c>
      <c r="E17" s="49">
        <f t="shared" si="4"/>
        <v>50210031400</v>
      </c>
      <c r="F17" s="49">
        <f t="shared" si="4"/>
        <v>47968778109</v>
      </c>
      <c r="G17" s="49">
        <f t="shared" si="4"/>
        <v>47382614840</v>
      </c>
      <c r="H17" s="49">
        <f t="shared" si="4"/>
        <v>48337467310</v>
      </c>
      <c r="I17" s="49">
        <f t="shared" si="4"/>
        <v>50938902785</v>
      </c>
      <c r="J17" s="49">
        <f t="shared" si="4"/>
        <v>59299765965</v>
      </c>
      <c r="K17" s="49">
        <f t="shared" si="4"/>
        <v>48740394655</v>
      </c>
      <c r="L17" s="49">
        <f t="shared" si="4"/>
        <v>45103798038</v>
      </c>
      <c r="M17" s="49">
        <f t="shared" si="4"/>
        <v>50534429099</v>
      </c>
      <c r="N17" s="49">
        <f t="shared" si="4"/>
        <v>45637606766</v>
      </c>
      <c r="O17" s="49">
        <f t="shared" si="4"/>
        <v>47050526861</v>
      </c>
      <c r="P17" s="49">
        <f t="shared" si="4"/>
        <v>48919037239</v>
      </c>
      <c r="Q17" s="49">
        <f t="shared" si="4"/>
        <v>51922193471</v>
      </c>
      <c r="R17" s="49">
        <f t="shared" si="4"/>
        <v>48496513597</v>
      </c>
      <c r="S17" s="49">
        <f t="shared" si="4"/>
        <v>47382614840</v>
      </c>
      <c r="T17" s="49">
        <f t="shared" si="4"/>
        <v>48337467310</v>
      </c>
      <c r="U17" s="49">
        <f t="shared" si="4"/>
        <v>50938902785</v>
      </c>
      <c r="V17" s="49">
        <f t="shared" si="4"/>
        <v>59299765965</v>
      </c>
      <c r="W17" s="49">
        <f t="shared" si="4"/>
        <v>48740394655</v>
      </c>
      <c r="X17" s="49">
        <f t="shared" si="4"/>
        <v>45103798038</v>
      </c>
      <c r="Y17" s="49">
        <f t="shared" si="4"/>
        <v>50534429099</v>
      </c>
      <c r="Z17" s="49">
        <f t="shared" si="4"/>
        <v>45637606766</v>
      </c>
      <c r="AA17" s="49">
        <f t="shared" si="4"/>
        <v>47050526861</v>
      </c>
      <c r="AB17" s="49">
        <f t="shared" si="4"/>
        <v>48919037239</v>
      </c>
      <c r="AC17" s="49">
        <f t="shared" si="4"/>
        <v>51922193471</v>
      </c>
      <c r="AD17" s="49">
        <f t="shared" si="4"/>
        <v>48496513597</v>
      </c>
      <c r="AE17" s="49">
        <f t="shared" si="4"/>
        <v>47382614840</v>
      </c>
      <c r="AF17" s="49">
        <f t="shared" si="4"/>
        <v>48337467310</v>
      </c>
      <c r="AG17" s="49">
        <f t="shared" si="4"/>
        <v>50938902785</v>
      </c>
      <c r="AH17" s="49">
        <f t="shared" si="4"/>
        <v>59299765965</v>
      </c>
      <c r="AI17" s="49">
        <f t="shared" si="4"/>
        <v>48740394655</v>
      </c>
      <c r="AJ17" s="49">
        <f t="shared" si="4"/>
        <v>45103798038</v>
      </c>
      <c r="AK17" s="49">
        <f t="shared" si="4"/>
        <v>50534429099</v>
      </c>
      <c r="AL17" s="49">
        <f t="shared" si="4"/>
        <v>45637606766</v>
      </c>
      <c r="AM17" s="49">
        <f t="shared" si="4"/>
        <v>47050526861</v>
      </c>
      <c r="AN17" s="49">
        <f t="shared" si="4"/>
        <v>48919037239</v>
      </c>
      <c r="AO17" s="49">
        <f t="shared" si="4"/>
        <v>51922193471</v>
      </c>
      <c r="AP17" s="49">
        <f t="shared" si="4"/>
        <v>48496513597</v>
      </c>
      <c r="AQ17" s="49">
        <f t="shared" si="4"/>
        <v>47382614840</v>
      </c>
      <c r="AR17" s="49">
        <f t="shared" si="4"/>
        <v>48337467310</v>
      </c>
      <c r="AS17" s="49">
        <f t="shared" si="4"/>
        <v>50938902785</v>
      </c>
      <c r="AT17" s="49">
        <f t="shared" si="4"/>
        <v>59299765965</v>
      </c>
      <c r="AU17" s="49">
        <f t="shared" si="4"/>
        <v>48740394655</v>
      </c>
      <c r="AV17" s="49">
        <f t="shared" si="4"/>
        <v>45103798038</v>
      </c>
      <c r="AW17" s="49">
        <f t="shared" si="4"/>
        <v>50534429099</v>
      </c>
      <c r="AX17" s="49">
        <f t="shared" si="4"/>
        <v>45637606766</v>
      </c>
      <c r="AY17" s="49">
        <f t="shared" si="4"/>
        <v>47050526861</v>
      </c>
      <c r="AZ17" s="49">
        <f t="shared" si="4"/>
        <v>48919037239</v>
      </c>
      <c r="BA17" s="49">
        <f t="shared" si="4"/>
        <v>51922193471</v>
      </c>
      <c r="BB17" s="49">
        <f t="shared" si="4"/>
        <v>48496513597</v>
      </c>
      <c r="BC17" s="49">
        <f t="shared" si="4"/>
        <v>47382614840</v>
      </c>
      <c r="BD17" s="49">
        <f t="shared" si="4"/>
        <v>48337467310</v>
      </c>
      <c r="BE17" s="49">
        <f t="shared" si="4"/>
        <v>50938902785</v>
      </c>
      <c r="BF17" s="49">
        <f t="shared" si="4"/>
        <v>59299765965</v>
      </c>
      <c r="BG17" s="49">
        <f t="shared" si="4"/>
        <v>48740394655</v>
      </c>
      <c r="BH17" s="49">
        <f t="shared" si="4"/>
        <v>45103798038</v>
      </c>
      <c r="BI17" s="49">
        <f t="shared" si="4"/>
        <v>50534429099</v>
      </c>
    </row>
    <row r="18">
      <c r="A18" s="22" t="s">
        <v>250</v>
      </c>
      <c r="B18" s="49">
        <f t="shared" ref="B18:BI18" si="5">B10*B16</f>
        <v>24814796268</v>
      </c>
      <c r="C18" s="49">
        <f t="shared" si="5"/>
        <v>25583051184</v>
      </c>
      <c r="D18" s="49">
        <f t="shared" si="5"/>
        <v>26535762249</v>
      </c>
      <c r="E18" s="49">
        <f t="shared" si="5"/>
        <v>28149332255</v>
      </c>
      <c r="F18" s="49">
        <f t="shared" si="5"/>
        <v>26956706201</v>
      </c>
      <c r="G18" s="49">
        <f t="shared" si="5"/>
        <v>26652868055</v>
      </c>
      <c r="H18" s="49">
        <f t="shared" si="5"/>
        <v>27110999053</v>
      </c>
      <c r="I18" s="49">
        <f t="shared" si="5"/>
        <v>28610808356</v>
      </c>
      <c r="J18" s="49">
        <f t="shared" si="5"/>
        <v>33320404247</v>
      </c>
      <c r="K18" s="49">
        <f t="shared" si="5"/>
        <v>27356774508</v>
      </c>
      <c r="L18" s="49">
        <f t="shared" si="5"/>
        <v>25315566628</v>
      </c>
      <c r="M18" s="49">
        <f t="shared" si="5"/>
        <v>28377321598</v>
      </c>
      <c r="N18" s="49">
        <f t="shared" si="5"/>
        <v>25660980821</v>
      </c>
      <c r="O18" s="49">
        <f t="shared" si="5"/>
        <v>26455433230</v>
      </c>
      <c r="P18" s="49">
        <f t="shared" si="5"/>
        <v>27440631742</v>
      </c>
      <c r="Q18" s="49">
        <f t="shared" si="5"/>
        <v>29109224485</v>
      </c>
      <c r="R18" s="49">
        <f t="shared" si="5"/>
        <v>27253274324</v>
      </c>
      <c r="S18" s="49">
        <f t="shared" si="5"/>
        <v>26652868055</v>
      </c>
      <c r="T18" s="49">
        <f t="shared" si="5"/>
        <v>27110999053</v>
      </c>
      <c r="U18" s="49">
        <f t="shared" si="5"/>
        <v>28610808356</v>
      </c>
      <c r="V18" s="49">
        <f t="shared" si="5"/>
        <v>33320404247</v>
      </c>
      <c r="W18" s="49">
        <f t="shared" si="5"/>
        <v>27356774508</v>
      </c>
      <c r="X18" s="49">
        <f t="shared" si="5"/>
        <v>25315566628</v>
      </c>
      <c r="Y18" s="49">
        <f t="shared" si="5"/>
        <v>28377321598</v>
      </c>
      <c r="Z18" s="49">
        <f t="shared" si="5"/>
        <v>25660980821</v>
      </c>
      <c r="AA18" s="49">
        <f t="shared" si="5"/>
        <v>26455433230</v>
      </c>
      <c r="AB18" s="49">
        <f t="shared" si="5"/>
        <v>27440631742</v>
      </c>
      <c r="AC18" s="49">
        <f t="shared" si="5"/>
        <v>29109224485</v>
      </c>
      <c r="AD18" s="49">
        <f t="shared" si="5"/>
        <v>27253274324</v>
      </c>
      <c r="AE18" s="49">
        <f t="shared" si="5"/>
        <v>26652868055</v>
      </c>
      <c r="AF18" s="49">
        <f t="shared" si="5"/>
        <v>27110999053</v>
      </c>
      <c r="AG18" s="49">
        <f t="shared" si="5"/>
        <v>28610808356</v>
      </c>
      <c r="AH18" s="49">
        <f t="shared" si="5"/>
        <v>33320404247</v>
      </c>
      <c r="AI18" s="49">
        <f t="shared" si="5"/>
        <v>27356774508</v>
      </c>
      <c r="AJ18" s="49">
        <f t="shared" si="5"/>
        <v>25315566628</v>
      </c>
      <c r="AK18" s="49">
        <f t="shared" si="5"/>
        <v>28377321598</v>
      </c>
      <c r="AL18" s="49">
        <f t="shared" si="5"/>
        <v>25660980821</v>
      </c>
      <c r="AM18" s="49">
        <f t="shared" si="5"/>
        <v>26455433230</v>
      </c>
      <c r="AN18" s="49">
        <f t="shared" si="5"/>
        <v>27440631742</v>
      </c>
      <c r="AO18" s="49">
        <f t="shared" si="5"/>
        <v>29109224485</v>
      </c>
      <c r="AP18" s="49">
        <f t="shared" si="5"/>
        <v>27253274324</v>
      </c>
      <c r="AQ18" s="49">
        <f t="shared" si="5"/>
        <v>26652868055</v>
      </c>
      <c r="AR18" s="49">
        <f t="shared" si="5"/>
        <v>27110999053</v>
      </c>
      <c r="AS18" s="49">
        <f t="shared" si="5"/>
        <v>28610808356</v>
      </c>
      <c r="AT18" s="49">
        <f t="shared" si="5"/>
        <v>33320404247</v>
      </c>
      <c r="AU18" s="49">
        <f t="shared" si="5"/>
        <v>27356774508</v>
      </c>
      <c r="AV18" s="49">
        <f t="shared" si="5"/>
        <v>25315566628</v>
      </c>
      <c r="AW18" s="49">
        <f t="shared" si="5"/>
        <v>28377321598</v>
      </c>
      <c r="AX18" s="49">
        <f t="shared" si="5"/>
        <v>25660980821</v>
      </c>
      <c r="AY18" s="49">
        <f t="shared" si="5"/>
        <v>26455433230</v>
      </c>
      <c r="AZ18" s="49">
        <f t="shared" si="5"/>
        <v>27440631742</v>
      </c>
      <c r="BA18" s="49">
        <f t="shared" si="5"/>
        <v>29109224485</v>
      </c>
      <c r="BB18" s="49">
        <f t="shared" si="5"/>
        <v>27253274324</v>
      </c>
      <c r="BC18" s="49">
        <f t="shared" si="5"/>
        <v>26652868055</v>
      </c>
      <c r="BD18" s="49">
        <f t="shared" si="5"/>
        <v>27110999053</v>
      </c>
      <c r="BE18" s="49">
        <f t="shared" si="5"/>
        <v>28610808356</v>
      </c>
      <c r="BF18" s="49">
        <f t="shared" si="5"/>
        <v>33320404247</v>
      </c>
      <c r="BG18" s="49">
        <f t="shared" si="5"/>
        <v>27356774508</v>
      </c>
      <c r="BH18" s="49">
        <f t="shared" si="5"/>
        <v>25315566628</v>
      </c>
      <c r="BI18" s="49">
        <f t="shared" si="5"/>
        <v>28377321598</v>
      </c>
    </row>
    <row r="19">
      <c r="A19" s="22" t="s">
        <v>251</v>
      </c>
      <c r="B19" s="49">
        <f>B18*Parametros!$B$14*0</f>
        <v>0</v>
      </c>
      <c r="C19" s="49">
        <f>C18*Parametros!$B$14*0</f>
        <v>0</v>
      </c>
      <c r="D19" s="49">
        <f>D18*Parametros!$B$14*0</f>
        <v>0</v>
      </c>
      <c r="E19" s="49">
        <f>E18*Parametros!$B$14*0</f>
        <v>0</v>
      </c>
      <c r="F19" s="49">
        <f>F18*Parametros!$B$14*Parametros!$B$13</f>
        <v>7224397.262</v>
      </c>
      <c r="G19" s="49">
        <f>G18*Parametros!$B$14*1</f>
        <v>10661147.22</v>
      </c>
      <c r="H19" s="49">
        <f>H18*Parametros!$B$14*1</f>
        <v>10844399.62</v>
      </c>
      <c r="I19" s="49">
        <f>I18*Parametros!$B$14*1</f>
        <v>11444323.34</v>
      </c>
      <c r="J19" s="49">
        <f>J18*Parametros!$B$14*1</f>
        <v>13328161.7</v>
      </c>
      <c r="K19" s="49">
        <f>K18*Parametros!$B$14*1</f>
        <v>10942709.8</v>
      </c>
      <c r="L19" s="49">
        <f>L18*Parametros!$B$14*1</f>
        <v>10126226.65</v>
      </c>
      <c r="M19" s="49">
        <f>M18*Parametros!$B$14*1</f>
        <v>11350928.64</v>
      </c>
      <c r="N19" s="49">
        <f>N18*Parametros!$B$14*1</f>
        <v>10264392.33</v>
      </c>
      <c r="O19" s="49">
        <f>O18*Parametros!$B$14*1</f>
        <v>10582173.29</v>
      </c>
      <c r="P19" s="49">
        <f>P18*Parametros!$B$14*1</f>
        <v>10976252.7</v>
      </c>
      <c r="Q19" s="49">
        <f>Q18*Parametros!$B$14*1</f>
        <v>11643689.79</v>
      </c>
      <c r="R19" s="49">
        <f>R18*Parametros!$B$14*1</f>
        <v>10901309.73</v>
      </c>
      <c r="S19" s="49">
        <f>S18*Parametros!$B$14*1</f>
        <v>10661147.22</v>
      </c>
      <c r="T19" s="49">
        <f>T18*Parametros!$B$14*1</f>
        <v>10844399.62</v>
      </c>
      <c r="U19" s="49">
        <f>U18*Parametros!$B$14*1</f>
        <v>11444323.34</v>
      </c>
      <c r="V19" s="49">
        <f>V18*Parametros!$B$14*1</f>
        <v>13328161.7</v>
      </c>
      <c r="W19" s="49">
        <f>W18*Parametros!$B$14*1</f>
        <v>10942709.8</v>
      </c>
      <c r="X19" s="49">
        <f>X18*Parametros!$B$14*1</f>
        <v>10126226.65</v>
      </c>
      <c r="Y19" s="49">
        <f>Y18*Parametros!$B$14*1</f>
        <v>11350928.64</v>
      </c>
      <c r="Z19" s="49">
        <f>Z18*Parametros!$B$14*1</f>
        <v>10264392.33</v>
      </c>
      <c r="AA19" s="49">
        <f>AA18*Parametros!$B$14*1</f>
        <v>10582173.29</v>
      </c>
      <c r="AB19" s="49">
        <f>AB18*Parametros!$B$14*1</f>
        <v>10976252.7</v>
      </c>
      <c r="AC19" s="49">
        <f>AC18*Parametros!$B$14*1</f>
        <v>11643689.79</v>
      </c>
      <c r="AD19" s="49">
        <f>AD18*Parametros!$B$14*1</f>
        <v>10901309.73</v>
      </c>
      <c r="AE19" s="49">
        <f>AE18*Parametros!$B$14*1</f>
        <v>10661147.22</v>
      </c>
      <c r="AF19" s="49">
        <f>AF18*Parametros!$B$14*1</f>
        <v>10844399.62</v>
      </c>
      <c r="AG19" s="49">
        <f>AG18*Parametros!$B$14*1</f>
        <v>11444323.34</v>
      </c>
      <c r="AH19" s="49">
        <f>AH18*Parametros!$B$14*1</f>
        <v>13328161.7</v>
      </c>
      <c r="AI19" s="49">
        <f>AI18*Parametros!$B$14*1</f>
        <v>10942709.8</v>
      </c>
      <c r="AJ19" s="49">
        <f>AJ18*Parametros!$B$14*1</f>
        <v>10126226.65</v>
      </c>
      <c r="AK19" s="49">
        <f>AK18*Parametros!$B$14*1</f>
        <v>11350928.64</v>
      </c>
      <c r="AL19" s="49">
        <f>AL18*Parametros!$B$14*1</f>
        <v>10264392.33</v>
      </c>
      <c r="AM19" s="49">
        <f>AM18*Parametros!$B$14*1</f>
        <v>10582173.29</v>
      </c>
      <c r="AN19" s="49">
        <f>AN18*Parametros!$B$14*1</f>
        <v>10976252.7</v>
      </c>
      <c r="AO19" s="49">
        <f>AO18*Parametros!$B$14*1</f>
        <v>11643689.79</v>
      </c>
      <c r="AP19" s="49">
        <f>AP18*Parametros!$B$14*1</f>
        <v>10901309.73</v>
      </c>
      <c r="AQ19" s="49">
        <f>AQ18*Parametros!$B$14*1</f>
        <v>10661147.22</v>
      </c>
      <c r="AR19" s="49">
        <f>AR18*Parametros!$B$14*1</f>
        <v>10844399.62</v>
      </c>
      <c r="AS19" s="49">
        <f>AS18*Parametros!$B$14*1</f>
        <v>11444323.34</v>
      </c>
      <c r="AT19" s="49">
        <f>AT18*Parametros!$B$14*1</f>
        <v>13328161.7</v>
      </c>
      <c r="AU19" s="49">
        <f>AU18*Parametros!$B$14*1</f>
        <v>10942709.8</v>
      </c>
      <c r="AV19" s="49">
        <f>AV18*Parametros!$B$14*1</f>
        <v>10126226.65</v>
      </c>
      <c r="AW19" s="49">
        <f>AW18*Parametros!$B$14*1</f>
        <v>11350928.64</v>
      </c>
      <c r="AX19" s="49">
        <f>AX18*Parametros!$B$14*1</f>
        <v>10264392.33</v>
      </c>
      <c r="AY19" s="49">
        <f>AY18*Parametros!$B$14*1</f>
        <v>10582173.29</v>
      </c>
      <c r="AZ19" s="49">
        <f>AZ18*Parametros!$B$14*1</f>
        <v>10976252.7</v>
      </c>
      <c r="BA19" s="49">
        <f>BA18*Parametros!$B$14*1</f>
        <v>11643689.79</v>
      </c>
      <c r="BB19" s="49">
        <f>BB18*Parametros!$B$14*1</f>
        <v>10901309.73</v>
      </c>
      <c r="BC19" s="49">
        <f>BC18*Parametros!$B$14*1</f>
        <v>10661147.22</v>
      </c>
      <c r="BD19" s="49">
        <f>BD18*Parametros!$B$14*1</f>
        <v>10844399.62</v>
      </c>
      <c r="BE19" s="49">
        <f>BE18*Parametros!$B$14*1</f>
        <v>11444323.34</v>
      </c>
      <c r="BF19" s="49">
        <f>BF18*Parametros!$B$14*1</f>
        <v>13328161.7</v>
      </c>
      <c r="BG19" s="49">
        <f>BG18*Parametros!$B$14*1</f>
        <v>10942709.8</v>
      </c>
      <c r="BH19" s="49">
        <f>BH18*Parametros!$B$14*1</f>
        <v>10126226.65</v>
      </c>
      <c r="BI19" s="49">
        <f>BI18*Parametros!$B$14*1</f>
        <v>11350928.64</v>
      </c>
    </row>
    <row r="20">
      <c r="A20" s="22" t="s">
        <v>252</v>
      </c>
      <c r="B20" s="49">
        <f>Parametros!$B$15*0</f>
        <v>0</v>
      </c>
      <c r="C20" s="49">
        <f>Parametros!$B$15*0</f>
        <v>0</v>
      </c>
      <c r="D20" s="49">
        <f>Parametros!$B$15*0</f>
        <v>0</v>
      </c>
      <c r="E20" s="49">
        <f>Parametros!$B$15*0</f>
        <v>0</v>
      </c>
      <c r="F20" s="49">
        <f>Parametros!$B$15*Parametros!$B$13</f>
        <v>56950000</v>
      </c>
      <c r="G20" s="49">
        <f>Parametros!$B$15*1</f>
        <v>85000000</v>
      </c>
      <c r="H20" s="49">
        <f>Parametros!$B$15*1</f>
        <v>85000000</v>
      </c>
      <c r="I20" s="49">
        <f>Parametros!$B$15*1</f>
        <v>85000000</v>
      </c>
      <c r="J20" s="49">
        <f>Parametros!$B$15*1</f>
        <v>85000000</v>
      </c>
      <c r="K20" s="49">
        <f>Parametros!$B$15*1</f>
        <v>85000000</v>
      </c>
      <c r="L20" s="49">
        <f>Parametros!$B$15*1</f>
        <v>85000000</v>
      </c>
      <c r="M20" s="49">
        <f>Parametros!$B$15*1</f>
        <v>85000000</v>
      </c>
      <c r="N20" s="49">
        <f>Parametros!$B$15*1</f>
        <v>85000000</v>
      </c>
      <c r="O20" s="49">
        <f>Parametros!$B$15*1</f>
        <v>85000000</v>
      </c>
      <c r="P20" s="49">
        <f>Parametros!$B$15*1</f>
        <v>85000000</v>
      </c>
      <c r="Q20" s="49">
        <f>Parametros!$B$15*1</f>
        <v>85000000</v>
      </c>
      <c r="R20" s="49">
        <f>Parametros!$B$15*1</f>
        <v>85000000</v>
      </c>
      <c r="S20" s="49">
        <f>Parametros!$B$15*1</f>
        <v>85000000</v>
      </c>
      <c r="T20" s="49">
        <f>Parametros!$B$15*1</f>
        <v>85000000</v>
      </c>
      <c r="U20" s="49">
        <f>Parametros!$B$15*1</f>
        <v>85000000</v>
      </c>
      <c r="V20" s="49">
        <f>Parametros!$B$15*1</f>
        <v>85000000</v>
      </c>
      <c r="W20" s="49">
        <f>Parametros!$B$15*1</f>
        <v>85000000</v>
      </c>
      <c r="X20" s="49">
        <f>Parametros!$B$15*1</f>
        <v>85000000</v>
      </c>
      <c r="Y20" s="49">
        <f>Parametros!$B$15*1</f>
        <v>85000000</v>
      </c>
      <c r="Z20" s="49">
        <f>Parametros!$B$15*1</f>
        <v>85000000</v>
      </c>
      <c r="AA20" s="49">
        <f>Parametros!$B$15*1</f>
        <v>85000000</v>
      </c>
      <c r="AB20" s="49">
        <f>Parametros!$B$15*1</f>
        <v>85000000</v>
      </c>
      <c r="AC20" s="49">
        <f>Parametros!$B$15*1</f>
        <v>85000000</v>
      </c>
      <c r="AD20" s="49">
        <f>Parametros!$B$15*1</f>
        <v>85000000</v>
      </c>
      <c r="AE20" s="49">
        <f>Parametros!$B$15*1</f>
        <v>85000000</v>
      </c>
      <c r="AF20" s="49">
        <f>Parametros!$B$15*1</f>
        <v>85000000</v>
      </c>
      <c r="AG20" s="49">
        <f>Parametros!$B$15*1</f>
        <v>85000000</v>
      </c>
      <c r="AH20" s="49">
        <f>Parametros!$B$15*1</f>
        <v>85000000</v>
      </c>
      <c r="AI20" s="49">
        <f>Parametros!$B$15*1</f>
        <v>85000000</v>
      </c>
      <c r="AJ20" s="49">
        <f>Parametros!$B$15*1</f>
        <v>85000000</v>
      </c>
      <c r="AK20" s="49">
        <f>Parametros!$B$15*1</f>
        <v>85000000</v>
      </c>
      <c r="AL20" s="49">
        <f>Parametros!$B$15*1</f>
        <v>85000000</v>
      </c>
      <c r="AM20" s="49">
        <f>Parametros!$B$15*1</f>
        <v>85000000</v>
      </c>
      <c r="AN20" s="49">
        <f>Parametros!$B$15*1</f>
        <v>85000000</v>
      </c>
      <c r="AO20" s="49">
        <f>Parametros!$B$15*1</f>
        <v>85000000</v>
      </c>
      <c r="AP20" s="49">
        <f>Parametros!$B$15*1</f>
        <v>85000000</v>
      </c>
      <c r="AQ20" s="49">
        <f>Parametros!$B$15*1</f>
        <v>85000000</v>
      </c>
      <c r="AR20" s="49">
        <f>Parametros!$B$15*1</f>
        <v>85000000</v>
      </c>
      <c r="AS20" s="49">
        <f>Parametros!$B$15*1</f>
        <v>85000000</v>
      </c>
      <c r="AT20" s="49">
        <f>Parametros!$B$15*1</f>
        <v>85000000</v>
      </c>
      <c r="AU20" s="49">
        <f>Parametros!$B$15*1</f>
        <v>85000000</v>
      </c>
      <c r="AV20" s="49">
        <f>Parametros!$B$15*1</f>
        <v>85000000</v>
      </c>
      <c r="AW20" s="49">
        <f>Parametros!$B$15*1</f>
        <v>85000000</v>
      </c>
      <c r="AX20" s="49">
        <f>Parametros!$B$15*1</f>
        <v>85000000</v>
      </c>
      <c r="AY20" s="49">
        <f>Parametros!$B$15*1</f>
        <v>85000000</v>
      </c>
      <c r="AZ20" s="49">
        <f>Parametros!$B$15*1</f>
        <v>85000000</v>
      </c>
      <c r="BA20" s="49">
        <f>Parametros!$B$15*1</f>
        <v>85000000</v>
      </c>
      <c r="BB20" s="49">
        <f>Parametros!$B$15*1</f>
        <v>85000000</v>
      </c>
      <c r="BC20" s="49">
        <f>Parametros!$B$15*1</f>
        <v>85000000</v>
      </c>
      <c r="BD20" s="49">
        <f>Parametros!$B$15*1</f>
        <v>85000000</v>
      </c>
      <c r="BE20" s="49">
        <f>Parametros!$B$15*1</f>
        <v>85000000</v>
      </c>
      <c r="BF20" s="49">
        <f>Parametros!$B$15*1</f>
        <v>85000000</v>
      </c>
      <c r="BG20" s="49">
        <f>Parametros!$B$15*1</f>
        <v>85000000</v>
      </c>
      <c r="BH20" s="49">
        <f>Parametros!$B$15*1</f>
        <v>85000000</v>
      </c>
      <c r="BI20" s="49">
        <f>Parametros!$B$15*1</f>
        <v>85000000</v>
      </c>
    </row>
    <row r="21">
      <c r="A21" s="22" t="s">
        <v>253</v>
      </c>
      <c r="B21" s="49">
        <f>Parametros!$B$25</f>
        <v>250000000</v>
      </c>
      <c r="C21" s="49">
        <f>Parametros!$B$25</f>
        <v>250000000</v>
      </c>
      <c r="D21" s="49">
        <f>Parametros!$B$25</f>
        <v>250000000</v>
      </c>
      <c r="E21" s="49">
        <f>Parametros!$B$25</f>
        <v>250000000</v>
      </c>
      <c r="F21" s="49">
        <f>Parametros!$B$26</f>
        <v>280000000</v>
      </c>
      <c r="G21" s="49">
        <f>Parametros!$B$26</f>
        <v>280000000</v>
      </c>
      <c r="H21" s="49">
        <f>Parametros!$B$26</f>
        <v>280000000</v>
      </c>
      <c r="I21" s="49">
        <f>Parametros!$B$26</f>
        <v>280000000</v>
      </c>
      <c r="J21" s="49">
        <f>Parametros!$B$26</f>
        <v>280000000</v>
      </c>
      <c r="K21" s="49">
        <f>Parametros!$B$26</f>
        <v>280000000</v>
      </c>
      <c r="L21" s="49">
        <f>Parametros!$B$26</f>
        <v>280000000</v>
      </c>
      <c r="M21" s="49">
        <f>Parametros!$B$26</f>
        <v>280000000</v>
      </c>
      <c r="N21" s="49">
        <f>Parametros!$B$26</f>
        <v>280000000</v>
      </c>
      <c r="O21" s="49">
        <f>Parametros!$B$26</f>
        <v>280000000</v>
      </c>
      <c r="P21" s="49">
        <f>Parametros!$B$26</f>
        <v>280000000</v>
      </c>
      <c r="Q21" s="49">
        <f>Parametros!$B$26</f>
        <v>280000000</v>
      </c>
      <c r="R21" s="49">
        <f>Parametros!$B$26</f>
        <v>280000000</v>
      </c>
      <c r="S21" s="49">
        <f>Parametros!$B$26</f>
        <v>280000000</v>
      </c>
      <c r="T21" s="49">
        <f>Parametros!$B$26</f>
        <v>280000000</v>
      </c>
      <c r="U21" s="49">
        <f>Parametros!$B$26</f>
        <v>280000000</v>
      </c>
      <c r="V21" s="49">
        <f>Parametros!$B$26</f>
        <v>280000000</v>
      </c>
      <c r="W21" s="49">
        <f>Parametros!$B$26</f>
        <v>280000000</v>
      </c>
      <c r="X21" s="49">
        <f>Parametros!$B$26</f>
        <v>280000000</v>
      </c>
      <c r="Y21" s="49">
        <f>Parametros!$B$26</f>
        <v>280000000</v>
      </c>
      <c r="Z21" s="49">
        <f>Parametros!$B$26</f>
        <v>280000000</v>
      </c>
      <c r="AA21" s="49">
        <f>Parametros!$B$26</f>
        <v>280000000</v>
      </c>
      <c r="AB21" s="49">
        <f>Parametros!$B$26</f>
        <v>280000000</v>
      </c>
      <c r="AC21" s="49">
        <f>Parametros!$B$26</f>
        <v>280000000</v>
      </c>
      <c r="AD21" s="49">
        <f>Parametros!$B$26</f>
        <v>280000000</v>
      </c>
      <c r="AE21" s="49">
        <f>Parametros!$B$26</f>
        <v>280000000</v>
      </c>
      <c r="AF21" s="49">
        <f>Parametros!$B$26</f>
        <v>280000000</v>
      </c>
      <c r="AG21" s="49">
        <f>Parametros!$B$26</f>
        <v>280000000</v>
      </c>
      <c r="AH21" s="49">
        <f>Parametros!$B$26</f>
        <v>280000000</v>
      </c>
      <c r="AI21" s="49">
        <f>Parametros!$B$26</f>
        <v>280000000</v>
      </c>
      <c r="AJ21" s="49">
        <f>Parametros!$B$26</f>
        <v>280000000</v>
      </c>
      <c r="AK21" s="49">
        <f>Parametros!$B$26</f>
        <v>280000000</v>
      </c>
      <c r="AL21" s="49">
        <f>Parametros!$B$26</f>
        <v>280000000</v>
      </c>
      <c r="AM21" s="49">
        <f>Parametros!$B$26</f>
        <v>280000000</v>
      </c>
      <c r="AN21" s="49">
        <f>Parametros!$B$26</f>
        <v>280000000</v>
      </c>
      <c r="AO21" s="49">
        <f>Parametros!$B$26</f>
        <v>280000000</v>
      </c>
      <c r="AP21" s="49">
        <f>Parametros!$B$26</f>
        <v>280000000</v>
      </c>
      <c r="AQ21" s="49">
        <f>Parametros!$B$26</f>
        <v>280000000</v>
      </c>
      <c r="AR21" s="49">
        <f>Parametros!$B$26</f>
        <v>280000000</v>
      </c>
      <c r="AS21" s="49">
        <f>Parametros!$B$26</f>
        <v>280000000</v>
      </c>
      <c r="AT21" s="49">
        <f>Parametros!$B$26</f>
        <v>280000000</v>
      </c>
      <c r="AU21" s="49">
        <f>Parametros!$B$26</f>
        <v>280000000</v>
      </c>
      <c r="AV21" s="49">
        <f>Parametros!$B$26</f>
        <v>280000000</v>
      </c>
      <c r="AW21" s="49">
        <f>Parametros!$B$26</f>
        <v>280000000</v>
      </c>
      <c r="AX21" s="49">
        <f>Parametros!$B$26</f>
        <v>280000000</v>
      </c>
      <c r="AY21" s="49">
        <f>Parametros!$B$26</f>
        <v>280000000</v>
      </c>
      <c r="AZ21" s="49">
        <f>Parametros!$B$26</f>
        <v>280000000</v>
      </c>
      <c r="BA21" s="49">
        <f>Parametros!$B$26</f>
        <v>280000000</v>
      </c>
      <c r="BB21" s="49">
        <f>Parametros!$B$26</f>
        <v>280000000</v>
      </c>
      <c r="BC21" s="49">
        <f>Parametros!$B$26</f>
        <v>280000000</v>
      </c>
      <c r="BD21" s="49">
        <f>Parametros!$B$26</f>
        <v>280000000</v>
      </c>
      <c r="BE21" s="49">
        <f>Parametros!$B$26</f>
        <v>280000000</v>
      </c>
      <c r="BF21" s="49">
        <f>Parametros!$B$26</f>
        <v>280000000</v>
      </c>
      <c r="BG21" s="49">
        <f>Parametros!$B$26</f>
        <v>280000000</v>
      </c>
      <c r="BH21" s="49">
        <f>Parametros!$B$26</f>
        <v>280000000</v>
      </c>
      <c r="BI21" s="49">
        <f>Parametros!$B$26</f>
        <v>280000000</v>
      </c>
    </row>
    <row r="22">
      <c r="A22" s="22" t="s">
        <v>254</v>
      </c>
      <c r="B22" s="49">
        <f>Licencias!$H$14</f>
        <v>0</v>
      </c>
      <c r="C22" s="49">
        <f>Licencias!$H$14</f>
        <v>0</v>
      </c>
      <c r="D22" s="49">
        <f>Licencias!$H$14</f>
        <v>0</v>
      </c>
      <c r="E22" s="49">
        <f>Licencias!$H$14</f>
        <v>0</v>
      </c>
      <c r="F22" s="49">
        <f>Licencias!$H$14</f>
        <v>0</v>
      </c>
      <c r="G22" s="49">
        <f>Licencias!$H$14</f>
        <v>0</v>
      </c>
      <c r="H22" s="49">
        <f>Licencias!$H$14</f>
        <v>0</v>
      </c>
      <c r="I22" s="49">
        <f>Licencias!$H$14</f>
        <v>0</v>
      </c>
      <c r="J22" s="49">
        <f>Licencias!$H$14</f>
        <v>0</v>
      </c>
      <c r="K22" s="49">
        <f>Licencias!$H$14</f>
        <v>0</v>
      </c>
      <c r="L22" s="49">
        <f>Licencias!$H$14</f>
        <v>0</v>
      </c>
      <c r="M22" s="49">
        <f>Licencias!$H$14</f>
        <v>0</v>
      </c>
      <c r="N22" s="49">
        <f>Licencias!$H$14</f>
        <v>0</v>
      </c>
      <c r="O22" s="49">
        <f>Licencias!$H$14</f>
        <v>0</v>
      </c>
      <c r="P22" s="49">
        <f>Licencias!$H$14</f>
        <v>0</v>
      </c>
      <c r="Q22" s="49">
        <f>Licencias!$H$14</f>
        <v>0</v>
      </c>
      <c r="R22" s="49">
        <f>Licencias!$H$14</f>
        <v>0</v>
      </c>
      <c r="S22" s="49">
        <f>Licencias!$H$14</f>
        <v>0</v>
      </c>
      <c r="T22" s="49">
        <f>Licencias!$H$14</f>
        <v>0</v>
      </c>
      <c r="U22" s="49">
        <f>Licencias!$H$14</f>
        <v>0</v>
      </c>
      <c r="V22" s="49">
        <f>Licencias!$H$14</f>
        <v>0</v>
      </c>
      <c r="W22" s="49">
        <f>Licencias!$H$14</f>
        <v>0</v>
      </c>
      <c r="X22" s="49">
        <f>Licencias!$H$14</f>
        <v>0</v>
      </c>
      <c r="Y22" s="49">
        <f>Licencias!$H$14</f>
        <v>0</v>
      </c>
      <c r="Z22" s="49">
        <f>Licencias!$H$14</f>
        <v>0</v>
      </c>
      <c r="AA22" s="49">
        <f>Licencias!$H$14</f>
        <v>0</v>
      </c>
      <c r="AB22" s="49">
        <f>Licencias!$H$14</f>
        <v>0</v>
      </c>
      <c r="AC22" s="49">
        <f>Licencias!$H$14</f>
        <v>0</v>
      </c>
      <c r="AD22" s="49">
        <f>Licencias!$H$14</f>
        <v>0</v>
      </c>
      <c r="AE22" s="49">
        <f>Licencias!$H$14</f>
        <v>0</v>
      </c>
      <c r="AF22" s="49">
        <f>Licencias!$H$14</f>
        <v>0</v>
      </c>
      <c r="AG22" s="49">
        <f>Licencias!$H$14</f>
        <v>0</v>
      </c>
      <c r="AH22" s="49">
        <f>Licencias!$H$14</f>
        <v>0</v>
      </c>
      <c r="AI22" s="49">
        <f>Licencias!$H$14</f>
        <v>0</v>
      </c>
      <c r="AJ22" s="49">
        <f>Licencias!$H$14</f>
        <v>0</v>
      </c>
      <c r="AK22" s="49">
        <f>Licencias!$H$14</f>
        <v>0</v>
      </c>
      <c r="AL22" s="49">
        <f>Licencias!$H$14</f>
        <v>0</v>
      </c>
      <c r="AM22" s="49">
        <f>Licencias!$H$14</f>
        <v>0</v>
      </c>
      <c r="AN22" s="49">
        <f>Licencias!$H$14</f>
        <v>0</v>
      </c>
      <c r="AO22" s="49">
        <f>Licencias!$H$14</f>
        <v>0</v>
      </c>
      <c r="AP22" s="49">
        <f>Licencias!$H$14</f>
        <v>0</v>
      </c>
      <c r="AQ22" s="49">
        <f>Licencias!$H$14</f>
        <v>0</v>
      </c>
      <c r="AR22" s="49">
        <f>Licencias!$H$14</f>
        <v>0</v>
      </c>
      <c r="AS22" s="49">
        <f>Licencias!$H$14</f>
        <v>0</v>
      </c>
      <c r="AT22" s="49">
        <f>Licencias!$H$14</f>
        <v>0</v>
      </c>
      <c r="AU22" s="49">
        <f>Licencias!$H$14</f>
        <v>0</v>
      </c>
      <c r="AV22" s="49">
        <f>Licencias!$H$14</f>
        <v>0</v>
      </c>
      <c r="AW22" s="49">
        <f>Licencias!$H$14</f>
        <v>0</v>
      </c>
      <c r="AX22" s="49">
        <f>Licencias!$H$14</f>
        <v>0</v>
      </c>
      <c r="AY22" s="49">
        <f>Licencias!$H$14</f>
        <v>0</v>
      </c>
      <c r="AZ22" s="49">
        <f>Licencias!$H$14</f>
        <v>0</v>
      </c>
      <c r="BA22" s="49">
        <f>Licencias!$H$14</f>
        <v>0</v>
      </c>
      <c r="BB22" s="49">
        <f>Licencias!$H$14</f>
        <v>0</v>
      </c>
      <c r="BC22" s="49">
        <f>Licencias!$H$14</f>
        <v>0</v>
      </c>
      <c r="BD22" s="49">
        <f>Licencias!$H$14</f>
        <v>0</v>
      </c>
      <c r="BE22" s="49">
        <f>Licencias!$H$14</f>
        <v>0</v>
      </c>
      <c r="BF22" s="49">
        <f>Licencias!$H$14</f>
        <v>0</v>
      </c>
      <c r="BG22" s="49">
        <f>Licencias!$H$14</f>
        <v>0</v>
      </c>
      <c r="BH22" s="49">
        <f>Licencias!$H$14</f>
        <v>0</v>
      </c>
      <c r="BI22" s="49">
        <f>Licencias!$H$14</f>
        <v>0</v>
      </c>
    </row>
    <row r="23">
      <c r="A23" s="24" t="s">
        <v>255</v>
      </c>
      <c r="B23" s="49">
        <f t="array" ref="B23">B17-B18-B12-B21-B22+B19+B20+INDEX(Parametros!$B:$B,MATCH("ahorro_laboral_monetizable_mes",Parametros!$A:$A,0))*IF(1&lt;=4,0,IF(1=5,Parametros!$B$13,1))</f>
        <v>18981970650</v>
      </c>
      <c r="C23" s="49">
        <f t="array" ref="C23">C17-C18-C12-C21-C22+C19+C20+INDEX(Parametros!$B:$B,MATCH("ahorro_laboral_monetizable_mes",Parametros!$A:$A,0))*IF(2&lt;=4,0,IF(2=5,Parametros!$B$13,1))</f>
        <v>19580044034</v>
      </c>
      <c r="D23" s="49">
        <f t="array" ref="D23">D17-D18-D12-D21-D22+D19+D20+INDEX(Parametros!$B:$B,MATCH("ahorro_laboral_monetizable_mes",Parametros!$A:$A,0))*IF(3&lt;=4,0,IF(3=5,Parametros!$B$13,1))</f>
        <v>20434228219</v>
      </c>
      <c r="E23" s="49">
        <f t="array" ref="E23">E17-E18-E12-E21-E22+E19+E20+INDEX(Parametros!$B:$B,MATCH("ahorro_laboral_monetizable_mes",Parametros!$A:$A,0))*IF(4&lt;=4,0,IF(4=5,Parametros!$B$13,1))</f>
        <v>21724783763</v>
      </c>
      <c r="F23" s="49">
        <f t="array" ref="F23">F17-F18-F12-F21-F22+F19+F20+INDEX(Parametros!$B:$B,MATCH("ahorro_laboral_monetizable_mes",Parametros!$A:$A,0))*IF(5&lt;=4,0,IF(5=5,Parametros!$B$13,1))</f>
        <v>20728274292</v>
      </c>
      <c r="G23" s="49">
        <f t="array" ref="G23">G17-G18-G12-G21-G22+G19+G20+INDEX(Parametros!$B:$B,MATCH("ahorro_laboral_monetizable_mes",Parametros!$A:$A,0))*IF(6&lt;=4,0,IF(6=5,Parametros!$B$13,1))</f>
        <v>20486273696</v>
      </c>
      <c r="H23" s="49">
        <f t="array" ref="H23">H17-H18-H12-H21-H22+H19+H20+INDEX(Parametros!$B:$B,MATCH("ahorro_laboral_monetizable_mes",Parametros!$A:$A,0))*IF(7&lt;=4,0,IF(7=5,Parametros!$B$13,1))</f>
        <v>20983178421</v>
      </c>
      <c r="I23" s="49">
        <f t="array" ref="I23">I17-I18-I12-I21-I22+I19+I20+INDEX(Parametros!$B:$B,MATCH("ahorro_laboral_monetizable_mes",Parametros!$A:$A,0))*IF(8&lt;=4,0,IF(8=5,Parametros!$B$13,1))</f>
        <v>22085404516</v>
      </c>
      <c r="J23" s="49">
        <f t="array" ref="J23">J17-J18-J12-J21-J22+J19+J20+INDEX(Parametros!$B:$B,MATCH("ahorro_laboral_monetizable_mes",Parametros!$A:$A,0))*IF(9&lt;=4,0,IF(9=5,Parametros!$B$13,1))</f>
        <v>25738555644</v>
      </c>
      <c r="K23" s="49">
        <f t="array" ref="K23">K17-K18-K12-K21-K22+K19+K20+INDEX(Parametros!$B:$B,MATCH("ahorro_laboral_monetizable_mes",Parametros!$A:$A,0))*IF(10&lt;=4,0,IF(10=5,Parametros!$B$13,1))</f>
        <v>21140428621</v>
      </c>
      <c r="L23" s="49">
        <f t="array" ref="L23">L17-L18-L12-L21-L22+L19+L20+INDEX(Parametros!$B:$B,MATCH("ahorro_laboral_monetizable_mes",Parametros!$A:$A,0))*IF(11&lt;=4,0,IF(11=5,Parametros!$B$13,1))</f>
        <v>19544223401</v>
      </c>
      <c r="M23" s="49">
        <f t="array" ref="M23">M17-M18-M12-M21-M22+M19+M20+INDEX(Parametros!$B:$B,MATCH("ahorro_laboral_monetizable_mes",Parametros!$A:$A,0))*IF(12&lt;=4,0,IF(12=5,Parametros!$B$13,1))</f>
        <v>21914324194</v>
      </c>
      <c r="N23" s="49">
        <f t="array" ref="N23">N17-N18-N12-N21-N22+N19+N20+INDEX(Parametros!$B:$B,MATCH("ahorro_laboral_monetizable_mes",Parametros!$A:$A,0))*IF(13&lt;=4,0,IF(13=5,Parametros!$B$13,1))</f>
        <v>19732756102</v>
      </c>
      <c r="O23" s="49">
        <f t="array" ref="O23">O17-O18-O12-O21-O22+O19+O20+INDEX(Parametros!$B:$B,MATCH("ahorro_laboral_monetizable_mes",Parametros!$A:$A,0))*IF(14&lt;=4,0,IF(14=5,Parametros!$B$13,1))</f>
        <v>20351541569</v>
      </c>
      <c r="P23" s="49">
        <f t="array" ref="P23">P17-P18-P12-P21-P22+P19+P20+INDEX(Parametros!$B:$B,MATCH("ahorro_laboral_monetizable_mes",Parametros!$A:$A,0))*IF(15&lt;=4,0,IF(15=5,Parametros!$B$13,1))</f>
        <v>21235247514</v>
      </c>
      <c r="Q23" s="49">
        <f t="array" ref="Q23">Q17-Q18-Q12-Q21-Q22+Q19+Q20+INDEX(Parametros!$B:$B,MATCH("ahorro_laboral_monetizable_mes",Parametros!$A:$A,0))*IF(16&lt;=4,0,IF(16=5,Parametros!$B$13,1))</f>
        <v>22570478440</v>
      </c>
      <c r="R23" s="49">
        <f t="array" ref="R23">R17-R18-R12-R21-R22+R19+R20+INDEX(Parametros!$B:$B,MATCH("ahorro_laboral_monetizable_mes",Parametros!$A:$A,0))*IF(17&lt;=4,0,IF(17=5,Parametros!$B$13,1))</f>
        <v>21000006347</v>
      </c>
      <c r="S23" s="49">
        <f t="array" ref="S23">S17-S18-S12-S21-S22+S19+S20+INDEX(Parametros!$B:$B,MATCH("ahorro_laboral_monetizable_mes",Parametros!$A:$A,0))*IF(18&lt;=4,0,IF(18=5,Parametros!$B$13,1))</f>
        <v>20486273696</v>
      </c>
      <c r="T23" s="49">
        <f t="array" ref="T23">T17-T18-T12-T21-T22+T19+T20+INDEX(Parametros!$B:$B,MATCH("ahorro_laboral_monetizable_mes",Parametros!$A:$A,0))*IF(19&lt;=4,0,IF(19=5,Parametros!$B$13,1))</f>
        <v>20983178421</v>
      </c>
      <c r="U23" s="49">
        <f t="array" ref="U23">U17-U18-U12-U21-U22+U19+U20+INDEX(Parametros!$B:$B,MATCH("ahorro_laboral_monetizable_mes",Parametros!$A:$A,0))*IF(20&lt;=4,0,IF(20=5,Parametros!$B$13,1))</f>
        <v>22085404516</v>
      </c>
      <c r="V23" s="49">
        <f t="array" ref="V23">V17-V18-V12-V21-V22+V19+V20+INDEX(Parametros!$B:$B,MATCH("ahorro_laboral_monetizable_mes",Parametros!$A:$A,0))*IF(21&lt;=4,0,IF(21=5,Parametros!$B$13,1))</f>
        <v>25738555644</v>
      </c>
      <c r="W23" s="49">
        <f t="array" ref="W23">W17-W18-W12-W21-W22+W19+W20+INDEX(Parametros!$B:$B,MATCH("ahorro_laboral_monetizable_mes",Parametros!$A:$A,0))*IF(22&lt;=4,0,IF(22=5,Parametros!$B$13,1))</f>
        <v>21140428621</v>
      </c>
      <c r="X23" s="49">
        <f t="array" ref="X23">X17-X18-X12-X21-X22+X19+X20+INDEX(Parametros!$B:$B,MATCH("ahorro_laboral_monetizable_mes",Parametros!$A:$A,0))*IF(23&lt;=4,0,IF(23=5,Parametros!$B$13,1))</f>
        <v>19544223401</v>
      </c>
      <c r="Y23" s="49">
        <f t="array" ref="Y23">Y17-Y18-Y12-Y21-Y22+Y19+Y20+INDEX(Parametros!$B:$B,MATCH("ahorro_laboral_monetizable_mes",Parametros!$A:$A,0))*IF(24&lt;=4,0,IF(24=5,Parametros!$B$13,1))</f>
        <v>21914324194</v>
      </c>
      <c r="Z23" s="49">
        <f t="array" ref="Z23">Z17-Z18-Z12-Z21-Z22+Z19+Z20+INDEX(Parametros!$B:$B,MATCH("ahorro_laboral_monetizable_mes",Parametros!$A:$A,0))*IF(25&lt;=4,0,IF(25=5,Parametros!$B$13,1))</f>
        <v>19732756102</v>
      </c>
      <c r="AA23" s="49">
        <f t="array" ref="AA23">AA17-AA18-AA12-AA21-AA22+AA19+AA20+INDEX(Parametros!$B:$B,MATCH("ahorro_laboral_monetizable_mes",Parametros!$A:$A,0))*IF(26&lt;=4,0,IF(26=5,Parametros!$B$13,1))</f>
        <v>20351541569</v>
      </c>
      <c r="AB23" s="49">
        <f t="array" ref="AB23">AB17-AB18-AB12-AB21-AB22+AB19+AB20+INDEX(Parametros!$B:$B,MATCH("ahorro_laboral_monetizable_mes",Parametros!$A:$A,0))*IF(27&lt;=4,0,IF(27=5,Parametros!$B$13,1))</f>
        <v>21235247514</v>
      </c>
      <c r="AC23" s="49">
        <f t="array" ref="AC23">AC17-AC18-AC12-AC21-AC22+AC19+AC20+INDEX(Parametros!$B:$B,MATCH("ahorro_laboral_monetizable_mes",Parametros!$A:$A,0))*IF(28&lt;=4,0,IF(28=5,Parametros!$B$13,1))</f>
        <v>22570478440</v>
      </c>
      <c r="AD23" s="49">
        <f t="array" ref="AD23">AD17-AD18-AD12-AD21-AD22+AD19+AD20+INDEX(Parametros!$B:$B,MATCH("ahorro_laboral_monetizable_mes",Parametros!$A:$A,0))*IF(29&lt;=4,0,IF(29=5,Parametros!$B$13,1))</f>
        <v>21000006347</v>
      </c>
      <c r="AE23" s="49">
        <f t="array" ref="AE23">AE17-AE18-AE12-AE21-AE22+AE19+AE20+INDEX(Parametros!$B:$B,MATCH("ahorro_laboral_monetizable_mes",Parametros!$A:$A,0))*IF(30&lt;=4,0,IF(30=5,Parametros!$B$13,1))</f>
        <v>20486273696</v>
      </c>
      <c r="AF23" s="49">
        <f t="array" ref="AF23">AF17-AF18-AF12-AF21-AF22+AF19+AF20+INDEX(Parametros!$B:$B,MATCH("ahorro_laboral_monetizable_mes",Parametros!$A:$A,0))*IF(31&lt;=4,0,IF(31=5,Parametros!$B$13,1))</f>
        <v>20983178421</v>
      </c>
      <c r="AG23" s="49">
        <f t="array" ref="AG23">AG17-AG18-AG12-AG21-AG22+AG19+AG20+INDEX(Parametros!$B:$B,MATCH("ahorro_laboral_monetizable_mes",Parametros!$A:$A,0))*IF(32&lt;=4,0,IF(32=5,Parametros!$B$13,1))</f>
        <v>22085404516</v>
      </c>
      <c r="AH23" s="49">
        <f t="array" ref="AH23">AH17-AH18-AH12-AH21-AH22+AH19+AH20+INDEX(Parametros!$B:$B,MATCH("ahorro_laboral_monetizable_mes",Parametros!$A:$A,0))*IF(33&lt;=4,0,IF(33=5,Parametros!$B$13,1))</f>
        <v>25738555644</v>
      </c>
      <c r="AI23" s="49">
        <f t="array" ref="AI23">AI17-AI18-AI12-AI21-AI22+AI19+AI20+INDEX(Parametros!$B:$B,MATCH("ahorro_laboral_monetizable_mes",Parametros!$A:$A,0))*IF(34&lt;=4,0,IF(34=5,Parametros!$B$13,1))</f>
        <v>21140428621</v>
      </c>
      <c r="AJ23" s="49">
        <f t="array" ref="AJ23">AJ17-AJ18-AJ12-AJ21-AJ22+AJ19+AJ20+INDEX(Parametros!$B:$B,MATCH("ahorro_laboral_monetizable_mes",Parametros!$A:$A,0))*IF(35&lt;=4,0,IF(35=5,Parametros!$B$13,1))</f>
        <v>19544223401</v>
      </c>
      <c r="AK23" s="49">
        <f t="array" ref="AK23">AK17-AK18-AK12-AK21-AK22+AK19+AK20+INDEX(Parametros!$B:$B,MATCH("ahorro_laboral_monetizable_mes",Parametros!$A:$A,0))*IF(36&lt;=4,0,IF(36=5,Parametros!$B$13,1))</f>
        <v>21914324194</v>
      </c>
      <c r="AL23" s="49">
        <f t="array" ref="AL23">AL17-AL18-AL12-AL21-AL22+AL19+AL20+INDEX(Parametros!$B:$B,MATCH("ahorro_laboral_monetizable_mes",Parametros!$A:$A,0))*IF(37&lt;=4,0,IF(37=5,Parametros!$B$13,1))</f>
        <v>19732756102</v>
      </c>
      <c r="AM23" s="49">
        <f t="array" ref="AM23">AM17-AM18-AM12-AM21-AM22+AM19+AM20+INDEX(Parametros!$B:$B,MATCH("ahorro_laboral_monetizable_mes",Parametros!$A:$A,0))*IF(38&lt;=4,0,IF(38=5,Parametros!$B$13,1))</f>
        <v>20351541569</v>
      </c>
      <c r="AN23" s="49">
        <f t="array" ref="AN23">AN17-AN18-AN12-AN21-AN22+AN19+AN20+INDEX(Parametros!$B:$B,MATCH("ahorro_laboral_monetizable_mes",Parametros!$A:$A,0))*IF(39&lt;=4,0,IF(39=5,Parametros!$B$13,1))</f>
        <v>21235247514</v>
      </c>
      <c r="AO23" s="49">
        <f t="array" ref="AO23">AO17-AO18-AO12-AO21-AO22+AO19+AO20+INDEX(Parametros!$B:$B,MATCH("ahorro_laboral_monetizable_mes",Parametros!$A:$A,0))*IF(40&lt;=4,0,IF(40=5,Parametros!$B$13,1))</f>
        <v>22570478440</v>
      </c>
      <c r="AP23" s="49">
        <f t="array" ref="AP23">AP17-AP18-AP12-AP21-AP22+AP19+AP20+INDEX(Parametros!$B:$B,MATCH("ahorro_laboral_monetizable_mes",Parametros!$A:$A,0))*IF(41&lt;=4,0,IF(41=5,Parametros!$B$13,1))</f>
        <v>21000006347</v>
      </c>
      <c r="AQ23" s="49">
        <f t="array" ref="AQ23">AQ17-AQ18-AQ12-AQ21-AQ22+AQ19+AQ20+INDEX(Parametros!$B:$B,MATCH("ahorro_laboral_monetizable_mes",Parametros!$A:$A,0))*IF(42&lt;=4,0,IF(42=5,Parametros!$B$13,1))</f>
        <v>20486273696</v>
      </c>
      <c r="AR23" s="49">
        <f t="array" ref="AR23">AR17-AR18-AR12-AR21-AR22+AR19+AR20+INDEX(Parametros!$B:$B,MATCH("ahorro_laboral_monetizable_mes",Parametros!$A:$A,0))*IF(43&lt;=4,0,IF(43=5,Parametros!$B$13,1))</f>
        <v>20983178421</v>
      </c>
      <c r="AS23" s="49">
        <f t="array" ref="AS23">AS17-AS18-AS12-AS21-AS22+AS19+AS20+INDEX(Parametros!$B:$B,MATCH("ahorro_laboral_monetizable_mes",Parametros!$A:$A,0))*IF(44&lt;=4,0,IF(44=5,Parametros!$B$13,1))</f>
        <v>22085404516</v>
      </c>
      <c r="AT23" s="49">
        <f t="array" ref="AT23">AT17-AT18-AT12-AT21-AT22+AT19+AT20+INDEX(Parametros!$B:$B,MATCH("ahorro_laboral_monetizable_mes",Parametros!$A:$A,0))*IF(45&lt;=4,0,IF(45=5,Parametros!$B$13,1))</f>
        <v>25738555644</v>
      </c>
      <c r="AU23" s="49">
        <f t="array" ref="AU23">AU17-AU18-AU12-AU21-AU22+AU19+AU20+INDEX(Parametros!$B:$B,MATCH("ahorro_laboral_monetizable_mes",Parametros!$A:$A,0))*IF(46&lt;=4,0,IF(46=5,Parametros!$B$13,1))</f>
        <v>21140428621</v>
      </c>
      <c r="AV23" s="49">
        <f t="array" ref="AV23">AV17-AV18-AV12-AV21-AV22+AV19+AV20+INDEX(Parametros!$B:$B,MATCH("ahorro_laboral_monetizable_mes",Parametros!$A:$A,0))*IF(47&lt;=4,0,IF(47=5,Parametros!$B$13,1))</f>
        <v>19544223401</v>
      </c>
      <c r="AW23" s="49">
        <f t="array" ref="AW23">AW17-AW18-AW12-AW21-AW22+AW19+AW20+INDEX(Parametros!$B:$B,MATCH("ahorro_laboral_monetizable_mes",Parametros!$A:$A,0))*IF(48&lt;=4,0,IF(48=5,Parametros!$B$13,1))</f>
        <v>21914324194</v>
      </c>
      <c r="AX23" s="49">
        <f t="array" ref="AX23">AX17-AX18-AX12-AX21-AX22+AX19+AX20+INDEX(Parametros!$B:$B,MATCH("ahorro_laboral_monetizable_mes",Parametros!$A:$A,0))*IF(49&lt;=4,0,IF(49=5,Parametros!$B$13,1))</f>
        <v>19732756102</v>
      </c>
      <c r="AY23" s="49">
        <f t="array" ref="AY23">AY17-AY18-AY12-AY21-AY22+AY19+AY20+INDEX(Parametros!$B:$B,MATCH("ahorro_laboral_monetizable_mes",Parametros!$A:$A,0))*IF(50&lt;=4,0,IF(50=5,Parametros!$B$13,1))</f>
        <v>20351541569</v>
      </c>
      <c r="AZ23" s="49">
        <f t="array" ref="AZ23">AZ17-AZ18-AZ12-AZ21-AZ22+AZ19+AZ20+INDEX(Parametros!$B:$B,MATCH("ahorro_laboral_monetizable_mes",Parametros!$A:$A,0))*IF(51&lt;=4,0,IF(51=5,Parametros!$B$13,1))</f>
        <v>21235247514</v>
      </c>
      <c r="BA23" s="49">
        <f t="array" ref="BA23">BA17-BA18-BA12-BA21-BA22+BA19+BA20+INDEX(Parametros!$B:$B,MATCH("ahorro_laboral_monetizable_mes",Parametros!$A:$A,0))*IF(52&lt;=4,0,IF(52=5,Parametros!$B$13,1))</f>
        <v>22570478440</v>
      </c>
      <c r="BB23" s="49">
        <f t="array" ref="BB23">BB17-BB18-BB12-BB21-BB22+BB19+BB20+INDEX(Parametros!$B:$B,MATCH("ahorro_laboral_monetizable_mes",Parametros!$A:$A,0))*IF(53&lt;=4,0,IF(53=5,Parametros!$B$13,1))</f>
        <v>21000006347</v>
      </c>
      <c r="BC23" s="49">
        <f t="array" ref="BC23">BC17-BC18-BC12-BC21-BC22+BC19+BC20+INDEX(Parametros!$B:$B,MATCH("ahorro_laboral_monetizable_mes",Parametros!$A:$A,0))*IF(54&lt;=4,0,IF(54=5,Parametros!$B$13,1))</f>
        <v>20486273696</v>
      </c>
      <c r="BD23" s="49">
        <f t="array" ref="BD23">BD17-BD18-BD12-BD21-BD22+BD19+BD20+INDEX(Parametros!$B:$B,MATCH("ahorro_laboral_monetizable_mes",Parametros!$A:$A,0))*IF(55&lt;=4,0,IF(55=5,Parametros!$B$13,1))</f>
        <v>20983178421</v>
      </c>
      <c r="BE23" s="49">
        <f t="array" ref="BE23">BE17-BE18-BE12-BE21-BE22+BE19+BE20+INDEX(Parametros!$B:$B,MATCH("ahorro_laboral_monetizable_mes",Parametros!$A:$A,0))*IF(56&lt;=4,0,IF(56=5,Parametros!$B$13,1))</f>
        <v>22085404516</v>
      </c>
      <c r="BF23" s="49">
        <f t="array" ref="BF23">BF17-BF18-BF12-BF21-BF22+BF19+BF20+INDEX(Parametros!$B:$B,MATCH("ahorro_laboral_monetizable_mes",Parametros!$A:$A,0))*IF(57&lt;=4,0,IF(57=5,Parametros!$B$13,1))</f>
        <v>25738555644</v>
      </c>
      <c r="BG23" s="49">
        <f t="array" ref="BG23">BG17-BG18-BG12-BG21-BG22+BG19+BG20+INDEX(Parametros!$B:$B,MATCH("ahorro_laboral_monetizable_mes",Parametros!$A:$A,0))*IF(58&lt;=4,0,IF(58=5,Parametros!$B$13,1))</f>
        <v>21140428621</v>
      </c>
      <c r="BH23" s="49">
        <f t="array" ref="BH23">BH17-BH18-BH12-BH21-BH22+BH19+BH20+INDEX(Parametros!$B:$B,MATCH("ahorro_laboral_monetizable_mes",Parametros!$A:$A,0))*IF(59&lt;=4,0,IF(59=5,Parametros!$B$13,1))</f>
        <v>19544223401</v>
      </c>
      <c r="BI23" s="49">
        <f t="array" ref="BI23">BI17-BI18-BI12-BI21-BI22+BI19+BI20+INDEX(Parametros!$B:$B,MATCH("ahorro_laboral_monetizable_mes",Parametros!$A:$A,0))*IF(60&lt;=4,0,IF(60=5,Parametros!$B$13,1))</f>
        <v>21914324194</v>
      </c>
    </row>
    <row r="24">
      <c r="A24" s="47" t="s">
        <v>256</v>
      </c>
    </row>
    <row r="25">
      <c r="A25" s="24" t="s">
        <v>78</v>
      </c>
      <c r="B25" s="49">
        <f t="shared" ref="B25:BI25" si="6">B23-B14</f>
        <v>0</v>
      </c>
      <c r="C25" s="49">
        <f t="shared" si="6"/>
        <v>0</v>
      </c>
      <c r="D25" s="49">
        <f t="shared" si="6"/>
        <v>0</v>
      </c>
      <c r="E25" s="49">
        <f t="shared" si="6"/>
        <v>0</v>
      </c>
      <c r="F25" s="49">
        <f t="shared" si="6"/>
        <v>521457565.6</v>
      </c>
      <c r="G25" s="49">
        <f t="shared" si="6"/>
        <v>776016769</v>
      </c>
      <c r="H25" s="49">
        <f t="shared" si="6"/>
        <v>792579677.3</v>
      </c>
      <c r="I25" s="49">
        <f t="shared" si="6"/>
        <v>829506312.6</v>
      </c>
      <c r="J25" s="49">
        <f t="shared" si="6"/>
        <v>951792640.7</v>
      </c>
      <c r="K25" s="49">
        <f t="shared" si="6"/>
        <v>797860155</v>
      </c>
      <c r="L25" s="49">
        <f t="shared" si="6"/>
        <v>744434875.9</v>
      </c>
      <c r="M25" s="49">
        <f t="shared" si="6"/>
        <v>823774532.6</v>
      </c>
      <c r="N25" s="49">
        <f t="shared" si="6"/>
        <v>750785452</v>
      </c>
      <c r="O25" s="49">
        <f t="shared" si="6"/>
        <v>771497535.4</v>
      </c>
      <c r="P25" s="49">
        <f t="shared" si="6"/>
        <v>801019295.5</v>
      </c>
      <c r="Q25" s="49">
        <f t="shared" si="6"/>
        <v>845694676.6</v>
      </c>
      <c r="R25" s="49">
        <f t="shared" si="6"/>
        <v>793189620.6</v>
      </c>
      <c r="S25" s="49">
        <f t="shared" si="6"/>
        <v>776016769</v>
      </c>
      <c r="T25" s="49">
        <f t="shared" si="6"/>
        <v>792579677.3</v>
      </c>
      <c r="U25" s="49">
        <f t="shared" si="6"/>
        <v>829506312.6</v>
      </c>
      <c r="V25" s="49">
        <f t="shared" si="6"/>
        <v>951792640.7</v>
      </c>
      <c r="W25" s="49">
        <f t="shared" si="6"/>
        <v>797860155</v>
      </c>
      <c r="X25" s="49">
        <f t="shared" si="6"/>
        <v>744434875.9</v>
      </c>
      <c r="Y25" s="49">
        <f t="shared" si="6"/>
        <v>823774532.6</v>
      </c>
      <c r="Z25" s="49">
        <f t="shared" si="6"/>
        <v>750785452</v>
      </c>
      <c r="AA25" s="49">
        <f t="shared" si="6"/>
        <v>771497535.4</v>
      </c>
      <c r="AB25" s="49">
        <f t="shared" si="6"/>
        <v>801019295.5</v>
      </c>
      <c r="AC25" s="49">
        <f t="shared" si="6"/>
        <v>845694676.6</v>
      </c>
      <c r="AD25" s="49">
        <f t="shared" si="6"/>
        <v>793189620.6</v>
      </c>
      <c r="AE25" s="49">
        <f t="shared" si="6"/>
        <v>776016769</v>
      </c>
      <c r="AF25" s="49">
        <f t="shared" si="6"/>
        <v>792579677.3</v>
      </c>
      <c r="AG25" s="49">
        <f t="shared" si="6"/>
        <v>829506312.6</v>
      </c>
      <c r="AH25" s="49">
        <f t="shared" si="6"/>
        <v>951792640.7</v>
      </c>
      <c r="AI25" s="49">
        <f t="shared" si="6"/>
        <v>797860155</v>
      </c>
      <c r="AJ25" s="49">
        <f t="shared" si="6"/>
        <v>744434875.9</v>
      </c>
      <c r="AK25" s="49">
        <f t="shared" si="6"/>
        <v>823774532.6</v>
      </c>
      <c r="AL25" s="49">
        <f t="shared" si="6"/>
        <v>750785452</v>
      </c>
      <c r="AM25" s="49">
        <f t="shared" si="6"/>
        <v>771497535.4</v>
      </c>
      <c r="AN25" s="49">
        <f t="shared" si="6"/>
        <v>801019295.5</v>
      </c>
      <c r="AO25" s="49">
        <f t="shared" si="6"/>
        <v>845694676.6</v>
      </c>
      <c r="AP25" s="49">
        <f t="shared" si="6"/>
        <v>793189620.6</v>
      </c>
      <c r="AQ25" s="49">
        <f t="shared" si="6"/>
        <v>776016769</v>
      </c>
      <c r="AR25" s="49">
        <f t="shared" si="6"/>
        <v>792579677.3</v>
      </c>
      <c r="AS25" s="49">
        <f t="shared" si="6"/>
        <v>829506312.6</v>
      </c>
      <c r="AT25" s="49">
        <f t="shared" si="6"/>
        <v>951792640.7</v>
      </c>
      <c r="AU25" s="49">
        <f t="shared" si="6"/>
        <v>797860155</v>
      </c>
      <c r="AV25" s="49">
        <f t="shared" si="6"/>
        <v>744434875.9</v>
      </c>
      <c r="AW25" s="49">
        <f t="shared" si="6"/>
        <v>823774532.6</v>
      </c>
      <c r="AX25" s="49">
        <f t="shared" si="6"/>
        <v>750785452</v>
      </c>
      <c r="AY25" s="49">
        <f t="shared" si="6"/>
        <v>771497535.4</v>
      </c>
      <c r="AZ25" s="49">
        <f t="shared" si="6"/>
        <v>801019295.5</v>
      </c>
      <c r="BA25" s="49">
        <f t="shared" si="6"/>
        <v>845694676.6</v>
      </c>
      <c r="BB25" s="49">
        <f t="shared" si="6"/>
        <v>793189620.6</v>
      </c>
      <c r="BC25" s="49">
        <f t="shared" si="6"/>
        <v>776016769</v>
      </c>
      <c r="BD25" s="49">
        <f t="shared" si="6"/>
        <v>792579677.3</v>
      </c>
      <c r="BE25" s="49">
        <f t="shared" si="6"/>
        <v>829506312.6</v>
      </c>
      <c r="BF25" s="49">
        <f t="shared" si="6"/>
        <v>951792640.7</v>
      </c>
      <c r="BG25" s="49">
        <f t="shared" si="6"/>
        <v>797860155</v>
      </c>
      <c r="BH25" s="49">
        <f t="shared" si="6"/>
        <v>744434875.9</v>
      </c>
      <c r="BI25" s="49">
        <f t="shared" si="6"/>
        <v>823774532.6</v>
      </c>
    </row>
    <row r="26">
      <c r="A26" s="22" t="s">
        <v>257</v>
      </c>
      <c r="B26" s="49">
        <f t="shared" ref="B26:E26" si="7">0</f>
        <v>0</v>
      </c>
      <c r="C26" s="49">
        <f t="shared" si="7"/>
        <v>0</v>
      </c>
      <c r="D26" s="49">
        <f t="shared" si="7"/>
        <v>0</v>
      </c>
      <c r="E26" s="49">
        <f t="shared" si="7"/>
        <v>0</v>
      </c>
      <c r="F26" s="49">
        <f>Dep_Amort!$D$10</f>
        <v>95119494.91</v>
      </c>
      <c r="G26" s="49">
        <f>Dep_Amort!$D$10</f>
        <v>95119494.91</v>
      </c>
      <c r="H26" s="49">
        <f>Dep_Amort!$D$10</f>
        <v>95119494.91</v>
      </c>
      <c r="I26" s="49">
        <f>Dep_Amort!$D$10</f>
        <v>95119494.91</v>
      </c>
      <c r="J26" s="49">
        <f>Dep_Amort!$D$10</f>
        <v>95119494.91</v>
      </c>
      <c r="K26" s="49">
        <f>Dep_Amort!$D$10</f>
        <v>95119494.91</v>
      </c>
      <c r="L26" s="49">
        <f>Dep_Amort!$D$10</f>
        <v>95119494.91</v>
      </c>
      <c r="M26" s="49">
        <f>Dep_Amort!$D$10</f>
        <v>95119494.91</v>
      </c>
      <c r="N26" s="49">
        <f>Dep_Amort!$D$10</f>
        <v>95119494.91</v>
      </c>
      <c r="O26" s="49">
        <f>Dep_Amort!$D$10</f>
        <v>95119494.91</v>
      </c>
      <c r="P26" s="49">
        <f>Dep_Amort!$D$10</f>
        <v>95119494.91</v>
      </c>
      <c r="Q26" s="49">
        <f>Dep_Amort!$D$10</f>
        <v>95119494.91</v>
      </c>
      <c r="R26" s="49">
        <f>Dep_Amort!$D$10</f>
        <v>95119494.91</v>
      </c>
      <c r="S26" s="49">
        <f>Dep_Amort!$D$10</f>
        <v>95119494.91</v>
      </c>
      <c r="T26" s="49">
        <f>Dep_Amort!$D$10</f>
        <v>95119494.91</v>
      </c>
      <c r="U26" s="49">
        <f>Dep_Amort!$D$10</f>
        <v>95119494.91</v>
      </c>
      <c r="V26" s="49">
        <f>Dep_Amort!$D$10</f>
        <v>95119494.91</v>
      </c>
      <c r="W26" s="49">
        <f>Dep_Amort!$D$10</f>
        <v>95119494.91</v>
      </c>
      <c r="X26" s="49">
        <f>Dep_Amort!$D$10</f>
        <v>95119494.91</v>
      </c>
      <c r="Y26" s="49">
        <f>Dep_Amort!$D$10</f>
        <v>95119494.91</v>
      </c>
      <c r="Z26" s="49">
        <f>Dep_Amort!$D$10</f>
        <v>95119494.91</v>
      </c>
      <c r="AA26" s="49">
        <f>Dep_Amort!$D$10</f>
        <v>95119494.91</v>
      </c>
      <c r="AB26" s="49">
        <f>Dep_Amort!$D$10</f>
        <v>95119494.91</v>
      </c>
      <c r="AC26" s="49">
        <f>Dep_Amort!$D$10</f>
        <v>95119494.91</v>
      </c>
      <c r="AD26" s="49">
        <f>Dep_Amort!$D$10</f>
        <v>95119494.91</v>
      </c>
      <c r="AE26" s="49">
        <f>Dep_Amort!$D$10</f>
        <v>95119494.91</v>
      </c>
      <c r="AF26" s="49">
        <f>Dep_Amort!$D$10</f>
        <v>95119494.91</v>
      </c>
      <c r="AG26" s="49">
        <f>Dep_Amort!$D$10</f>
        <v>95119494.91</v>
      </c>
      <c r="AH26" s="49">
        <f>Dep_Amort!$D$10</f>
        <v>95119494.91</v>
      </c>
      <c r="AI26" s="49">
        <f>Dep_Amort!$D$10</f>
        <v>95119494.91</v>
      </c>
      <c r="AJ26" s="49">
        <f>Dep_Amort!$D$10</f>
        <v>95119494.91</v>
      </c>
      <c r="AK26" s="49">
        <f>Dep_Amort!$D$10</f>
        <v>95119494.91</v>
      </c>
      <c r="AL26" s="49">
        <f>Dep_Amort!$D$10</f>
        <v>95119494.91</v>
      </c>
      <c r="AM26" s="49">
        <f>Dep_Amort!$D$10</f>
        <v>95119494.91</v>
      </c>
      <c r="AN26" s="49">
        <f>Dep_Amort!$D$10</f>
        <v>95119494.91</v>
      </c>
      <c r="AO26" s="49">
        <f>Dep_Amort!$D$10</f>
        <v>95119494.91</v>
      </c>
      <c r="AP26" s="49">
        <f>Dep_Amort!$D$10</f>
        <v>95119494.91</v>
      </c>
      <c r="AQ26" s="49">
        <f>Dep_Amort!$D$10</f>
        <v>95119494.91</v>
      </c>
      <c r="AR26" s="49">
        <f>Dep_Amort!$D$10</f>
        <v>95119494.91</v>
      </c>
      <c r="AS26" s="49">
        <f>Dep_Amort!$D$10</f>
        <v>95119494.91</v>
      </c>
      <c r="AT26" s="49">
        <f>Dep_Amort!$D$10</f>
        <v>95119494.91</v>
      </c>
      <c r="AU26" s="49">
        <f>Dep_Amort!$D$10</f>
        <v>95119494.91</v>
      </c>
      <c r="AV26" s="49">
        <f>Dep_Amort!$D$10</f>
        <v>95119494.91</v>
      </c>
      <c r="AW26" s="49">
        <f>Dep_Amort!$D$10</f>
        <v>95119494.91</v>
      </c>
      <c r="AX26" s="49">
        <f>Dep_Amort!$D$10</f>
        <v>95119494.91</v>
      </c>
      <c r="AY26" s="49">
        <f>Dep_Amort!$D$10</f>
        <v>95119494.91</v>
      </c>
      <c r="AZ26" s="49">
        <f>Dep_Amort!$D$10</f>
        <v>95119494.91</v>
      </c>
      <c r="BA26" s="49">
        <f>Dep_Amort!$D$10</f>
        <v>95119494.91</v>
      </c>
      <c r="BB26" s="49">
        <f>Dep_Amort!$D$10</f>
        <v>95119494.91</v>
      </c>
      <c r="BC26" s="49">
        <f>Dep_Amort!$D$10</f>
        <v>95119494.91</v>
      </c>
      <c r="BD26" s="49">
        <f>Dep_Amort!$D$10</f>
        <v>95119494.91</v>
      </c>
      <c r="BE26" s="49">
        <f>Dep_Amort!$D$10</f>
        <v>95119494.91</v>
      </c>
      <c r="BF26" s="49">
        <f>Dep_Amort!$D$10</f>
        <v>95119494.91</v>
      </c>
      <c r="BG26" s="49">
        <f>Dep_Amort!$D$10</f>
        <v>95119494.91</v>
      </c>
      <c r="BH26" s="49">
        <f>Dep_Amort!$D$10</f>
        <v>95119494.91</v>
      </c>
      <c r="BI26" s="49">
        <f>Dep_Amort!$D$10</f>
        <v>95119494.91</v>
      </c>
    </row>
    <row r="27">
      <c r="A27" s="22" t="s">
        <v>258</v>
      </c>
      <c r="B27" s="49">
        <f t="shared" ref="B27:BI27" si="8">B25-B26</f>
        <v>0</v>
      </c>
      <c r="C27" s="49">
        <f t="shared" si="8"/>
        <v>0</v>
      </c>
      <c r="D27" s="49">
        <f t="shared" si="8"/>
        <v>0</v>
      </c>
      <c r="E27" s="49">
        <f t="shared" si="8"/>
        <v>0</v>
      </c>
      <c r="F27" s="49">
        <f t="shared" si="8"/>
        <v>426338070.6</v>
      </c>
      <c r="G27" s="49">
        <f t="shared" si="8"/>
        <v>680897274</v>
      </c>
      <c r="H27" s="49">
        <f t="shared" si="8"/>
        <v>697460182.4</v>
      </c>
      <c r="I27" s="49">
        <f t="shared" si="8"/>
        <v>734386817.7</v>
      </c>
      <c r="J27" s="49">
        <f t="shared" si="8"/>
        <v>856673145.7</v>
      </c>
      <c r="K27" s="49">
        <f t="shared" si="8"/>
        <v>702740660.1</v>
      </c>
      <c r="L27" s="49">
        <f t="shared" si="8"/>
        <v>649315381</v>
      </c>
      <c r="M27" s="49">
        <f t="shared" si="8"/>
        <v>728655037.7</v>
      </c>
      <c r="N27" s="49">
        <f t="shared" si="8"/>
        <v>655665957.1</v>
      </c>
      <c r="O27" s="49">
        <f t="shared" si="8"/>
        <v>676378040.5</v>
      </c>
      <c r="P27" s="49">
        <f t="shared" si="8"/>
        <v>705899800.6</v>
      </c>
      <c r="Q27" s="49">
        <f t="shared" si="8"/>
        <v>750575181.7</v>
      </c>
      <c r="R27" s="49">
        <f t="shared" si="8"/>
        <v>698070125.7</v>
      </c>
      <c r="S27" s="49">
        <f t="shared" si="8"/>
        <v>680897274</v>
      </c>
      <c r="T27" s="49">
        <f t="shared" si="8"/>
        <v>697460182.4</v>
      </c>
      <c r="U27" s="49">
        <f t="shared" si="8"/>
        <v>734386817.7</v>
      </c>
      <c r="V27" s="49">
        <f t="shared" si="8"/>
        <v>856673145.7</v>
      </c>
      <c r="W27" s="49">
        <f t="shared" si="8"/>
        <v>702740660.1</v>
      </c>
      <c r="X27" s="49">
        <f t="shared" si="8"/>
        <v>649315381</v>
      </c>
      <c r="Y27" s="49">
        <f t="shared" si="8"/>
        <v>728655037.7</v>
      </c>
      <c r="Z27" s="49">
        <f t="shared" si="8"/>
        <v>655665957.1</v>
      </c>
      <c r="AA27" s="49">
        <f t="shared" si="8"/>
        <v>676378040.5</v>
      </c>
      <c r="AB27" s="49">
        <f t="shared" si="8"/>
        <v>705899800.6</v>
      </c>
      <c r="AC27" s="49">
        <f t="shared" si="8"/>
        <v>750575181.7</v>
      </c>
      <c r="AD27" s="49">
        <f t="shared" si="8"/>
        <v>698070125.7</v>
      </c>
      <c r="AE27" s="49">
        <f t="shared" si="8"/>
        <v>680897274</v>
      </c>
      <c r="AF27" s="49">
        <f t="shared" si="8"/>
        <v>697460182.4</v>
      </c>
      <c r="AG27" s="49">
        <f t="shared" si="8"/>
        <v>734386817.7</v>
      </c>
      <c r="AH27" s="49">
        <f t="shared" si="8"/>
        <v>856673145.7</v>
      </c>
      <c r="AI27" s="49">
        <f t="shared" si="8"/>
        <v>702740660.1</v>
      </c>
      <c r="AJ27" s="49">
        <f t="shared" si="8"/>
        <v>649315381</v>
      </c>
      <c r="AK27" s="49">
        <f t="shared" si="8"/>
        <v>728655037.7</v>
      </c>
      <c r="AL27" s="49">
        <f t="shared" si="8"/>
        <v>655665957.1</v>
      </c>
      <c r="AM27" s="49">
        <f t="shared" si="8"/>
        <v>676378040.5</v>
      </c>
      <c r="AN27" s="49">
        <f t="shared" si="8"/>
        <v>705899800.6</v>
      </c>
      <c r="AO27" s="49">
        <f t="shared" si="8"/>
        <v>750575181.7</v>
      </c>
      <c r="AP27" s="49">
        <f t="shared" si="8"/>
        <v>698070125.7</v>
      </c>
      <c r="AQ27" s="49">
        <f t="shared" si="8"/>
        <v>680897274</v>
      </c>
      <c r="AR27" s="49">
        <f t="shared" si="8"/>
        <v>697460182.4</v>
      </c>
      <c r="AS27" s="49">
        <f t="shared" si="8"/>
        <v>734386817.7</v>
      </c>
      <c r="AT27" s="49">
        <f t="shared" si="8"/>
        <v>856673145.7</v>
      </c>
      <c r="AU27" s="49">
        <f t="shared" si="8"/>
        <v>702740660.1</v>
      </c>
      <c r="AV27" s="49">
        <f t="shared" si="8"/>
        <v>649315381</v>
      </c>
      <c r="AW27" s="49">
        <f t="shared" si="8"/>
        <v>728655037.7</v>
      </c>
      <c r="AX27" s="49">
        <f t="shared" si="8"/>
        <v>655665957.1</v>
      </c>
      <c r="AY27" s="49">
        <f t="shared" si="8"/>
        <v>676378040.5</v>
      </c>
      <c r="AZ27" s="49">
        <f t="shared" si="8"/>
        <v>705899800.6</v>
      </c>
      <c r="BA27" s="49">
        <f t="shared" si="8"/>
        <v>750575181.7</v>
      </c>
      <c r="BB27" s="49">
        <f t="shared" si="8"/>
        <v>698070125.7</v>
      </c>
      <c r="BC27" s="49">
        <f t="shared" si="8"/>
        <v>680897274</v>
      </c>
      <c r="BD27" s="49">
        <f t="shared" si="8"/>
        <v>697460182.4</v>
      </c>
      <c r="BE27" s="49">
        <f t="shared" si="8"/>
        <v>734386817.7</v>
      </c>
      <c r="BF27" s="49">
        <f t="shared" si="8"/>
        <v>856673145.7</v>
      </c>
      <c r="BG27" s="49">
        <f t="shared" si="8"/>
        <v>702740660.1</v>
      </c>
      <c r="BH27" s="49">
        <f t="shared" si="8"/>
        <v>649315381</v>
      </c>
      <c r="BI27" s="49">
        <f t="shared" si="8"/>
        <v>728655037.7</v>
      </c>
    </row>
    <row r="28">
      <c r="A28" s="22" t="s">
        <v>259</v>
      </c>
      <c r="B28" s="49">
        <f>MAX(0,B27)*Parametros!$B$8</f>
        <v>0</v>
      </c>
      <c r="C28" s="49">
        <f>MAX(0,C27)*Parametros!$B$8</f>
        <v>0</v>
      </c>
      <c r="D28" s="49">
        <f>MAX(0,D27)*Parametros!$B$8</f>
        <v>0</v>
      </c>
      <c r="E28" s="49">
        <f>MAX(0,E27)*Parametros!$B$8</f>
        <v>0</v>
      </c>
      <c r="F28" s="49">
        <f>MAX(0,F27)*Parametros!$B$8</f>
        <v>149218324.7</v>
      </c>
      <c r="G28" s="49">
        <f>MAX(0,G27)*Parametros!$B$8</f>
        <v>238314045.9</v>
      </c>
      <c r="H28" s="49">
        <f>MAX(0,H27)*Parametros!$B$8</f>
        <v>244111063.8</v>
      </c>
      <c r="I28" s="49">
        <f>MAX(0,I27)*Parametros!$B$8</f>
        <v>257035386.2</v>
      </c>
      <c r="J28" s="49">
        <f>MAX(0,J27)*Parametros!$B$8</f>
        <v>299835601</v>
      </c>
      <c r="K28" s="49">
        <f>MAX(0,K27)*Parametros!$B$8</f>
        <v>245959231</v>
      </c>
      <c r="L28" s="49">
        <f>MAX(0,L27)*Parametros!$B$8</f>
        <v>227260383.3</v>
      </c>
      <c r="M28" s="49">
        <f>MAX(0,M27)*Parametros!$B$8</f>
        <v>255029263.2</v>
      </c>
      <c r="N28" s="49">
        <f>MAX(0,N27)*Parametros!$B$8</f>
        <v>229483085</v>
      </c>
      <c r="O28" s="49">
        <f>MAX(0,O27)*Parametros!$B$8</f>
        <v>236732314.2</v>
      </c>
      <c r="P28" s="49">
        <f>MAX(0,P27)*Parametros!$B$8</f>
        <v>247064930.2</v>
      </c>
      <c r="Q28" s="49">
        <f>MAX(0,Q27)*Parametros!$B$8</f>
        <v>262701313.6</v>
      </c>
      <c r="R28" s="49">
        <f>MAX(0,R27)*Parametros!$B$8</f>
        <v>244324544</v>
      </c>
      <c r="S28" s="49">
        <f>MAX(0,S27)*Parametros!$B$8</f>
        <v>238314045.9</v>
      </c>
      <c r="T28" s="49">
        <f>MAX(0,T27)*Parametros!$B$8</f>
        <v>244111063.8</v>
      </c>
      <c r="U28" s="49">
        <f>MAX(0,U27)*Parametros!$B$8</f>
        <v>257035386.2</v>
      </c>
      <c r="V28" s="49">
        <f>MAX(0,V27)*Parametros!$B$8</f>
        <v>299835601</v>
      </c>
      <c r="W28" s="49">
        <f>MAX(0,W27)*Parametros!$B$8</f>
        <v>245959231</v>
      </c>
      <c r="X28" s="49">
        <f>MAX(0,X27)*Parametros!$B$8</f>
        <v>227260383.3</v>
      </c>
      <c r="Y28" s="49">
        <f>MAX(0,Y27)*Parametros!$B$8</f>
        <v>255029263.2</v>
      </c>
      <c r="Z28" s="49">
        <f>MAX(0,Z27)*Parametros!$B$8</f>
        <v>229483085</v>
      </c>
      <c r="AA28" s="49">
        <f>MAX(0,AA27)*Parametros!$B$8</f>
        <v>236732314.2</v>
      </c>
      <c r="AB28" s="49">
        <f>MAX(0,AB27)*Parametros!$B$8</f>
        <v>247064930.2</v>
      </c>
      <c r="AC28" s="49">
        <f>MAX(0,AC27)*Parametros!$B$8</f>
        <v>262701313.6</v>
      </c>
      <c r="AD28" s="49">
        <f>MAX(0,AD27)*Parametros!$B$8</f>
        <v>244324544</v>
      </c>
      <c r="AE28" s="49">
        <f>MAX(0,AE27)*Parametros!$B$8</f>
        <v>238314045.9</v>
      </c>
      <c r="AF28" s="49">
        <f>MAX(0,AF27)*Parametros!$B$8</f>
        <v>244111063.8</v>
      </c>
      <c r="AG28" s="49">
        <f>MAX(0,AG27)*Parametros!$B$8</f>
        <v>257035386.2</v>
      </c>
      <c r="AH28" s="49">
        <f>MAX(0,AH27)*Parametros!$B$8</f>
        <v>299835601</v>
      </c>
      <c r="AI28" s="49">
        <f>MAX(0,AI27)*Parametros!$B$8</f>
        <v>245959231</v>
      </c>
      <c r="AJ28" s="49">
        <f>MAX(0,AJ27)*Parametros!$B$8</f>
        <v>227260383.3</v>
      </c>
      <c r="AK28" s="49">
        <f>MAX(0,AK27)*Parametros!$B$8</f>
        <v>255029263.2</v>
      </c>
      <c r="AL28" s="49">
        <f>MAX(0,AL27)*Parametros!$B$8</f>
        <v>229483085</v>
      </c>
      <c r="AM28" s="49">
        <f>MAX(0,AM27)*Parametros!$B$8</f>
        <v>236732314.2</v>
      </c>
      <c r="AN28" s="49">
        <f>MAX(0,AN27)*Parametros!$B$8</f>
        <v>247064930.2</v>
      </c>
      <c r="AO28" s="49">
        <f>MAX(0,AO27)*Parametros!$B$8</f>
        <v>262701313.6</v>
      </c>
      <c r="AP28" s="49">
        <f>MAX(0,AP27)*Parametros!$B$8</f>
        <v>244324544</v>
      </c>
      <c r="AQ28" s="49">
        <f>MAX(0,AQ27)*Parametros!$B$8</f>
        <v>238314045.9</v>
      </c>
      <c r="AR28" s="49">
        <f>MAX(0,AR27)*Parametros!$B$8</f>
        <v>244111063.8</v>
      </c>
      <c r="AS28" s="49">
        <f>MAX(0,AS27)*Parametros!$B$8</f>
        <v>257035386.2</v>
      </c>
      <c r="AT28" s="49">
        <f>MAX(0,AT27)*Parametros!$B$8</f>
        <v>299835601</v>
      </c>
      <c r="AU28" s="49">
        <f>MAX(0,AU27)*Parametros!$B$8</f>
        <v>245959231</v>
      </c>
      <c r="AV28" s="49">
        <f>MAX(0,AV27)*Parametros!$B$8</f>
        <v>227260383.3</v>
      </c>
      <c r="AW28" s="49">
        <f>MAX(0,AW27)*Parametros!$B$8</f>
        <v>255029263.2</v>
      </c>
      <c r="AX28" s="49">
        <f>MAX(0,AX27)*Parametros!$B$8</f>
        <v>229483085</v>
      </c>
      <c r="AY28" s="49">
        <f>MAX(0,AY27)*Parametros!$B$8</f>
        <v>236732314.2</v>
      </c>
      <c r="AZ28" s="49">
        <f>MAX(0,AZ27)*Parametros!$B$8</f>
        <v>247064930.2</v>
      </c>
      <c r="BA28" s="49">
        <f>MAX(0,BA27)*Parametros!$B$8</f>
        <v>262701313.6</v>
      </c>
      <c r="BB28" s="49">
        <f>MAX(0,BB27)*Parametros!$B$8</f>
        <v>244324544</v>
      </c>
      <c r="BC28" s="49">
        <f>MAX(0,BC27)*Parametros!$B$8</f>
        <v>238314045.9</v>
      </c>
      <c r="BD28" s="49">
        <f>MAX(0,BD27)*Parametros!$B$8</f>
        <v>244111063.8</v>
      </c>
      <c r="BE28" s="49">
        <f>MAX(0,BE27)*Parametros!$B$8</f>
        <v>257035386.2</v>
      </c>
      <c r="BF28" s="49">
        <f>MAX(0,BF27)*Parametros!$B$8</f>
        <v>299835601</v>
      </c>
      <c r="BG28" s="49">
        <f>MAX(0,BG27)*Parametros!$B$8</f>
        <v>245959231</v>
      </c>
      <c r="BH28" s="49">
        <f>MAX(0,BH27)*Parametros!$B$8</f>
        <v>227260383.3</v>
      </c>
      <c r="BI28" s="49">
        <f>MAX(0,BI27)*Parametros!$B$8</f>
        <v>255029263.2</v>
      </c>
    </row>
    <row r="29">
      <c r="A29" s="24" t="s">
        <v>79</v>
      </c>
      <c r="B29" s="49">
        <f t="shared" ref="B29:BI29" si="9">B27-B28</f>
        <v>0</v>
      </c>
      <c r="C29" s="49">
        <f t="shared" si="9"/>
        <v>0</v>
      </c>
      <c r="D29" s="49">
        <f t="shared" si="9"/>
        <v>0</v>
      </c>
      <c r="E29" s="49">
        <f t="shared" si="9"/>
        <v>0</v>
      </c>
      <c r="F29" s="49">
        <f t="shared" si="9"/>
        <v>277119745.9</v>
      </c>
      <c r="G29" s="49">
        <f t="shared" si="9"/>
        <v>442583228.1</v>
      </c>
      <c r="H29" s="49">
        <f t="shared" si="9"/>
        <v>453349118.6</v>
      </c>
      <c r="I29" s="49">
        <f t="shared" si="9"/>
        <v>477351431.5</v>
      </c>
      <c r="J29" s="49">
        <f t="shared" si="9"/>
        <v>556837544.7</v>
      </c>
      <c r="K29" s="49">
        <f t="shared" si="9"/>
        <v>456781429.1</v>
      </c>
      <c r="L29" s="49">
        <f t="shared" si="9"/>
        <v>422054997.6</v>
      </c>
      <c r="M29" s="49">
        <f t="shared" si="9"/>
        <v>473625774.5</v>
      </c>
      <c r="N29" s="49">
        <f t="shared" si="9"/>
        <v>426182872.1</v>
      </c>
      <c r="O29" s="49">
        <f t="shared" si="9"/>
        <v>439645726.3</v>
      </c>
      <c r="P29" s="49">
        <f t="shared" si="9"/>
        <v>458834870.4</v>
      </c>
      <c r="Q29" s="49">
        <f t="shared" si="9"/>
        <v>487873868.1</v>
      </c>
      <c r="R29" s="49">
        <f t="shared" si="9"/>
        <v>453745581.7</v>
      </c>
      <c r="S29" s="49">
        <f t="shared" si="9"/>
        <v>442583228.1</v>
      </c>
      <c r="T29" s="49">
        <f t="shared" si="9"/>
        <v>453349118.6</v>
      </c>
      <c r="U29" s="49">
        <f t="shared" si="9"/>
        <v>477351431.5</v>
      </c>
      <c r="V29" s="49">
        <f t="shared" si="9"/>
        <v>556837544.7</v>
      </c>
      <c r="W29" s="49">
        <f t="shared" si="9"/>
        <v>456781429.1</v>
      </c>
      <c r="X29" s="49">
        <f t="shared" si="9"/>
        <v>422054997.6</v>
      </c>
      <c r="Y29" s="49">
        <f t="shared" si="9"/>
        <v>473625774.5</v>
      </c>
      <c r="Z29" s="49">
        <f t="shared" si="9"/>
        <v>426182872.1</v>
      </c>
      <c r="AA29" s="49">
        <f t="shared" si="9"/>
        <v>439645726.3</v>
      </c>
      <c r="AB29" s="49">
        <f t="shared" si="9"/>
        <v>458834870.4</v>
      </c>
      <c r="AC29" s="49">
        <f t="shared" si="9"/>
        <v>487873868.1</v>
      </c>
      <c r="AD29" s="49">
        <f t="shared" si="9"/>
        <v>453745581.7</v>
      </c>
      <c r="AE29" s="49">
        <f t="shared" si="9"/>
        <v>442583228.1</v>
      </c>
      <c r="AF29" s="49">
        <f t="shared" si="9"/>
        <v>453349118.6</v>
      </c>
      <c r="AG29" s="49">
        <f t="shared" si="9"/>
        <v>477351431.5</v>
      </c>
      <c r="AH29" s="49">
        <f t="shared" si="9"/>
        <v>556837544.7</v>
      </c>
      <c r="AI29" s="49">
        <f t="shared" si="9"/>
        <v>456781429.1</v>
      </c>
      <c r="AJ29" s="49">
        <f t="shared" si="9"/>
        <v>422054997.6</v>
      </c>
      <c r="AK29" s="49">
        <f t="shared" si="9"/>
        <v>473625774.5</v>
      </c>
      <c r="AL29" s="49">
        <f t="shared" si="9"/>
        <v>426182872.1</v>
      </c>
      <c r="AM29" s="49">
        <f t="shared" si="9"/>
        <v>439645726.3</v>
      </c>
      <c r="AN29" s="49">
        <f t="shared" si="9"/>
        <v>458834870.4</v>
      </c>
      <c r="AO29" s="49">
        <f t="shared" si="9"/>
        <v>487873868.1</v>
      </c>
      <c r="AP29" s="49">
        <f t="shared" si="9"/>
        <v>453745581.7</v>
      </c>
      <c r="AQ29" s="49">
        <f t="shared" si="9"/>
        <v>442583228.1</v>
      </c>
      <c r="AR29" s="49">
        <f t="shared" si="9"/>
        <v>453349118.6</v>
      </c>
      <c r="AS29" s="49">
        <f t="shared" si="9"/>
        <v>477351431.5</v>
      </c>
      <c r="AT29" s="49">
        <f t="shared" si="9"/>
        <v>556837544.7</v>
      </c>
      <c r="AU29" s="49">
        <f t="shared" si="9"/>
        <v>456781429.1</v>
      </c>
      <c r="AV29" s="49">
        <f t="shared" si="9"/>
        <v>422054997.6</v>
      </c>
      <c r="AW29" s="49">
        <f t="shared" si="9"/>
        <v>473625774.5</v>
      </c>
      <c r="AX29" s="49">
        <f t="shared" si="9"/>
        <v>426182872.1</v>
      </c>
      <c r="AY29" s="49">
        <f t="shared" si="9"/>
        <v>439645726.3</v>
      </c>
      <c r="AZ29" s="49">
        <f t="shared" si="9"/>
        <v>458834870.4</v>
      </c>
      <c r="BA29" s="49">
        <f t="shared" si="9"/>
        <v>487873868.1</v>
      </c>
      <c r="BB29" s="49">
        <f t="shared" si="9"/>
        <v>453745581.7</v>
      </c>
      <c r="BC29" s="49">
        <f t="shared" si="9"/>
        <v>442583228.1</v>
      </c>
      <c r="BD29" s="49">
        <f t="shared" si="9"/>
        <v>453349118.6</v>
      </c>
      <c r="BE29" s="49">
        <f t="shared" si="9"/>
        <v>477351431.5</v>
      </c>
      <c r="BF29" s="49">
        <f t="shared" si="9"/>
        <v>556837544.7</v>
      </c>
      <c r="BG29" s="49">
        <f t="shared" si="9"/>
        <v>456781429.1</v>
      </c>
      <c r="BH29" s="49">
        <f t="shared" si="9"/>
        <v>422054997.6</v>
      </c>
      <c r="BI29" s="49">
        <f t="shared" si="9"/>
        <v>473625774.5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cols>
    <col customWidth="1" min="1" max="2" width="14.0"/>
    <col customWidth="1" min="3" max="3" width="52.0"/>
    <col customWidth="1" min="4" max="9" width="14.0"/>
    <col customWidth="1" min="10" max="26" width="8.71"/>
  </cols>
  <sheetData>
    <row r="1">
      <c r="A1" s="51" t="s">
        <v>260</v>
      </c>
      <c r="B1" s="52"/>
      <c r="C1" s="52"/>
      <c r="D1" s="52"/>
      <c r="E1" s="52"/>
      <c r="F1" s="52"/>
      <c r="G1" s="52"/>
      <c r="H1" s="52"/>
      <c r="I1" s="52"/>
    </row>
    <row r="2">
      <c r="A2" s="46" t="s">
        <v>261</v>
      </c>
    </row>
    <row r="4">
      <c r="A4" s="53" t="s">
        <v>262</v>
      </c>
      <c r="B4" s="53" t="s">
        <v>263</v>
      </c>
      <c r="C4" s="53" t="s">
        <v>264</v>
      </c>
      <c r="D4" s="53" t="s">
        <v>265</v>
      </c>
      <c r="E4" s="53" t="s">
        <v>266</v>
      </c>
      <c r="F4" s="53" t="s">
        <v>267</v>
      </c>
      <c r="G4" s="53" t="s">
        <v>268</v>
      </c>
      <c r="H4" s="53" t="s">
        <v>269</v>
      </c>
      <c r="I4" s="53" t="s">
        <v>270</v>
      </c>
    </row>
    <row r="5">
      <c r="A5" s="54"/>
      <c r="B5" s="54"/>
      <c r="C5" s="54" t="s">
        <v>271</v>
      </c>
      <c r="D5" s="54"/>
      <c r="E5" s="54"/>
      <c r="F5" s="55"/>
      <c r="G5" s="56"/>
      <c r="H5" s="57"/>
      <c r="I5" s="54"/>
    </row>
    <row r="6">
      <c r="A6" s="26" t="s">
        <v>272</v>
      </c>
      <c r="B6" s="26" t="s">
        <v>18</v>
      </c>
      <c r="C6" s="26" t="s">
        <v>273</v>
      </c>
      <c r="D6" s="58">
        <v>1.0</v>
      </c>
      <c r="E6" s="26" t="s">
        <v>274</v>
      </c>
      <c r="F6" s="59">
        <v>550000.0</v>
      </c>
      <c r="G6" s="60">
        <f t="array" ref="G6">IF($E6="COP",$D6*$F6,IF($E6="USD*",$D6*$F6*Parametros!$B$5,IF($E6="GBP*",$D6*$F6*INDEX(Parametros!$B:$B,MATCH("gbp_cop",Parametros!$A:$A,0)),$D6*$F6*Parametros!$B$5*Parametros!$B$6)))</f>
        <v>1733272145</v>
      </c>
      <c r="H6" s="26">
        <v>10.0</v>
      </c>
      <c r="I6" s="26" t="s">
        <v>275</v>
      </c>
    </row>
    <row r="7">
      <c r="A7" s="26" t="s">
        <v>272</v>
      </c>
      <c r="B7" s="26" t="s">
        <v>18</v>
      </c>
      <c r="C7" s="26" t="s">
        <v>276</v>
      </c>
      <c r="D7" s="58">
        <v>1.0</v>
      </c>
      <c r="E7" s="26" t="s">
        <v>274</v>
      </c>
      <c r="F7" s="59">
        <v>100000.0</v>
      </c>
      <c r="G7" s="60">
        <f t="array" ref="G7">IF($E7="COP",$D7*$F7,IF($E7="USD*",$D7*$F7*Parametros!$B$5,IF($E7="GBP*",$D7*$F7*INDEX(Parametros!$B:$B,MATCH("gbp_cop",Parametros!$A:$A,0)),$D7*$F7*Parametros!$B$5*Parametros!$B$6)))</f>
        <v>315140390</v>
      </c>
      <c r="H7" s="26">
        <v>7.0</v>
      </c>
      <c r="I7" s="26" t="s">
        <v>275</v>
      </c>
    </row>
    <row r="8">
      <c r="A8" s="26" t="s">
        <v>277</v>
      </c>
      <c r="B8" s="26" t="s">
        <v>18</v>
      </c>
      <c r="C8" s="26" t="s">
        <v>278</v>
      </c>
      <c r="D8" s="58">
        <v>1.0</v>
      </c>
      <c r="E8" s="26" t="s">
        <v>274</v>
      </c>
      <c r="F8" s="59">
        <v>60000.0</v>
      </c>
      <c r="G8" s="60">
        <f t="array" ref="G8">IF($E8="COP",$D8*$F8,IF($E8="USD*",$D8*$F8*Parametros!$B$5,IF($E8="GBP*",$D8*$F8*INDEX(Parametros!$B:$B,MATCH("gbp_cop",Parametros!$A:$A,0)),$D8*$F8*Parametros!$B$5*Parametros!$B$6)))</f>
        <v>189084234</v>
      </c>
      <c r="H8" s="26">
        <v>10.0</v>
      </c>
      <c r="I8" s="26" t="s">
        <v>279</v>
      </c>
    </row>
    <row r="9">
      <c r="A9" s="61" t="s">
        <v>280</v>
      </c>
      <c r="B9" s="61" t="s">
        <v>18</v>
      </c>
      <c r="C9" s="61" t="s">
        <v>281</v>
      </c>
      <c r="D9" s="61">
        <v>0.0</v>
      </c>
      <c r="E9" s="61" t="s">
        <v>274</v>
      </c>
      <c r="F9" s="62">
        <v>450000.0</v>
      </c>
      <c r="G9" s="62">
        <f t="array" ref="G9">IF($E9="COP",$D9*$F9,IF($E9="USD*",$D9*$F9*Parametros!$B$5,IF($E9="GBP*",$D9*$F9*INDEX(Parametros!$B:$B,MATCH("gbp_cop",Parametros!$A:$A,0)),$D9*$F9*Parametros!$B$5*Parametros!$B$6)))</f>
        <v>0</v>
      </c>
      <c r="H9" s="61">
        <v>10.0</v>
      </c>
      <c r="I9" s="61" t="s">
        <v>275</v>
      </c>
    </row>
    <row r="10">
      <c r="A10" s="61" t="s">
        <v>280</v>
      </c>
      <c r="B10" s="61" t="s">
        <v>18</v>
      </c>
      <c r="C10" s="61" t="s">
        <v>282</v>
      </c>
      <c r="D10" s="61">
        <v>0.0</v>
      </c>
      <c r="E10" s="61" t="s">
        <v>274</v>
      </c>
      <c r="F10" s="62">
        <v>180000.0</v>
      </c>
      <c r="G10" s="62">
        <f t="array" ref="G10">IF($E10="COP",$D10*$F10,IF($E10="USD*",$D10*$F10*Parametros!$B$5,IF($E10="GBP*",$D10*$F10*INDEX(Parametros!$B:$B,MATCH("gbp_cop",Parametros!$A:$A,0)),$D10*$F10*Parametros!$B$5*Parametros!$B$6)))</f>
        <v>0</v>
      </c>
      <c r="H10" s="61">
        <v>7.0</v>
      </c>
      <c r="I10" s="61" t="s">
        <v>279</v>
      </c>
    </row>
    <row r="11">
      <c r="A11" s="61" t="s">
        <v>280</v>
      </c>
      <c r="B11" s="61" t="s">
        <v>18</v>
      </c>
      <c r="C11" s="61" t="s">
        <v>283</v>
      </c>
      <c r="D11" s="61">
        <v>0.0</v>
      </c>
      <c r="E11" s="61" t="s">
        <v>274</v>
      </c>
      <c r="F11" s="62">
        <v>120000.0</v>
      </c>
      <c r="G11" s="62">
        <f t="array" ref="G11">IF($E11="COP",$D11*$F11,IF($E11="USD*",$D11*$F11*Parametros!$B$5,IF($E11="GBP*",$D11*$F11*INDEX(Parametros!$B:$B,MATCH("gbp_cop",Parametros!$A:$A,0)),$D11*$F11*Parametros!$B$5*Parametros!$B$6)))</f>
        <v>0</v>
      </c>
      <c r="H11" s="61">
        <v>7.0</v>
      </c>
      <c r="I11" s="61" t="s">
        <v>279</v>
      </c>
    </row>
    <row r="12">
      <c r="A12" s="63"/>
      <c r="B12" s="63"/>
      <c r="C12" s="63" t="s">
        <v>284</v>
      </c>
      <c r="D12" s="64"/>
      <c r="E12" s="63"/>
      <c r="F12" s="65"/>
      <c r="G12" s="65">
        <f>SUM(G6:G11)</f>
        <v>2237496769</v>
      </c>
      <c r="H12" s="64"/>
      <c r="I12" s="63"/>
    </row>
    <row r="13">
      <c r="A13" s="66"/>
      <c r="B13" s="66"/>
      <c r="C13" s="66"/>
      <c r="D13" s="67"/>
      <c r="E13" s="66"/>
      <c r="F13" s="68"/>
      <c r="G13" s="69"/>
      <c r="H13" s="67"/>
      <c r="I13" s="66"/>
    </row>
    <row r="14">
      <c r="A14" s="70"/>
      <c r="B14" s="70"/>
      <c r="C14" s="70" t="s">
        <v>285</v>
      </c>
      <c r="D14" s="70"/>
      <c r="E14" s="70"/>
      <c r="F14" s="71"/>
      <c r="G14" s="71"/>
      <c r="H14" s="70"/>
      <c r="I14" s="70"/>
    </row>
    <row r="15">
      <c r="A15" s="26" t="s">
        <v>272</v>
      </c>
      <c r="B15" s="26" t="s">
        <v>19</v>
      </c>
      <c r="C15" s="26" t="s">
        <v>286</v>
      </c>
      <c r="D15" s="58">
        <v>1.0</v>
      </c>
      <c r="E15" s="26" t="s">
        <v>274</v>
      </c>
      <c r="F15" s="59">
        <v>425000.0</v>
      </c>
      <c r="G15" s="60">
        <f t="array" ref="G15">IF($E15="COP",$D15*$F15,IF($E15="USD*",$D15*$F15*Parametros!$B$5,IF($E15="GBP*",$D15*$F15*INDEX(Parametros!$B:$B,MATCH("gbp_cop",Parametros!$A:$A,0)),$D15*$F15*Parametros!$B$5*Parametros!$B$6)))</f>
        <v>1339346658</v>
      </c>
      <c r="H15" s="26">
        <v>10.0</v>
      </c>
      <c r="I15" s="26" t="s">
        <v>275</v>
      </c>
    </row>
    <row r="16">
      <c r="A16" s="26" t="s">
        <v>272</v>
      </c>
      <c r="B16" s="26" t="s">
        <v>19</v>
      </c>
      <c r="C16" s="26" t="s">
        <v>287</v>
      </c>
      <c r="D16" s="58">
        <v>1.0</v>
      </c>
      <c r="E16" s="26" t="s">
        <v>288</v>
      </c>
      <c r="F16" s="59">
        <v>79900.0</v>
      </c>
      <c r="G16" s="60">
        <f t="array" ref="G16">IF($E16="COP",$D16*$F16,IF($E16="USD*",$D16*$F16*Parametros!$B$5,IF($E16="GBP*",$D16*$F16*INDEX(Parametros!$B:$B,MATCH("gbp_cop",Parametros!$A:$A,0)),$D16*$F16*Parametros!$B$5*Parametros!$B$6)))</f>
        <v>259584713</v>
      </c>
      <c r="H16" s="26">
        <v>7.0</v>
      </c>
      <c r="I16" s="26" t="s">
        <v>275</v>
      </c>
    </row>
    <row r="17">
      <c r="A17" s="26" t="s">
        <v>272</v>
      </c>
      <c r="B17" s="26" t="s">
        <v>19</v>
      </c>
      <c r="C17" s="26" t="s">
        <v>289</v>
      </c>
      <c r="D17" s="58">
        <v>1.0</v>
      </c>
      <c r="E17" s="26" t="s">
        <v>274</v>
      </c>
      <c r="F17" s="59">
        <v>90000.0</v>
      </c>
      <c r="G17" s="60">
        <f t="array" ref="G17">IF($E17="COP",$D17*$F17,IF($E17="USD*",$D17*$F17*Parametros!$B$5,IF($E17="GBP*",$D17*$F17*INDEX(Parametros!$B:$B,MATCH("gbp_cop",Parametros!$A:$A,0)),$D17*$F17*Parametros!$B$5*Parametros!$B$6)))</f>
        <v>283626351</v>
      </c>
      <c r="H17" s="26">
        <v>10.0</v>
      </c>
      <c r="I17" s="26" t="s">
        <v>275</v>
      </c>
    </row>
    <row r="18">
      <c r="A18" s="61" t="s">
        <v>280</v>
      </c>
      <c r="B18" s="61" t="s">
        <v>19</v>
      </c>
      <c r="C18" s="61" t="s">
        <v>290</v>
      </c>
      <c r="D18" s="72">
        <v>0.0</v>
      </c>
      <c r="E18" s="61" t="s">
        <v>274</v>
      </c>
      <c r="F18" s="62">
        <v>160000.0</v>
      </c>
      <c r="G18" s="62">
        <f t="array" ref="G18">IF($E18="COP",$D18*$F18,IF($E18="USD*",$D18*$F18*Parametros!$B$5,IF($E18="GBP*",$D18*$F18*INDEX(Parametros!$B:$B,MATCH("gbp_cop",Parametros!$A:$A,0)),$D18*$F18*Parametros!$B$5*Parametros!$B$6)))</f>
        <v>0</v>
      </c>
      <c r="H18" s="72">
        <v>7.0</v>
      </c>
      <c r="I18" s="61" t="s">
        <v>279</v>
      </c>
    </row>
    <row r="19">
      <c r="A19" s="63"/>
      <c r="B19" s="63"/>
      <c r="C19" s="63" t="s">
        <v>291</v>
      </c>
      <c r="D19" s="63"/>
      <c r="E19" s="63"/>
      <c r="F19" s="65"/>
      <c r="G19" s="65">
        <f>SUM(G15:G18)</f>
        <v>1882557722</v>
      </c>
      <c r="H19" s="63"/>
      <c r="I19" s="63"/>
    </row>
    <row r="20">
      <c r="A20" s="66"/>
      <c r="B20" s="66"/>
      <c r="C20" s="66"/>
      <c r="D20" s="66"/>
      <c r="E20" s="66"/>
      <c r="F20" s="68"/>
      <c r="G20" s="68"/>
      <c r="H20" s="67"/>
      <c r="I20" s="66"/>
    </row>
    <row r="21">
      <c r="A21" s="73"/>
      <c r="B21" s="73"/>
      <c r="C21" s="73" t="s">
        <v>292</v>
      </c>
      <c r="D21" s="73"/>
      <c r="E21" s="73"/>
      <c r="F21" s="74"/>
      <c r="G21" s="74"/>
      <c r="H21" s="73"/>
      <c r="I21" s="73"/>
    </row>
    <row r="22">
      <c r="A22" s="66" t="s">
        <v>293</v>
      </c>
      <c r="B22" s="66" t="s">
        <v>294</v>
      </c>
      <c r="C22" s="66" t="s">
        <v>295</v>
      </c>
      <c r="D22" s="66">
        <v>1.0</v>
      </c>
      <c r="E22" s="66" t="s">
        <v>288</v>
      </c>
      <c r="F22" s="68">
        <v>2800.0</v>
      </c>
      <c r="G22" s="68">
        <f t="array" ref="G22">IF($E22="COP",$D22*$F22,IF($E22="USD*",$D22*$F22*Parametros!$B$5,IF($E22="GBP*",$D22*$F22*INDEX(Parametros!$B:$B,MATCH("gbp_cop",Parametros!$A:$A,0)),$D22*$F22*Parametros!$B$5*Parametros!$B$6)))</f>
        <v>9096836</v>
      </c>
      <c r="H22" s="66">
        <v>10.0</v>
      </c>
      <c r="I22" s="66" t="s">
        <v>275</v>
      </c>
    </row>
    <row r="23">
      <c r="A23" s="26" t="s">
        <v>293</v>
      </c>
      <c r="B23" s="26" t="s">
        <v>294</v>
      </c>
      <c r="C23" s="26" t="s">
        <v>296</v>
      </c>
      <c r="D23" s="58">
        <v>1.0</v>
      </c>
      <c r="E23" s="26" t="s">
        <v>288</v>
      </c>
      <c r="F23" s="59">
        <v>2000.0</v>
      </c>
      <c r="G23" s="60">
        <f t="array" ref="G23">IF($E23="COP",$D23*$F23,IF($E23="USD*",$D23*$F23*Parametros!$B$5,IF($E23="GBP*",$D23*$F23*INDEX(Parametros!$B:$B,MATCH("gbp_cop",Parametros!$A:$A,0)),$D23*$F23*Parametros!$B$5*Parametros!$B$6)))</f>
        <v>6497740</v>
      </c>
      <c r="H23" s="26">
        <v>10.0</v>
      </c>
      <c r="I23" s="26" t="s">
        <v>275</v>
      </c>
    </row>
    <row r="24">
      <c r="A24" s="26" t="s">
        <v>293</v>
      </c>
      <c r="B24" s="26" t="s">
        <v>294</v>
      </c>
      <c r="C24" s="26" t="s">
        <v>297</v>
      </c>
      <c r="D24" s="58">
        <v>1.0</v>
      </c>
      <c r="E24" s="26" t="s">
        <v>288</v>
      </c>
      <c r="F24" s="59">
        <v>6500.0</v>
      </c>
      <c r="G24" s="60">
        <f t="array" ref="G24">IF($E24="COP",$D24*$F24,IF($E24="USD*",$D24*$F24*Parametros!$B$5,IF($E24="GBP*",$D24*$F24*INDEX(Parametros!$B:$B,MATCH("gbp_cop",Parametros!$A:$A,0)),$D24*$F24*Parametros!$B$5*Parametros!$B$6)))</f>
        <v>21117655</v>
      </c>
      <c r="H24" s="26">
        <v>10.0</v>
      </c>
      <c r="I24" s="26" t="s">
        <v>275</v>
      </c>
    </row>
    <row r="25">
      <c r="A25" s="26" t="s">
        <v>293</v>
      </c>
      <c r="B25" s="26" t="s">
        <v>294</v>
      </c>
      <c r="C25" s="26" t="s">
        <v>298</v>
      </c>
      <c r="D25" s="58">
        <v>1.0</v>
      </c>
      <c r="E25" s="26" t="s">
        <v>288</v>
      </c>
      <c r="F25" s="59">
        <v>1100.0</v>
      </c>
      <c r="G25" s="60">
        <f t="array" ref="G25">IF($E25="COP",$D25*$F25,IF($E25="USD*",$D25*$F25*Parametros!$B$5,IF($E25="GBP*",$D25*$F25*INDEX(Parametros!$B:$B,MATCH("gbp_cop",Parametros!$A:$A,0)),$D25*$F25*Parametros!$B$5*Parametros!$B$6)))</f>
        <v>3573757</v>
      </c>
      <c r="H25" s="26">
        <v>10.0</v>
      </c>
      <c r="I25" s="26" t="s">
        <v>275</v>
      </c>
    </row>
    <row r="26">
      <c r="A26" s="66" t="s">
        <v>293</v>
      </c>
      <c r="B26" s="66" t="s">
        <v>294</v>
      </c>
      <c r="C26" s="66" t="s">
        <v>299</v>
      </c>
      <c r="D26" s="67">
        <v>1.0</v>
      </c>
      <c r="E26" s="66" t="s">
        <v>288</v>
      </c>
      <c r="F26" s="68">
        <v>5500.0</v>
      </c>
      <c r="G26" s="68">
        <f t="array" ref="G26">IF($E26="COP",$D26*$F26,IF($E26="USD*",$D26*$F26*Parametros!$B$5,IF($E26="GBP*",$D26*$F26*INDEX(Parametros!$B:$B,MATCH("gbp_cop",Parametros!$A:$A,0)),$D26*$F26*Parametros!$B$5*Parametros!$B$6)))</f>
        <v>17868785</v>
      </c>
      <c r="H26" s="67">
        <v>10.0</v>
      </c>
      <c r="I26" s="66" t="s">
        <v>275</v>
      </c>
    </row>
    <row r="27">
      <c r="A27" s="41" t="s">
        <v>293</v>
      </c>
      <c r="B27" s="26" t="s">
        <v>294</v>
      </c>
      <c r="C27" s="26" t="s">
        <v>300</v>
      </c>
      <c r="D27" s="58">
        <v>1.0</v>
      </c>
      <c r="E27" s="26" t="s">
        <v>288</v>
      </c>
      <c r="F27" s="59">
        <v>7500.0</v>
      </c>
      <c r="G27" s="60">
        <f t="array" ref="G27">IF($E27="COP",$D27*$F27,IF($E27="USD*",$D27*$F27*Parametros!$B$5,IF($E27="GBP*",$D27*$F27*INDEX(Parametros!$B:$B,MATCH("gbp_cop",Parametros!$A:$A,0)),$D27*$F27*Parametros!$B$5*Parametros!$B$6)))</f>
        <v>24366525</v>
      </c>
      <c r="H27" s="26">
        <v>10.0</v>
      </c>
      <c r="I27" s="26" t="s">
        <v>275</v>
      </c>
    </row>
    <row r="28">
      <c r="A28" s="66" t="s">
        <v>293</v>
      </c>
      <c r="B28" s="66" t="s">
        <v>294</v>
      </c>
      <c r="C28" s="66" t="s">
        <v>301</v>
      </c>
      <c r="D28" s="67">
        <v>1.0</v>
      </c>
      <c r="E28" s="66" t="s">
        <v>288</v>
      </c>
      <c r="F28" s="68">
        <v>450.0</v>
      </c>
      <c r="G28" s="68">
        <f t="array" ref="G28">IF($E28="COP",$D28*$F28,IF($E28="USD*",$D28*$F28*Parametros!$B$5,IF($E28="GBP*",$D28*$F28*INDEX(Parametros!$B:$B,MATCH("gbp_cop",Parametros!$A:$A,0)),$D28*$F28*Parametros!$B$5*Parametros!$B$6)))</f>
        <v>1461991.5</v>
      </c>
      <c r="H28" s="67">
        <v>10.0</v>
      </c>
      <c r="I28" s="66" t="s">
        <v>275</v>
      </c>
    </row>
    <row r="29">
      <c r="A29" s="26" t="s">
        <v>293</v>
      </c>
      <c r="B29" s="26" t="s">
        <v>294</v>
      </c>
      <c r="C29" s="26" t="s">
        <v>302</v>
      </c>
      <c r="D29" s="58">
        <v>2.0</v>
      </c>
      <c r="E29" s="26" t="s">
        <v>288</v>
      </c>
      <c r="F29" s="59">
        <v>1200.0</v>
      </c>
      <c r="G29" s="60">
        <f t="array" ref="G29">IF($E29="COP",$D29*$F29,IF($E29="USD*",$D29*$F29*Parametros!$B$5,IF($E29="GBP*",$D29*$F29*INDEX(Parametros!$B:$B,MATCH("gbp_cop",Parametros!$A:$A,0)),$D29*$F29*Parametros!$B$5*Parametros!$B$6)))</f>
        <v>7797288</v>
      </c>
      <c r="H29" s="26">
        <v>10.0</v>
      </c>
      <c r="I29" s="26" t="s">
        <v>275</v>
      </c>
    </row>
    <row r="30">
      <c r="A30" s="75" t="s">
        <v>293</v>
      </c>
      <c r="B30" s="75" t="s">
        <v>294</v>
      </c>
      <c r="C30" s="76" t="s">
        <v>303</v>
      </c>
      <c r="D30" s="77">
        <v>1.0</v>
      </c>
      <c r="E30" s="75" t="s">
        <v>288</v>
      </c>
      <c r="F30" s="78">
        <v>9000.0</v>
      </c>
      <c r="G30" s="79">
        <f t="array" ref="G30">IF($E30="COP",$D30*$F30,IF($E30="USD*",$D30*$F30*Parametros!$B$5,IF($E30="GBP*",$D30*$F30*INDEX(Parametros!$B:$B,MATCH("gbp_cop",Parametros!$A:$A,0)),$D30*$F30*Parametros!$B$5*Parametros!$B$6)))</f>
        <v>29239830</v>
      </c>
      <c r="H30" s="77">
        <v>10.0</v>
      </c>
      <c r="I30" s="75" t="s">
        <v>275</v>
      </c>
    </row>
    <row r="31">
      <c r="A31" s="2" t="s">
        <v>293</v>
      </c>
      <c r="B31" s="2" t="s">
        <v>294</v>
      </c>
      <c r="C31" s="2" t="s">
        <v>304</v>
      </c>
      <c r="D31" s="36">
        <v>8.0</v>
      </c>
      <c r="E31" s="2" t="s">
        <v>288</v>
      </c>
      <c r="F31" s="80">
        <v>220.0</v>
      </c>
      <c r="G31" s="6">
        <f t="array" ref="G31">IF($E31="COP",$D31*$F31,IF($E31="USD*",$D31*$F31*Parametros!$B$5,IF($E31="GBP*",$D31*$F31*INDEX(Parametros!$B:$B,MATCH("gbp_cop",Parametros!$A:$A,0)),$D31*$F31*Parametros!$B$5*Parametros!$B$6)))</f>
        <v>5718011.2</v>
      </c>
      <c r="H31" s="36">
        <v>10.0</v>
      </c>
      <c r="I31" s="2" t="s">
        <v>275</v>
      </c>
    </row>
    <row r="32">
      <c r="A32" s="2" t="s">
        <v>293</v>
      </c>
      <c r="B32" s="2" t="s">
        <v>294</v>
      </c>
      <c r="C32" s="81" t="s">
        <v>305</v>
      </c>
      <c r="D32" s="36">
        <v>8.0</v>
      </c>
      <c r="E32" s="2" t="s">
        <v>288</v>
      </c>
      <c r="F32" s="80">
        <v>55.0</v>
      </c>
      <c r="G32" s="82">
        <f t="array" ref="G32">IF($E32="COP",$D32*$F32,IF($E32="USD*",$D32*$F32*Parametros!$B$5,IF($E32="GBP*",$D32*$F32*INDEX(Parametros!$B:$B,MATCH("gbp_cop",Parametros!$A:$A,0)),$D32*$F32*Parametros!$B$5*Parametros!$B$6)))</f>
        <v>1429502.8</v>
      </c>
      <c r="H32" s="36">
        <v>10.0</v>
      </c>
      <c r="I32" s="2" t="s">
        <v>275</v>
      </c>
    </row>
    <row r="33">
      <c r="A33" s="2" t="s">
        <v>293</v>
      </c>
      <c r="B33" s="2" t="s">
        <v>294</v>
      </c>
      <c r="C33" s="83" t="s">
        <v>306</v>
      </c>
      <c r="D33" s="36">
        <v>1.0</v>
      </c>
      <c r="E33" s="2" t="s">
        <v>288</v>
      </c>
      <c r="F33" s="80">
        <v>220.0</v>
      </c>
      <c r="G33" s="82">
        <f t="array" ref="G33">IF($E33="COP",$D33*$F33,IF($E33="USD*",$D33*$F33*Parametros!$B$5,IF($E33="GBP*",$D33*$F33*INDEX(Parametros!$B:$B,MATCH("gbp_cop",Parametros!$A:$A,0)),$D33*$F33*Parametros!$B$5*Parametros!$B$6)))</f>
        <v>714751.4</v>
      </c>
      <c r="H33" s="36">
        <v>10.0</v>
      </c>
      <c r="I33" s="2" t="s">
        <v>275</v>
      </c>
    </row>
    <row r="34">
      <c r="A34" s="75" t="s">
        <v>293</v>
      </c>
      <c r="B34" s="75" t="s">
        <v>294</v>
      </c>
      <c r="C34" s="76" t="s">
        <v>307</v>
      </c>
      <c r="D34" s="77">
        <v>8.0</v>
      </c>
      <c r="E34" s="75" t="s">
        <v>288</v>
      </c>
      <c r="F34" s="78">
        <v>28.0</v>
      </c>
      <c r="G34" s="84">
        <f t="array" ref="G34">IF($E34="COP",$D34*$F34,IF($E34="USD*",$D34*$F34*Parametros!$B$5,IF($E34="GBP*",$D34*$F34*INDEX(Parametros!$B:$B,MATCH("gbp_cop",Parametros!$A:$A,0)),$D34*$F34*Parametros!$B$5*Parametros!$B$6)))</f>
        <v>727746.88</v>
      </c>
      <c r="H34" s="77">
        <v>10.0</v>
      </c>
      <c r="I34" s="75" t="s">
        <v>275</v>
      </c>
    </row>
    <row r="35">
      <c r="A35" s="2" t="s">
        <v>293</v>
      </c>
      <c r="B35" s="2" t="s">
        <v>294</v>
      </c>
      <c r="C35" s="2" t="s">
        <v>308</v>
      </c>
      <c r="D35" s="36">
        <v>4.0</v>
      </c>
      <c r="E35" s="2" t="s">
        <v>288</v>
      </c>
      <c r="F35" s="80">
        <v>60.0</v>
      </c>
      <c r="G35" s="6">
        <f t="array" ref="G35">IF($E35="COP",$D35*$F35,IF($E35="USD*",$D35*$F35*Parametros!$B$5,IF($E35="GBP*",$D35*$F35*INDEX(Parametros!$B:$B,MATCH("gbp_cop",Parametros!$A:$A,0)),$D35*$F35*Parametros!$B$5*Parametros!$B$6)))</f>
        <v>779728.8</v>
      </c>
      <c r="H35" s="36">
        <v>10.0</v>
      </c>
      <c r="I35" s="2" t="s">
        <v>275</v>
      </c>
    </row>
    <row r="36">
      <c r="A36" s="2" t="s">
        <v>293</v>
      </c>
      <c r="B36" s="2" t="s">
        <v>294</v>
      </c>
      <c r="C36" s="2" t="s">
        <v>309</v>
      </c>
      <c r="D36" s="36">
        <v>1.0</v>
      </c>
      <c r="E36" s="2" t="s">
        <v>288</v>
      </c>
      <c r="F36" s="80">
        <v>240.0</v>
      </c>
      <c r="G36" s="6">
        <f t="array" ref="G36">IF($E36="COP",$D36*$F36,IF($E36="USD*",$D36*$F36*Parametros!$B$5,IF($E36="GBP*",$D36*$F36*INDEX(Parametros!$B:$B,MATCH("gbp_cop",Parametros!$A:$A,0)),$D36*$F36*Parametros!$B$5*Parametros!$B$6)))</f>
        <v>779728.8</v>
      </c>
      <c r="H36" s="36">
        <v>10.0</v>
      </c>
      <c r="I36" s="2" t="s">
        <v>275</v>
      </c>
    </row>
    <row r="37">
      <c r="A37" s="75" t="s">
        <v>293</v>
      </c>
      <c r="B37" s="75" t="s">
        <v>294</v>
      </c>
      <c r="C37" s="75" t="s">
        <v>310</v>
      </c>
      <c r="D37" s="77">
        <v>8.0</v>
      </c>
      <c r="E37" s="75" t="s">
        <v>288</v>
      </c>
      <c r="F37" s="78">
        <v>5500.0</v>
      </c>
      <c r="G37" s="78">
        <f t="array" ref="G37">IF($E37="COP",$D37*$F37,IF($E37="USD*",$D37*$F37*Parametros!$B$5,IF($E37="GBP*",$D37*$F37*INDEX(Parametros!$B:$B,MATCH("gbp_cop",Parametros!$A:$A,0)),$D37*$F37*Parametros!$B$5*Parametros!$B$6)))</f>
        <v>142950280</v>
      </c>
      <c r="H37" s="77">
        <v>10.0</v>
      </c>
      <c r="I37" s="75" t="s">
        <v>275</v>
      </c>
    </row>
    <row r="38">
      <c r="A38" s="2" t="s">
        <v>293</v>
      </c>
      <c r="B38" s="2" t="s">
        <v>294</v>
      </c>
      <c r="C38" s="2" t="s">
        <v>311</v>
      </c>
      <c r="D38" s="36">
        <v>3.0</v>
      </c>
      <c r="E38" s="2" t="s">
        <v>288</v>
      </c>
      <c r="F38" s="80">
        <v>220.0</v>
      </c>
      <c r="G38" s="6">
        <f t="array" ref="G38">IF($E38="COP",$D38*$F38,IF($E38="USD*",$D38*$F38*Parametros!$B$5,IF($E38="GBP*",$D38*$F38*INDEX(Parametros!$B:$B,MATCH("gbp_cop",Parametros!$A:$A,0)),$D38*$F38*Parametros!$B$5*Parametros!$B$6)))</f>
        <v>2144254.2</v>
      </c>
      <c r="H38" s="36">
        <v>10.0</v>
      </c>
      <c r="I38" s="2" t="s">
        <v>275</v>
      </c>
    </row>
    <row r="39">
      <c r="A39" s="75" t="s">
        <v>293</v>
      </c>
      <c r="B39" s="75" t="s">
        <v>294</v>
      </c>
      <c r="C39" s="75" t="s">
        <v>312</v>
      </c>
      <c r="D39" s="77">
        <v>6.0</v>
      </c>
      <c r="E39" s="75" t="s">
        <v>288</v>
      </c>
      <c r="F39" s="78">
        <v>220.0</v>
      </c>
      <c r="G39" s="79">
        <f t="array" ref="G39">IF($E39="COP",$D39*$F39,IF($E39="USD*",$D39*$F39*Parametros!$B$5,IF($E39="GBP*",$D39*$F39*INDEX(Parametros!$B:$B,MATCH("gbp_cop",Parametros!$A:$A,0)),$D39*$F39*Parametros!$B$5*Parametros!$B$6)))</f>
        <v>4288508.4</v>
      </c>
      <c r="H39" s="77">
        <v>10.0</v>
      </c>
      <c r="I39" s="75" t="s">
        <v>275</v>
      </c>
    </row>
    <row r="40">
      <c r="A40" s="2" t="s">
        <v>293</v>
      </c>
      <c r="B40" s="2" t="s">
        <v>294</v>
      </c>
      <c r="C40" s="2" t="s">
        <v>313</v>
      </c>
      <c r="D40" s="36">
        <v>5.0</v>
      </c>
      <c r="E40" s="2" t="s">
        <v>288</v>
      </c>
      <c r="F40" s="80">
        <v>420.0</v>
      </c>
      <c r="G40" s="6">
        <f t="array" ref="G40">IF($E40="COP",$D40*$F40,IF($E40="USD*",$D40*$F40*Parametros!$B$5,IF($E40="GBP*",$D40*$F40*INDEX(Parametros!$B:$B,MATCH("gbp_cop",Parametros!$A:$A,0)),$D40*$F40*Parametros!$B$5*Parametros!$B$6)))</f>
        <v>6822627</v>
      </c>
      <c r="H40" s="36">
        <v>10.0</v>
      </c>
      <c r="I40" s="2" t="s">
        <v>275</v>
      </c>
    </row>
    <row r="41">
      <c r="A41" s="2" t="s">
        <v>293</v>
      </c>
      <c r="B41" s="2" t="s">
        <v>294</v>
      </c>
      <c r="C41" s="2" t="s">
        <v>314</v>
      </c>
      <c r="D41" s="36">
        <v>1.0</v>
      </c>
      <c r="E41" s="2" t="s">
        <v>288</v>
      </c>
      <c r="F41" s="80">
        <v>380.0</v>
      </c>
      <c r="G41" s="6">
        <f t="array" ref="G41">IF($E41="COP",$D41*$F41,IF($E41="USD*",$D41*$F41*Parametros!$B$5,IF($E41="GBP*",$D41*$F41*INDEX(Parametros!$B:$B,MATCH("gbp_cop",Parametros!$A:$A,0)),$D41*$F41*Parametros!$B$5*Parametros!$B$6)))</f>
        <v>1234570.6</v>
      </c>
      <c r="H41" s="36">
        <v>10.0</v>
      </c>
      <c r="I41" s="2" t="s">
        <v>275</v>
      </c>
    </row>
    <row r="42">
      <c r="A42" s="2" t="s">
        <v>293</v>
      </c>
      <c r="B42" s="2" t="s">
        <v>294</v>
      </c>
      <c r="C42" s="2" t="s">
        <v>315</v>
      </c>
      <c r="D42" s="36">
        <v>1.0</v>
      </c>
      <c r="E42" s="2" t="s">
        <v>288</v>
      </c>
      <c r="F42" s="80">
        <v>220.0</v>
      </c>
      <c r="G42" s="6">
        <f t="array" ref="G42">IF($E42="COP",$D42*$F42,IF($E42="USD*",$D42*$F42*Parametros!$B$5,IF($E42="GBP*",$D42*$F42*INDEX(Parametros!$B:$B,MATCH("gbp_cop",Parametros!$A:$A,0)),$D42*$F42*Parametros!$B$5*Parametros!$B$6)))</f>
        <v>714751.4</v>
      </c>
      <c r="H42" s="36">
        <v>10.0</v>
      </c>
      <c r="I42" s="2" t="s">
        <v>275</v>
      </c>
    </row>
    <row r="43">
      <c r="A43" s="75" t="s">
        <v>293</v>
      </c>
      <c r="B43" s="75" t="s">
        <v>294</v>
      </c>
      <c r="C43" s="75" t="s">
        <v>316</v>
      </c>
      <c r="D43" s="77">
        <v>4.0</v>
      </c>
      <c r="E43" s="75" t="s">
        <v>288</v>
      </c>
      <c r="F43" s="78">
        <v>240.0</v>
      </c>
      <c r="G43" s="79">
        <f t="array" ref="G43">IF($E43="COP",$D43*$F43,IF($E43="USD*",$D43*$F43*Parametros!$B$5,IF($E43="GBP*",$D43*$F43*INDEX(Parametros!$B:$B,MATCH("gbp_cop",Parametros!$A:$A,0)),$D43*$F43*Parametros!$B$5*Parametros!$B$6)))</f>
        <v>3118915.2</v>
      </c>
      <c r="H43" s="77">
        <v>10.0</v>
      </c>
      <c r="I43" s="75" t="s">
        <v>275</v>
      </c>
    </row>
    <row r="44">
      <c r="A44" s="75" t="s">
        <v>293</v>
      </c>
      <c r="B44" s="75" t="s">
        <v>294</v>
      </c>
      <c r="C44" s="75" t="s">
        <v>317</v>
      </c>
      <c r="D44" s="77">
        <v>1.0</v>
      </c>
      <c r="E44" s="75" t="s">
        <v>288</v>
      </c>
      <c r="F44" s="78">
        <v>260.0</v>
      </c>
      <c r="G44" s="79">
        <f t="array" ref="G44">IF($E44="COP",$D44*$F44,IF($E44="USD*",$D44*$F44*Parametros!$B$5,IF($E44="GBP*",$D44*$F44*INDEX(Parametros!$B:$B,MATCH("gbp_cop",Parametros!$A:$A,0)),$D44*$F44*Parametros!$B$5*Parametros!$B$6)))</f>
        <v>844706.2</v>
      </c>
      <c r="H44" s="77">
        <v>10.0</v>
      </c>
      <c r="I44" s="75" t="s">
        <v>275</v>
      </c>
    </row>
    <row r="45">
      <c r="A45" s="2" t="s">
        <v>293</v>
      </c>
      <c r="B45" s="2" t="s">
        <v>294</v>
      </c>
      <c r="C45" s="2" t="s">
        <v>318</v>
      </c>
      <c r="D45" s="36">
        <v>1.0</v>
      </c>
      <c r="E45" s="2" t="s">
        <v>288</v>
      </c>
      <c r="F45" s="80">
        <v>750.0</v>
      </c>
      <c r="G45" s="6">
        <f t="array" ref="G45">IF($E45="COP",$D45*$F45,IF($E45="USD*",$D45*$F45*Parametros!$B$5,IF($E45="GBP*",$D45*$F45*INDEX(Parametros!$B:$B,MATCH("gbp_cop",Parametros!$A:$A,0)),$D45*$F45*Parametros!$B$5*Parametros!$B$6)))</f>
        <v>2436652.5</v>
      </c>
      <c r="H45" s="36">
        <v>10.0</v>
      </c>
      <c r="I45" s="2" t="s">
        <v>275</v>
      </c>
    </row>
    <row r="46">
      <c r="A46" s="2" t="s">
        <v>293</v>
      </c>
      <c r="B46" s="2" t="s">
        <v>294</v>
      </c>
      <c r="C46" s="2" t="s">
        <v>319</v>
      </c>
      <c r="D46" s="36">
        <v>1.0</v>
      </c>
      <c r="E46" s="2" t="s">
        <v>288</v>
      </c>
      <c r="F46" s="80">
        <v>320.0</v>
      </c>
      <c r="G46" s="6">
        <f t="array" ref="G46">IF($E46="COP",$D46*$F46,IF($E46="USD*",$D46*$F46*Parametros!$B$5,IF($E46="GBP*",$D46*$F46*INDEX(Parametros!$B:$B,MATCH("gbp_cop",Parametros!$A:$A,0)),$D46*$F46*Parametros!$B$5*Parametros!$B$6)))</f>
        <v>1039638.4</v>
      </c>
      <c r="H46" s="36">
        <v>10.0</v>
      </c>
      <c r="I46" s="2" t="s">
        <v>275</v>
      </c>
    </row>
    <row r="47">
      <c r="A47" s="2" t="s">
        <v>293</v>
      </c>
      <c r="B47" s="2" t="s">
        <v>294</v>
      </c>
      <c r="C47" s="2" t="s">
        <v>320</v>
      </c>
      <c r="D47" s="36">
        <v>2.0</v>
      </c>
      <c r="E47" s="2" t="s">
        <v>288</v>
      </c>
      <c r="F47" s="80">
        <v>1100.0</v>
      </c>
      <c r="G47" s="6">
        <f t="array" ref="G47">IF($E47="COP",$D47*$F47,IF($E47="USD*",$D47*$F47*Parametros!$B$5,IF($E47="GBP*",$D47*$F47*INDEX(Parametros!$B:$B,MATCH("gbp_cop",Parametros!$A:$A,0)),$D47*$F47*Parametros!$B$5*Parametros!$B$6)))</f>
        <v>7147514</v>
      </c>
      <c r="H47" s="36">
        <v>10.0</v>
      </c>
      <c r="I47" s="2" t="s">
        <v>275</v>
      </c>
    </row>
    <row r="48">
      <c r="A48" s="75" t="s">
        <v>293</v>
      </c>
      <c r="B48" s="75" t="s">
        <v>294</v>
      </c>
      <c r="C48" s="75" t="s">
        <v>321</v>
      </c>
      <c r="D48" s="77">
        <v>2.0</v>
      </c>
      <c r="E48" s="75" t="s">
        <v>288</v>
      </c>
      <c r="F48" s="78">
        <v>380.0</v>
      </c>
      <c r="G48" s="79">
        <f t="array" ref="G48">IF($E48="COP",$D48*$F48,IF($E48="USD*",$D48*$F48*Parametros!$B$5,IF($E48="GBP*",$D48*$F48*INDEX(Parametros!$B:$B,MATCH("gbp_cop",Parametros!$A:$A,0)),$D48*$F48*Parametros!$B$5*Parametros!$B$6)))</f>
        <v>2469141.2</v>
      </c>
      <c r="H48" s="77">
        <v>10.0</v>
      </c>
      <c r="I48" s="75" t="s">
        <v>275</v>
      </c>
    </row>
    <row r="49">
      <c r="A49" s="2" t="s">
        <v>293</v>
      </c>
      <c r="B49" s="2" t="s">
        <v>294</v>
      </c>
      <c r="C49" s="2" t="s">
        <v>322</v>
      </c>
      <c r="D49" s="36">
        <v>2.0</v>
      </c>
      <c r="E49" s="2" t="s">
        <v>288</v>
      </c>
      <c r="F49" s="80">
        <v>210.0</v>
      </c>
      <c r="G49" s="6">
        <f t="array" ref="G49">IF($E49="COP",$D49*$F49,IF($E49="USD*",$D49*$F49*Parametros!$B$5,IF($E49="GBP*",$D49*$F49*INDEX(Parametros!$B:$B,MATCH("gbp_cop",Parametros!$A:$A,0)),$D49*$F49*Parametros!$B$5*Parametros!$B$6)))</f>
        <v>1364525.4</v>
      </c>
      <c r="H49" s="36">
        <v>10.0</v>
      </c>
      <c r="I49" s="2" t="s">
        <v>275</v>
      </c>
    </row>
    <row r="50">
      <c r="A50" s="2" t="s">
        <v>293</v>
      </c>
      <c r="B50" s="2" t="s">
        <v>294</v>
      </c>
      <c r="C50" s="2" t="s">
        <v>323</v>
      </c>
      <c r="D50" s="36">
        <v>1.0</v>
      </c>
      <c r="E50" s="2" t="s">
        <v>288</v>
      </c>
      <c r="F50" s="80">
        <v>35.0</v>
      </c>
      <c r="G50" s="6">
        <f t="array" ref="G50">IF($E50="COP",$D50*$F50,IF($E50="USD*",$D50*$F50*Parametros!$B$5,IF($E50="GBP*",$D50*$F50*INDEX(Parametros!$B:$B,MATCH("gbp_cop",Parametros!$A:$A,0)),$D50*$F50*Parametros!$B$5*Parametros!$B$6)))</f>
        <v>113710.45</v>
      </c>
      <c r="H50" s="36">
        <v>10.0</v>
      </c>
      <c r="I50" s="2" t="s">
        <v>275</v>
      </c>
    </row>
    <row r="51">
      <c r="A51" s="2" t="s">
        <v>293</v>
      </c>
      <c r="B51" s="2" t="s">
        <v>294</v>
      </c>
      <c r="C51" s="2" t="s">
        <v>324</v>
      </c>
      <c r="D51" s="36">
        <v>1.0</v>
      </c>
      <c r="E51" s="2" t="s">
        <v>288</v>
      </c>
      <c r="F51" s="80">
        <v>70.0</v>
      </c>
      <c r="G51" s="6">
        <f t="array" ref="G51">IF($E51="COP",$D51*$F51,IF($E51="USD*",$D51*$F51*Parametros!$B$5,IF($E51="GBP*",$D51*$F51*INDEX(Parametros!$B:$B,MATCH("gbp_cop",Parametros!$A:$A,0)),$D51*$F51*Parametros!$B$5*Parametros!$B$6)))</f>
        <v>227420.9</v>
      </c>
      <c r="H51" s="36">
        <v>10.0</v>
      </c>
      <c r="I51" s="2" t="s">
        <v>275</v>
      </c>
    </row>
    <row r="52">
      <c r="A52" s="75" t="s">
        <v>293</v>
      </c>
      <c r="B52" s="75" t="s">
        <v>294</v>
      </c>
      <c r="C52" s="75" t="s">
        <v>325</v>
      </c>
      <c r="D52" s="77">
        <v>1.0</v>
      </c>
      <c r="E52" s="75" t="s">
        <v>288</v>
      </c>
      <c r="F52" s="78">
        <v>70.0</v>
      </c>
      <c r="G52" s="79">
        <f t="array" ref="G52">IF($E52="COP",$D52*$F52,IF($E52="USD*",$D52*$F52*Parametros!$B$5,IF($E52="GBP*",$D52*$F52*INDEX(Parametros!$B:$B,MATCH("gbp_cop",Parametros!$A:$A,0)),$D52*$F52*Parametros!$B$5*Parametros!$B$6)))</f>
        <v>227420.9</v>
      </c>
      <c r="H52" s="77">
        <v>10.0</v>
      </c>
      <c r="I52" s="75" t="s">
        <v>275</v>
      </c>
    </row>
    <row r="53">
      <c r="A53" s="2" t="s">
        <v>293</v>
      </c>
      <c r="B53" s="2" t="s">
        <v>294</v>
      </c>
      <c r="C53" s="2" t="s">
        <v>326</v>
      </c>
      <c r="D53" s="36">
        <v>1.0</v>
      </c>
      <c r="E53" s="2" t="s">
        <v>288</v>
      </c>
      <c r="F53" s="80">
        <v>350.0</v>
      </c>
      <c r="G53" s="6">
        <f t="array" ref="G53">IF($E53="COP",$D53*$F53,IF($E53="USD*",$D53*$F53*Parametros!$B$5,IF($E53="GBP*",$D53*$F53*INDEX(Parametros!$B:$B,MATCH("gbp_cop",Parametros!$A:$A,0)),$D53*$F53*Parametros!$B$5*Parametros!$B$6)))</f>
        <v>1137104.5</v>
      </c>
      <c r="H53" s="36">
        <v>10.0</v>
      </c>
      <c r="I53" s="2" t="s">
        <v>275</v>
      </c>
    </row>
    <row r="54">
      <c r="A54" s="2" t="s">
        <v>293</v>
      </c>
      <c r="B54" s="2" t="s">
        <v>294</v>
      </c>
      <c r="C54" s="2" t="s">
        <v>327</v>
      </c>
      <c r="D54" s="36">
        <v>8.0</v>
      </c>
      <c r="E54" s="2" t="s">
        <v>288</v>
      </c>
      <c r="F54" s="80">
        <v>18.0</v>
      </c>
      <c r="G54" s="6">
        <f t="array" ref="G54">IF($E54="COP",$D54*$F54,IF($E54="USD*",$D54*$F54*Parametros!$B$5,IF($E54="GBP*",$D54*$F54*INDEX(Parametros!$B:$B,MATCH("gbp_cop",Parametros!$A:$A,0)),$D54*$F54*Parametros!$B$5*Parametros!$B$6)))</f>
        <v>467837.28</v>
      </c>
      <c r="H54" s="36">
        <v>10.0</v>
      </c>
      <c r="I54" s="2" t="s">
        <v>275</v>
      </c>
    </row>
    <row r="55">
      <c r="A55" s="2" t="s">
        <v>293</v>
      </c>
      <c r="B55" s="2" t="s">
        <v>294</v>
      </c>
      <c r="C55" s="2" t="s">
        <v>328</v>
      </c>
      <c r="D55" s="36">
        <v>1.0</v>
      </c>
      <c r="E55" s="2" t="s">
        <v>288</v>
      </c>
      <c r="F55" s="80">
        <v>260.0</v>
      </c>
      <c r="G55" s="6">
        <f t="array" ref="G55">IF($E55="COP",$D55*$F55,IF($E55="USD*",$D55*$F55*Parametros!$B$5,IF($E55="GBP*",$D55*$F55*INDEX(Parametros!$B:$B,MATCH("gbp_cop",Parametros!$A:$A,0)),$D55*$F55*Parametros!$B$5*Parametros!$B$6)))</f>
        <v>844706.2</v>
      </c>
      <c r="H55" s="36">
        <v>10.0</v>
      </c>
      <c r="I55" s="2" t="s">
        <v>275</v>
      </c>
    </row>
    <row r="56">
      <c r="A56" s="75" t="s">
        <v>293</v>
      </c>
      <c r="B56" s="75" t="s">
        <v>294</v>
      </c>
      <c r="C56" s="75" t="s">
        <v>329</v>
      </c>
      <c r="D56" s="77">
        <v>1.0</v>
      </c>
      <c r="E56" s="75" t="s">
        <v>288</v>
      </c>
      <c r="F56" s="78">
        <v>190.0</v>
      </c>
      <c r="G56" s="79">
        <f t="array" ref="G56">IF($E56="COP",$D56*$F56,IF($E56="USD*",$D56*$F56*Parametros!$B$5,IF($E56="GBP*",$D56*$F56*INDEX(Parametros!$B:$B,MATCH("gbp_cop",Parametros!$A:$A,0)),$D56*$F56*Parametros!$B$5*Parametros!$B$6)))</f>
        <v>617285.3</v>
      </c>
      <c r="H56" s="77">
        <v>10.0</v>
      </c>
      <c r="I56" s="75" t="s">
        <v>275</v>
      </c>
    </row>
    <row r="57">
      <c r="A57" s="2" t="s">
        <v>293</v>
      </c>
      <c r="B57" s="2" t="s">
        <v>294</v>
      </c>
      <c r="C57" s="2" t="s">
        <v>330</v>
      </c>
      <c r="D57" s="36">
        <v>1.0</v>
      </c>
      <c r="E57" s="2" t="s">
        <v>288</v>
      </c>
      <c r="F57" s="80">
        <v>650.0</v>
      </c>
      <c r="G57" s="6">
        <f t="array" ref="G57">IF($E57="COP",$D57*$F57,IF($E57="USD*",$D57*$F57*Parametros!$B$5,IF($E57="GBP*",$D57*$F57*INDEX(Parametros!$B:$B,MATCH("gbp_cop",Parametros!$A:$A,0)),$D57*$F57*Parametros!$B$5*Parametros!$B$6)))</f>
        <v>2111765.5</v>
      </c>
      <c r="H57" s="36">
        <v>10.0</v>
      </c>
      <c r="I57" s="2" t="s">
        <v>275</v>
      </c>
    </row>
    <row r="58">
      <c r="A58" s="85"/>
      <c r="B58" s="85"/>
      <c r="C58" s="86" t="s">
        <v>331</v>
      </c>
      <c r="D58" s="85"/>
      <c r="E58" s="85"/>
      <c r="F58" s="87"/>
      <c r="G58" s="88">
        <f>SUM(G22:G57)</f>
        <v>313493212.9</v>
      </c>
      <c r="H58" s="85"/>
      <c r="I58" s="85"/>
    </row>
    <row r="59">
      <c r="F59" s="80"/>
      <c r="G59" s="6"/>
    </row>
    <row r="60">
      <c r="A60" s="89"/>
      <c r="B60" s="89"/>
      <c r="C60" s="90" t="s">
        <v>332</v>
      </c>
      <c r="D60" s="89"/>
      <c r="E60" s="89"/>
      <c r="F60" s="91"/>
      <c r="G60" s="92"/>
      <c r="H60" s="89"/>
      <c r="I60" s="89"/>
    </row>
    <row r="61">
      <c r="A61" s="2" t="s">
        <v>293</v>
      </c>
      <c r="B61" s="2" t="s">
        <v>20</v>
      </c>
      <c r="C61" s="2" t="s">
        <v>333</v>
      </c>
      <c r="D61" s="36">
        <v>1.0</v>
      </c>
      <c r="E61" s="2" t="s">
        <v>334</v>
      </c>
      <c r="F61" s="80">
        <v>13500.0</v>
      </c>
      <c r="G61" s="6">
        <f t="array" ref="G61">IF($E61="COP",$D61*$F61,IF($E61="USD*",$D61*$F61*Parametros!$B$5,IF($E61="GBP*",$D61*$F61*INDEX(Parametros!$B:$B,MATCH("gbp_cop",Parametros!$A:$A,0)),$D61*$F61*Parametros!$B$5*Parametros!$B$6)))</f>
        <v>59899500</v>
      </c>
      <c r="H61" s="36">
        <v>10.0</v>
      </c>
      <c r="I61" s="2" t="s">
        <v>275</v>
      </c>
    </row>
    <row r="62">
      <c r="A62" s="93" t="s">
        <v>293</v>
      </c>
      <c r="B62" s="93" t="s">
        <v>20</v>
      </c>
      <c r="C62" s="93" t="s">
        <v>335</v>
      </c>
      <c r="D62" s="94">
        <v>0.0</v>
      </c>
      <c r="E62" s="93" t="s">
        <v>288</v>
      </c>
      <c r="F62" s="95">
        <v>22000.0</v>
      </c>
      <c r="G62" s="96">
        <f t="array" ref="G62">IF($E62="COP",$D62*$F62,IF($E62="USD*",$D62*$F62*Parametros!$B$5,IF($E62="GBP*",$D62*$F62*INDEX(Parametros!$B:$B,MATCH("gbp_cop",Parametros!$A:$A,0)),$D62*$F62*Parametros!$B$5*Parametros!$B$6)))</f>
        <v>0</v>
      </c>
      <c r="H62" s="94">
        <v>10.0</v>
      </c>
      <c r="I62" s="93" t="s">
        <v>275</v>
      </c>
    </row>
    <row r="63">
      <c r="A63" s="2" t="s">
        <v>293</v>
      </c>
      <c r="B63" s="2" t="s">
        <v>20</v>
      </c>
      <c r="C63" s="2" t="s">
        <v>310</v>
      </c>
      <c r="D63" s="36">
        <v>5.0</v>
      </c>
      <c r="E63" s="2" t="s">
        <v>288</v>
      </c>
      <c r="F63" s="80">
        <v>5500.0</v>
      </c>
      <c r="G63" s="6">
        <f t="array" ref="G63">IF($E63="COP",$D63*$F63,IF($E63="USD*",$D63*$F63*Parametros!$B$5,IF($E63="GBP*",$D63*$F63*INDEX(Parametros!$B:$B,MATCH("gbp_cop",Parametros!$A:$A,0)),$D63*$F63*Parametros!$B$5*Parametros!$B$6)))</f>
        <v>89343925</v>
      </c>
      <c r="H63" s="36">
        <v>10.0</v>
      </c>
      <c r="I63" s="2" t="s">
        <v>275</v>
      </c>
    </row>
    <row r="64">
      <c r="A64" s="2" t="s">
        <v>293</v>
      </c>
      <c r="B64" s="2" t="s">
        <v>20</v>
      </c>
      <c r="C64" s="2" t="s">
        <v>336</v>
      </c>
      <c r="D64" s="36">
        <v>1.0</v>
      </c>
      <c r="E64" s="2" t="s">
        <v>288</v>
      </c>
      <c r="F64" s="80">
        <v>4500.0</v>
      </c>
      <c r="G64" s="6">
        <f t="array" ref="G64">IF($E64="COP",$D64*$F64,IF($E64="USD*",$D64*$F64*Parametros!$B$5,IF($E64="GBP*",$D64*$F64*INDEX(Parametros!$B:$B,MATCH("gbp_cop",Parametros!$A:$A,0)),$D64*$F64*Parametros!$B$5*Parametros!$B$6)))</f>
        <v>14619915</v>
      </c>
      <c r="H64" s="36">
        <v>10.0</v>
      </c>
      <c r="I64" s="2" t="s">
        <v>275</v>
      </c>
    </row>
    <row r="65">
      <c r="A65" s="75" t="s">
        <v>293</v>
      </c>
      <c r="B65" s="75" t="s">
        <v>20</v>
      </c>
      <c r="C65" s="75" t="s">
        <v>337</v>
      </c>
      <c r="D65" s="77">
        <v>3.0</v>
      </c>
      <c r="E65" s="75" t="s">
        <v>288</v>
      </c>
      <c r="F65" s="78">
        <v>320.0</v>
      </c>
      <c r="G65" s="79">
        <f t="array" ref="G65">IF($E65="COP",$D65*$F65,IF($E65="USD*",$D65*$F65*Parametros!$B$5,IF($E65="GBP*",$D65*$F65*INDEX(Parametros!$B:$B,MATCH("gbp_cop",Parametros!$A:$A,0)),$D65*$F65*Parametros!$B$5*Parametros!$B$6)))</f>
        <v>3118915.2</v>
      </c>
      <c r="H65" s="77">
        <v>10.0</v>
      </c>
      <c r="I65" s="75" t="s">
        <v>275</v>
      </c>
    </row>
    <row r="66">
      <c r="A66" s="2" t="s">
        <v>293</v>
      </c>
      <c r="B66" s="2" t="s">
        <v>20</v>
      </c>
      <c r="C66" s="2" t="s">
        <v>338</v>
      </c>
      <c r="D66" s="36">
        <v>3.0</v>
      </c>
      <c r="E66" s="2" t="s">
        <v>288</v>
      </c>
      <c r="F66" s="80">
        <v>45.0</v>
      </c>
      <c r="G66" s="6">
        <f t="array" ref="G66">IF($E66="COP",$D66*$F66,IF($E66="USD*",$D66*$F66*Parametros!$B$5,IF($E66="GBP*",$D66*$F66*INDEX(Parametros!$B:$B,MATCH("gbp_cop",Parametros!$A:$A,0)),$D66*$F66*Parametros!$B$5*Parametros!$B$6)))</f>
        <v>438597.45</v>
      </c>
      <c r="H66" s="36">
        <v>10.0</v>
      </c>
      <c r="I66" s="2" t="s">
        <v>275</v>
      </c>
    </row>
    <row r="67">
      <c r="A67" s="2" t="s">
        <v>293</v>
      </c>
      <c r="B67" s="2" t="s">
        <v>20</v>
      </c>
      <c r="C67" s="2" t="s">
        <v>339</v>
      </c>
      <c r="D67" s="36">
        <v>3.0</v>
      </c>
      <c r="E67" s="2" t="s">
        <v>288</v>
      </c>
      <c r="F67" s="80">
        <v>55.0</v>
      </c>
      <c r="G67" s="6">
        <f t="array" ref="G67">IF($E67="COP",$D67*$F67,IF($E67="USD*",$D67*$F67*Parametros!$B$5,IF($E67="GBP*",$D67*$F67*INDEX(Parametros!$B:$B,MATCH("gbp_cop",Parametros!$A:$A,0)),$D67*$F67*Parametros!$B$5*Parametros!$B$6)))</f>
        <v>536063.55</v>
      </c>
      <c r="H67" s="36">
        <v>10.0</v>
      </c>
      <c r="I67" s="2" t="s">
        <v>275</v>
      </c>
    </row>
    <row r="68">
      <c r="A68" s="2" t="s">
        <v>293</v>
      </c>
      <c r="B68" s="2" t="s">
        <v>20</v>
      </c>
      <c r="C68" s="2" t="s">
        <v>340</v>
      </c>
      <c r="D68" s="36">
        <v>1.0</v>
      </c>
      <c r="E68" s="2" t="s">
        <v>288</v>
      </c>
      <c r="F68" s="80">
        <v>220.0</v>
      </c>
      <c r="G68" s="6">
        <f t="array" ref="G68">IF($E68="COP",$D68*$F68,IF($E68="USD*",$D68*$F68*Parametros!$B$5,IF($E68="GBP*",$D68*$F68*INDEX(Parametros!$B:$B,MATCH("gbp_cop",Parametros!$A:$A,0)),$D68*$F68*Parametros!$B$5*Parametros!$B$6)))</f>
        <v>714751.4</v>
      </c>
      <c r="H68" s="36">
        <v>10.0</v>
      </c>
      <c r="I68" s="2" t="s">
        <v>275</v>
      </c>
    </row>
    <row r="69">
      <c r="A69" s="2" t="s">
        <v>293</v>
      </c>
      <c r="B69" s="2" t="s">
        <v>20</v>
      </c>
      <c r="C69" s="2" t="s">
        <v>312</v>
      </c>
      <c r="D69" s="36">
        <v>20.0</v>
      </c>
      <c r="E69" s="2" t="s">
        <v>288</v>
      </c>
      <c r="F69" s="80">
        <v>220.0</v>
      </c>
      <c r="G69" s="6">
        <f t="array" ref="G69">IF($E69="COP",$D69*$F69,IF($E69="USD*",$D69*$F69*Parametros!$B$5,IF($E69="GBP*",$D69*$F69*INDEX(Parametros!$B:$B,MATCH("gbp_cop",Parametros!$A:$A,0)),$D69*$F69*Parametros!$B$5*Parametros!$B$6)))</f>
        <v>14295028</v>
      </c>
      <c r="H69" s="36">
        <v>10.0</v>
      </c>
      <c r="I69" s="2" t="s">
        <v>275</v>
      </c>
    </row>
    <row r="70">
      <c r="A70" s="2" t="s">
        <v>293</v>
      </c>
      <c r="B70" s="2" t="s">
        <v>20</v>
      </c>
      <c r="C70" s="2" t="s">
        <v>318</v>
      </c>
      <c r="D70" s="36">
        <v>1.0</v>
      </c>
      <c r="E70" s="2" t="s">
        <v>288</v>
      </c>
      <c r="F70" s="80">
        <v>750.0</v>
      </c>
      <c r="G70" s="6">
        <f t="array" ref="G70">IF($E70="COP",$D70*$F70,IF($E70="USD*",$D70*$F70*Parametros!$B$5,IF($E70="GBP*",$D70*$F70*INDEX(Parametros!$B:$B,MATCH("gbp_cop",Parametros!$A:$A,0)),$D70*$F70*Parametros!$B$5*Parametros!$B$6)))</f>
        <v>2436652.5</v>
      </c>
      <c r="H70" s="36">
        <v>10.0</v>
      </c>
      <c r="I70" s="2" t="s">
        <v>275</v>
      </c>
    </row>
    <row r="71">
      <c r="A71" s="75" t="s">
        <v>293</v>
      </c>
      <c r="B71" s="75" t="s">
        <v>20</v>
      </c>
      <c r="C71" s="75" t="s">
        <v>319</v>
      </c>
      <c r="D71" s="77">
        <v>1.0</v>
      </c>
      <c r="E71" s="75" t="s">
        <v>288</v>
      </c>
      <c r="F71" s="78">
        <v>320.0</v>
      </c>
      <c r="G71" s="79">
        <f t="array" ref="G71">IF($E71="COP",$D71*$F71,IF($E71="USD*",$D71*$F71*Parametros!$B$5,IF($E71="GBP*",$D71*$F71*INDEX(Parametros!$B:$B,MATCH("gbp_cop",Parametros!$A:$A,0)),$D71*$F71*Parametros!$B$5*Parametros!$B$6)))</f>
        <v>1039638.4</v>
      </c>
      <c r="H71" s="77">
        <v>10.0</v>
      </c>
      <c r="I71" s="75" t="s">
        <v>275</v>
      </c>
    </row>
    <row r="72">
      <c r="A72" s="2" t="s">
        <v>293</v>
      </c>
      <c r="B72" s="2" t="s">
        <v>20</v>
      </c>
      <c r="C72" s="2" t="s">
        <v>320</v>
      </c>
      <c r="D72" s="36">
        <v>2.0</v>
      </c>
      <c r="E72" s="2" t="s">
        <v>288</v>
      </c>
      <c r="F72" s="80">
        <v>1100.0</v>
      </c>
      <c r="G72" s="6">
        <f t="array" ref="G72">IF($E72="COP",$D72*$F72,IF($E72="USD*",$D72*$F72*Parametros!$B$5,IF($E72="GBP*",$D72*$F72*INDEX(Parametros!$B:$B,MATCH("gbp_cop",Parametros!$A:$A,0)),$D72*$F72*Parametros!$B$5*Parametros!$B$6)))</f>
        <v>7147514</v>
      </c>
      <c r="H72" s="36">
        <v>10.0</v>
      </c>
      <c r="I72" s="2" t="s">
        <v>275</v>
      </c>
    </row>
    <row r="73">
      <c r="A73" s="2" t="s">
        <v>293</v>
      </c>
      <c r="B73" s="2" t="s">
        <v>20</v>
      </c>
      <c r="C73" s="2" t="s">
        <v>341</v>
      </c>
      <c r="D73" s="36">
        <v>1.0</v>
      </c>
      <c r="E73" s="2" t="s">
        <v>288</v>
      </c>
      <c r="F73" s="80">
        <v>550.0</v>
      </c>
      <c r="G73" s="6">
        <f t="array" ref="G73">IF($E73="COP",$D73*$F73,IF($E73="USD*",$D73*$F73*Parametros!$B$5,IF($E73="GBP*",$D73*$F73*INDEX(Parametros!$B:$B,MATCH("gbp_cop",Parametros!$A:$A,0)),$D73*$F73*Parametros!$B$5*Parametros!$B$6)))</f>
        <v>1786878.5</v>
      </c>
      <c r="H73" s="36">
        <v>10.0</v>
      </c>
      <c r="I73" s="2" t="s">
        <v>275</v>
      </c>
    </row>
    <row r="74">
      <c r="A74" s="2" t="s">
        <v>293</v>
      </c>
      <c r="B74" s="2" t="s">
        <v>20</v>
      </c>
      <c r="C74" s="2" t="s">
        <v>321</v>
      </c>
      <c r="D74" s="36">
        <v>2.0</v>
      </c>
      <c r="E74" s="2" t="s">
        <v>288</v>
      </c>
      <c r="F74" s="80">
        <v>380.0</v>
      </c>
      <c r="G74" s="6">
        <f t="array" ref="G74">IF($E74="COP",$D74*$F74,IF($E74="USD*",$D74*$F74*Parametros!$B$5,IF($E74="GBP*",$D74*$F74*INDEX(Parametros!$B:$B,MATCH("gbp_cop",Parametros!$A:$A,0)),$D74*$F74*Parametros!$B$5*Parametros!$B$6)))</f>
        <v>2469141.2</v>
      </c>
      <c r="H74" s="36">
        <v>10.0</v>
      </c>
      <c r="I74" s="2" t="s">
        <v>275</v>
      </c>
    </row>
    <row r="75">
      <c r="A75" s="2" t="s">
        <v>293</v>
      </c>
      <c r="B75" s="2" t="s">
        <v>20</v>
      </c>
      <c r="C75" s="2" t="s">
        <v>342</v>
      </c>
      <c r="D75" s="36">
        <v>1.0</v>
      </c>
      <c r="E75" s="2" t="s">
        <v>288</v>
      </c>
      <c r="F75" s="80">
        <v>260.0</v>
      </c>
      <c r="G75" s="6">
        <f t="array" ref="G75">IF($E75="COP",$D75*$F75,IF($E75="USD*",$D75*$F75*Parametros!$B$5,IF($E75="GBP*",$D75*$F75*INDEX(Parametros!$B:$B,MATCH("gbp_cop",Parametros!$A:$A,0)),$D75*$F75*Parametros!$B$5*Parametros!$B$6)))</f>
        <v>844706.2</v>
      </c>
      <c r="H75" s="36">
        <v>10.0</v>
      </c>
      <c r="I75" s="2" t="s">
        <v>275</v>
      </c>
    </row>
    <row r="76">
      <c r="A76" s="2" t="s">
        <v>293</v>
      </c>
      <c r="B76" s="2" t="s">
        <v>20</v>
      </c>
      <c r="C76" s="2" t="s">
        <v>322</v>
      </c>
      <c r="D76" s="36">
        <v>2.0</v>
      </c>
      <c r="E76" s="2" t="s">
        <v>288</v>
      </c>
      <c r="F76" s="80">
        <v>210.0</v>
      </c>
      <c r="G76" s="6">
        <f t="array" ref="G76">IF($E76="COP",$D76*$F76,IF($E76="USD*",$D76*$F76*Parametros!$B$5,IF($E76="GBP*",$D76*$F76*INDEX(Parametros!$B:$B,MATCH("gbp_cop",Parametros!$A:$A,0)),$D76*$F76*Parametros!$B$5*Parametros!$B$6)))</f>
        <v>1364525.4</v>
      </c>
      <c r="H76" s="36">
        <v>10.0</v>
      </c>
      <c r="I76" s="2" t="s">
        <v>275</v>
      </c>
    </row>
    <row r="77">
      <c r="A77" s="2" t="s">
        <v>293</v>
      </c>
      <c r="B77" s="2" t="s">
        <v>20</v>
      </c>
      <c r="C77" s="2" t="s">
        <v>323</v>
      </c>
      <c r="D77" s="36">
        <v>1.0</v>
      </c>
      <c r="E77" s="2" t="s">
        <v>288</v>
      </c>
      <c r="F77" s="80">
        <v>35.0</v>
      </c>
      <c r="G77" s="6">
        <f t="array" ref="G77">IF($E77="COP",$D77*$F77,IF($E77="USD*",$D77*$F77*Parametros!$B$5,IF($E77="GBP*",$D77*$F77*INDEX(Parametros!$B:$B,MATCH("gbp_cop",Parametros!$A:$A,0)),$D77*$F77*Parametros!$B$5*Parametros!$B$6)))</f>
        <v>113710.45</v>
      </c>
      <c r="H77" s="36">
        <v>10.0</v>
      </c>
      <c r="I77" s="2" t="s">
        <v>275</v>
      </c>
    </row>
    <row r="78">
      <c r="A78" s="2" t="s">
        <v>293</v>
      </c>
      <c r="B78" s="2" t="s">
        <v>20</v>
      </c>
      <c r="C78" s="2" t="s">
        <v>324</v>
      </c>
      <c r="D78" s="36">
        <v>1.0</v>
      </c>
      <c r="E78" s="2" t="s">
        <v>288</v>
      </c>
      <c r="F78" s="80">
        <v>70.0</v>
      </c>
      <c r="G78" s="6">
        <f t="array" ref="G78">IF($E78="COP",$D78*$F78,IF($E78="USD*",$D78*$F78*Parametros!$B$5,IF($E78="GBP*",$D78*$F78*INDEX(Parametros!$B:$B,MATCH("gbp_cop",Parametros!$A:$A,0)),$D78*$F78*Parametros!$B$5*Parametros!$B$6)))</f>
        <v>227420.9</v>
      </c>
      <c r="H78" s="36">
        <v>10.0</v>
      </c>
      <c r="I78" s="2" t="s">
        <v>275</v>
      </c>
    </row>
    <row r="79">
      <c r="A79" s="2" t="s">
        <v>293</v>
      </c>
      <c r="B79" s="2" t="s">
        <v>20</v>
      </c>
      <c r="C79" s="2" t="s">
        <v>343</v>
      </c>
      <c r="D79" s="36">
        <v>1.0</v>
      </c>
      <c r="E79" s="2" t="s">
        <v>288</v>
      </c>
      <c r="F79" s="80">
        <v>75.0</v>
      </c>
      <c r="G79" s="6">
        <f t="array" ref="G79">IF($E79="COP",$D79*$F79,IF($E79="USD*",$D79*$F79*Parametros!$B$5,IF($E79="GBP*",$D79*$F79*INDEX(Parametros!$B:$B,MATCH("gbp_cop",Parametros!$A:$A,0)),$D79*$F79*Parametros!$B$5*Parametros!$B$6)))</f>
        <v>243665.25</v>
      </c>
      <c r="H79" s="36">
        <v>10.0</v>
      </c>
      <c r="I79" s="2" t="s">
        <v>275</v>
      </c>
    </row>
    <row r="80">
      <c r="A80" s="2" t="s">
        <v>293</v>
      </c>
      <c r="B80" s="2" t="s">
        <v>20</v>
      </c>
      <c r="C80" s="2" t="s">
        <v>326</v>
      </c>
      <c r="D80" s="36">
        <v>1.0</v>
      </c>
      <c r="E80" s="2" t="s">
        <v>288</v>
      </c>
      <c r="F80" s="80">
        <v>350.0</v>
      </c>
      <c r="G80" s="6">
        <f t="array" ref="G80">IF($E80="COP",$D80*$F80,IF($E80="USD*",$D80*$F80*Parametros!$B$5,IF($E80="GBP*",$D80*$F80*INDEX(Parametros!$B:$B,MATCH("gbp_cop",Parametros!$A:$A,0)),$D80*$F80*Parametros!$B$5*Parametros!$B$6)))</f>
        <v>1137104.5</v>
      </c>
      <c r="H80" s="36">
        <v>10.0</v>
      </c>
      <c r="I80" s="2" t="s">
        <v>275</v>
      </c>
    </row>
    <row r="81">
      <c r="A81" s="2" t="s">
        <v>293</v>
      </c>
      <c r="B81" s="2" t="s">
        <v>20</v>
      </c>
      <c r="C81" s="2" t="s">
        <v>327</v>
      </c>
      <c r="D81" s="36">
        <v>7.0</v>
      </c>
      <c r="E81" s="2" t="s">
        <v>288</v>
      </c>
      <c r="F81" s="80">
        <v>18.0</v>
      </c>
      <c r="G81" s="6">
        <f t="array" ref="G81">IF($E81="COP",$D81*$F81,IF($E81="USD*",$D81*$F81*Parametros!$B$5,IF($E81="GBP*",$D81*$F81*INDEX(Parametros!$B:$B,MATCH("gbp_cop",Parametros!$A:$A,0)),$D81*$F81*Parametros!$B$5*Parametros!$B$6)))</f>
        <v>409357.62</v>
      </c>
      <c r="H81" s="36">
        <v>10.0</v>
      </c>
      <c r="I81" s="2" t="s">
        <v>275</v>
      </c>
    </row>
    <row r="82">
      <c r="A82" s="75" t="s">
        <v>293</v>
      </c>
      <c r="B82" s="75" t="s">
        <v>20</v>
      </c>
      <c r="C82" s="75" t="s">
        <v>328</v>
      </c>
      <c r="D82" s="75">
        <v>1.0</v>
      </c>
      <c r="E82" s="75" t="s">
        <v>288</v>
      </c>
      <c r="F82" s="78">
        <v>260.0</v>
      </c>
      <c r="G82" s="78">
        <f t="array" ref="G82">IF($E82="COP",$D82*$F82,IF($E82="USD*",$D82*$F82*Parametros!$B$5,IF($E82="GBP*",$D82*$F82*INDEX(Parametros!$B:$B,MATCH("gbp_cop",Parametros!$A:$A,0)),$D82*$F82*Parametros!$B$5*Parametros!$B$6)))</f>
        <v>844706.2</v>
      </c>
      <c r="H82" s="75">
        <v>10.0</v>
      </c>
      <c r="I82" s="75" t="s">
        <v>275</v>
      </c>
    </row>
    <row r="83">
      <c r="A83" s="2" t="s">
        <v>293</v>
      </c>
      <c r="B83" s="2" t="s">
        <v>20</v>
      </c>
      <c r="C83" s="2" t="s">
        <v>329</v>
      </c>
      <c r="D83" s="36">
        <v>1.0</v>
      </c>
      <c r="E83" s="2" t="s">
        <v>288</v>
      </c>
      <c r="F83" s="80">
        <v>190.0</v>
      </c>
      <c r="G83" s="6">
        <f t="array" ref="G83">IF($E83="COP",$D83*$F83,IF($E83="USD*",$D83*$F83*Parametros!$B$5,IF($E83="GBP*",$D83*$F83*INDEX(Parametros!$B:$B,MATCH("gbp_cop",Parametros!$A:$A,0)),$D83*$F83*Parametros!$B$5*Parametros!$B$6)))</f>
        <v>617285.3</v>
      </c>
      <c r="H83" s="36">
        <v>10.0</v>
      </c>
      <c r="I83" s="2" t="s">
        <v>275</v>
      </c>
    </row>
    <row r="84">
      <c r="A84" s="2" t="s">
        <v>293</v>
      </c>
      <c r="B84" s="2" t="s">
        <v>20</v>
      </c>
      <c r="C84" s="2" t="s">
        <v>330</v>
      </c>
      <c r="D84" s="36">
        <v>1.0</v>
      </c>
      <c r="E84" s="2" t="s">
        <v>288</v>
      </c>
      <c r="F84" s="80">
        <v>650.0</v>
      </c>
      <c r="G84" s="6">
        <f t="array" ref="G84">IF($E84="COP",$D84*$F84,IF($E84="USD*",$D84*$F84*Parametros!$B$5,IF($E84="GBP*",$D84*$F84*INDEX(Parametros!$B:$B,MATCH("gbp_cop",Parametros!$A:$A,0)),$D84*$F84*Parametros!$B$5*Parametros!$B$6)))</f>
        <v>2111765.5</v>
      </c>
      <c r="H84" s="36">
        <v>10.0</v>
      </c>
      <c r="I84" s="2" t="s">
        <v>275</v>
      </c>
    </row>
    <row r="85">
      <c r="A85" s="93" t="s">
        <v>280</v>
      </c>
      <c r="B85" s="93" t="s">
        <v>20</v>
      </c>
      <c r="C85" s="93" t="s">
        <v>344</v>
      </c>
      <c r="D85" s="94">
        <v>0.0</v>
      </c>
      <c r="E85" s="93" t="s">
        <v>274</v>
      </c>
      <c r="F85" s="95">
        <v>230000.0</v>
      </c>
      <c r="G85" s="96">
        <f t="array" ref="G85">IF($E85="COP",$D85*$F85,IF($E85="USD*",$D85*$F85*Parametros!$B$5,IF($E85="GBP*",$D85*$F85*INDEX(Parametros!$B:$B,MATCH("gbp_cop",Parametros!$A:$A,0)),$D85*$F85*Parametros!$B$5*Parametros!$B$6)))</f>
        <v>0</v>
      </c>
      <c r="H85" s="94">
        <v>10.0</v>
      </c>
      <c r="I85" s="93" t="s">
        <v>275</v>
      </c>
    </row>
    <row r="86">
      <c r="A86" s="93" t="s">
        <v>280</v>
      </c>
      <c r="B86" s="93" t="s">
        <v>20</v>
      </c>
      <c r="C86" s="93" t="s">
        <v>345</v>
      </c>
      <c r="D86" s="94">
        <v>0.0</v>
      </c>
      <c r="E86" s="93" t="s">
        <v>274</v>
      </c>
      <c r="F86" s="95">
        <v>320000.0</v>
      </c>
      <c r="G86" s="96">
        <f t="array" ref="G86">IF($E86="COP",$D86*$F86,IF($E86="USD*",$D86*$F86*Parametros!$B$5,IF($E86="GBP*",$D86*$F86*INDEX(Parametros!$B:$B,MATCH("gbp_cop",Parametros!$A:$A,0)),$D86*$F86*Parametros!$B$5*Parametros!$B$6)))</f>
        <v>0</v>
      </c>
      <c r="H86" s="94">
        <v>10.0</v>
      </c>
      <c r="I86" s="93" t="s">
        <v>275</v>
      </c>
    </row>
    <row r="87">
      <c r="A87" s="93" t="s">
        <v>280</v>
      </c>
      <c r="B87" s="93" t="s">
        <v>20</v>
      </c>
      <c r="C87" s="93" t="s">
        <v>346</v>
      </c>
      <c r="D87" s="94">
        <v>0.0</v>
      </c>
      <c r="E87" s="93" t="s">
        <v>274</v>
      </c>
      <c r="F87" s="95">
        <v>36000.0</v>
      </c>
      <c r="G87" s="96">
        <f t="array" ref="G87">IF($E87="COP",$D87*$F87,IF($E87="USD*",$D87*$F87*Parametros!$B$5,IF($E87="GBP*",$D87*$F87*INDEX(Parametros!$B:$B,MATCH("gbp_cop",Parametros!$A:$A,0)),$D87*$F87*Parametros!$B$5*Parametros!$B$6)))</f>
        <v>0</v>
      </c>
      <c r="H87" s="94">
        <v>10.0</v>
      </c>
      <c r="I87" s="93" t="s">
        <v>279</v>
      </c>
    </row>
    <row r="88">
      <c r="A88" s="93" t="s">
        <v>347</v>
      </c>
      <c r="B88" s="93" t="s">
        <v>20</v>
      </c>
      <c r="C88" s="93" t="s">
        <v>348</v>
      </c>
      <c r="D88" s="94">
        <v>0.0</v>
      </c>
      <c r="E88" s="93" t="s">
        <v>274</v>
      </c>
      <c r="F88" s="95">
        <v>204000.0</v>
      </c>
      <c r="G88" s="96">
        <f t="array" ref="G88">IF($E88="COP",$D88*$F88,IF($E88="USD*",$D88*$F88*Parametros!$B$5,IF($E88="GBP*",$D88*$F88*INDEX(Parametros!$B:$B,MATCH("gbp_cop",Parametros!$A:$A,0)),$D88*$F88*Parametros!$B$5*Parametros!$B$6)))</f>
        <v>0</v>
      </c>
      <c r="H88" s="94">
        <v>10.0</v>
      </c>
      <c r="I88" s="93" t="s">
        <v>275</v>
      </c>
    </row>
    <row r="89">
      <c r="A89" s="93" t="s">
        <v>347</v>
      </c>
      <c r="B89" s="93" t="s">
        <v>20</v>
      </c>
      <c r="C89" s="93" t="s">
        <v>349</v>
      </c>
      <c r="D89" s="94">
        <v>0.0</v>
      </c>
      <c r="E89" s="93" t="s">
        <v>274</v>
      </c>
      <c r="F89" s="95">
        <v>110000.0</v>
      </c>
      <c r="G89" s="96">
        <f t="array" ref="G89">IF($E89="COP",$D89*$F89,IF($E89="USD*",$D89*$F89*Parametros!$B$5,IF($E89="GBP*",$D89*$F89*INDEX(Parametros!$B:$B,MATCH("gbp_cop",Parametros!$A:$A,0)),$D89*$F89*Parametros!$B$5*Parametros!$B$6)))</f>
        <v>0</v>
      </c>
      <c r="H89" s="94">
        <v>7.0</v>
      </c>
      <c r="I89" s="93" t="s">
        <v>275</v>
      </c>
    </row>
    <row r="90">
      <c r="A90" s="85"/>
      <c r="B90" s="85"/>
      <c r="C90" s="86" t="s">
        <v>350</v>
      </c>
      <c r="D90" s="85"/>
      <c r="E90" s="85"/>
      <c r="F90" s="88"/>
      <c r="G90" s="88">
        <f>SUM(G61:G89)</f>
        <v>205760767.5</v>
      </c>
      <c r="H90" s="85"/>
      <c r="I90" s="85"/>
    </row>
    <row r="91">
      <c r="F91" s="6"/>
      <c r="G91" s="6"/>
    </row>
    <row r="92">
      <c r="A92" s="97"/>
      <c r="B92" s="97"/>
      <c r="C92" s="98" t="s">
        <v>351</v>
      </c>
      <c r="D92" s="97"/>
      <c r="E92" s="97"/>
      <c r="F92" s="99"/>
      <c r="G92" s="99"/>
      <c r="H92" s="97"/>
      <c r="I92" s="97"/>
    </row>
    <row r="93">
      <c r="A93" s="2" t="s">
        <v>280</v>
      </c>
      <c r="B93" s="2" t="s">
        <v>352</v>
      </c>
      <c r="C93" s="2" t="s">
        <v>353</v>
      </c>
      <c r="D93" s="36">
        <v>3.0</v>
      </c>
      <c r="E93" s="2" t="s">
        <v>274</v>
      </c>
      <c r="F93" s="80">
        <v>106667.0</v>
      </c>
      <c r="G93" s="6">
        <f t="array" ref="G93">IF($E93="COP",$D93*$F93,IF($E93="USD*",$D93*$F93*Parametros!$B$5,IF($E93="GBP*",$D93*$F93*INDEX(Parametros!$B:$B,MATCH("gbp_cop",Parametros!$A:$A,0)),$D93*$F93*Parametros!$B$5*Parametros!$B$6)))</f>
        <v>1008452399</v>
      </c>
      <c r="H93" s="36">
        <v>7.0</v>
      </c>
      <c r="I93" s="2" t="s">
        <v>279</v>
      </c>
    </row>
    <row r="94">
      <c r="A94" s="2" t="s">
        <v>280</v>
      </c>
      <c r="B94" s="2" t="s">
        <v>352</v>
      </c>
      <c r="C94" s="2" t="s">
        <v>354</v>
      </c>
      <c r="D94" s="36">
        <v>6.0</v>
      </c>
      <c r="E94" s="2" t="s">
        <v>274</v>
      </c>
      <c r="F94" s="80">
        <v>10000.0</v>
      </c>
      <c r="G94" s="6">
        <f t="array" ref="G94">IF($E94="COP",$D94*$F94,IF($E94="USD*",$D94*$F94*Parametros!$B$5,IF($E94="GBP*",$D94*$F94*INDEX(Parametros!$B:$B,MATCH("gbp_cop",Parametros!$A:$A,0)),$D94*$F94*Parametros!$B$5*Parametros!$B$6)))</f>
        <v>189084234</v>
      </c>
      <c r="H94" s="36">
        <v>5.0</v>
      </c>
      <c r="I94" s="2" t="s">
        <v>279</v>
      </c>
    </row>
    <row r="95">
      <c r="A95" s="93" t="s">
        <v>280</v>
      </c>
      <c r="B95" s="93" t="s">
        <v>352</v>
      </c>
      <c r="C95" s="93" t="s">
        <v>355</v>
      </c>
      <c r="D95" s="94">
        <v>0.0</v>
      </c>
      <c r="E95" s="93" t="s">
        <v>274</v>
      </c>
      <c r="F95" s="95">
        <v>95000.0</v>
      </c>
      <c r="G95" s="96">
        <f t="array" ref="G95">IF($E95="COP",$D95*$F95,IF($E95="USD*",$D95*$F95*Parametros!$B$5,IF($E95="GBP*",$D95*$F95*INDEX(Parametros!$B:$B,MATCH("gbp_cop",Parametros!$A:$A,0)),$D95*$F95*Parametros!$B$5*Parametros!$B$6)))</f>
        <v>0</v>
      </c>
      <c r="H95" s="94">
        <v>5.0</v>
      </c>
      <c r="I95" s="93" t="s">
        <v>279</v>
      </c>
    </row>
    <row r="96">
      <c r="A96" s="2" t="s">
        <v>280</v>
      </c>
      <c r="B96" s="2" t="s">
        <v>352</v>
      </c>
      <c r="C96" s="2" t="s">
        <v>356</v>
      </c>
      <c r="D96" s="36">
        <v>1.0</v>
      </c>
      <c r="E96" s="2" t="s">
        <v>274</v>
      </c>
      <c r="F96" s="80">
        <v>55000.0</v>
      </c>
      <c r="G96" s="6">
        <f t="array" ref="G96">IF($E96="COP",$D96*$F96,IF($E96="USD*",$D96*$F96*Parametros!$B$5,IF($E96="GBP*",$D96*$F96*INDEX(Parametros!$B:$B,MATCH("gbp_cop",Parametros!$A:$A,0)),$D96*$F96*Parametros!$B$5*Parametros!$B$6)))</f>
        <v>173327214.5</v>
      </c>
      <c r="H96" s="36">
        <v>5.0</v>
      </c>
      <c r="I96" s="2" t="s">
        <v>279</v>
      </c>
    </row>
    <row r="97">
      <c r="A97" s="2" t="s">
        <v>280</v>
      </c>
      <c r="B97" s="2" t="s">
        <v>352</v>
      </c>
      <c r="C97" s="2" t="s">
        <v>357</v>
      </c>
      <c r="D97" s="36">
        <v>1.0</v>
      </c>
      <c r="E97" s="2" t="s">
        <v>274</v>
      </c>
      <c r="F97" s="80">
        <v>75000.0</v>
      </c>
      <c r="G97" s="6">
        <f t="array" ref="G97">IF($E97="COP",$D97*$F97,IF($E97="USD*",$D97*$F97*Parametros!$B$5,IF($E97="GBP*",$D97*$F97*INDEX(Parametros!$B:$B,MATCH("gbp_cop",Parametros!$A:$A,0)),$D97*$F97*Parametros!$B$5*Parametros!$B$6)))</f>
        <v>236355292.5</v>
      </c>
      <c r="H97" s="36">
        <v>5.0</v>
      </c>
      <c r="I97" s="2" t="s">
        <v>279</v>
      </c>
    </row>
    <row r="98">
      <c r="A98" s="2" t="s">
        <v>280</v>
      </c>
      <c r="B98" s="2" t="s">
        <v>352</v>
      </c>
      <c r="C98" s="2" t="s">
        <v>358</v>
      </c>
      <c r="D98" s="36">
        <v>1.0</v>
      </c>
      <c r="E98" s="2" t="s">
        <v>274</v>
      </c>
      <c r="F98" s="80">
        <v>90000.0</v>
      </c>
      <c r="G98" s="6">
        <f t="array" ref="G98">IF($E98="COP",$D98*$F98,IF($E98="USD*",$D98*$F98*Parametros!$B$5,IF($E98="GBP*",$D98*$F98*INDEX(Parametros!$B:$B,MATCH("gbp_cop",Parametros!$A:$A,0)),$D98*$F98*Parametros!$B$5*Parametros!$B$6)))</f>
        <v>283626351</v>
      </c>
      <c r="H98" s="36">
        <v>5.0</v>
      </c>
      <c r="I98" s="2" t="s">
        <v>279</v>
      </c>
    </row>
    <row r="99">
      <c r="A99" s="2" t="s">
        <v>359</v>
      </c>
      <c r="B99" s="2" t="s">
        <v>352</v>
      </c>
      <c r="C99" s="2" t="s">
        <v>360</v>
      </c>
      <c r="D99" s="36">
        <v>1.0</v>
      </c>
      <c r="E99" s="2" t="s">
        <v>361</v>
      </c>
      <c r="F99" s="6">
        <f t="array" ref="F99">INDEX(APU_Ingenieria!$H:$H,MATCH("Ingenieria de detalle, FAT/SAT y PMO",APU_Ingenieria!$A:$A,0))</f>
        <v>546493840</v>
      </c>
      <c r="G99" s="6">
        <f t="array" ref="G99">IF($E99="COP",$D99*$F99,IF($E99="USD*",$D99*$F99*Parametros!$B$5,IF($E99="GBP*",$D99*$F99*INDEX(Parametros!$B:$B,MATCH("gbp_cop",Parametros!$A:$A,0)),$D99*$F99*Parametros!$B$5*Parametros!$B$6)))</f>
        <v>546493840</v>
      </c>
      <c r="H99" s="36">
        <v>5.0</v>
      </c>
      <c r="I99" s="2" t="s">
        <v>362</v>
      </c>
    </row>
    <row r="100">
      <c r="A100" s="2" t="s">
        <v>359</v>
      </c>
      <c r="B100" s="2" t="s">
        <v>352</v>
      </c>
      <c r="C100" s="2" t="s">
        <v>363</v>
      </c>
      <c r="D100" s="36">
        <v>1.0</v>
      </c>
      <c r="E100" s="2" t="s">
        <v>361</v>
      </c>
      <c r="F100" s="6">
        <f t="array" ref="F100">INDEX(APU_Ingenieria!$H:$H,MATCH("Instalacion y puesta en marcha (EPC)",APU_Ingenieria!$A:$A,0))</f>
        <v>964336128</v>
      </c>
      <c r="G100" s="6">
        <f t="array" ref="G100">IF($E100="COP",$D100*$F100,IF($E100="USD*",$D100*$F100*Parametros!$B$5,IF($E100="GBP*",$D100*$F100*INDEX(Parametros!$B:$B,MATCH("gbp_cop",Parametros!$A:$A,0)),$D100*$F100*Parametros!$B$5*Parametros!$B$6)))</f>
        <v>964336128</v>
      </c>
      <c r="H100" s="36">
        <v>5.0</v>
      </c>
      <c r="I100" s="2" t="s">
        <v>362</v>
      </c>
    </row>
    <row r="101">
      <c r="A101" s="2" t="s">
        <v>359</v>
      </c>
      <c r="B101" s="2" t="s">
        <v>352</v>
      </c>
      <c r="C101" s="2" t="s">
        <v>364</v>
      </c>
      <c r="D101" s="36">
        <v>1.0</v>
      </c>
      <c r="E101" s="2" t="s">
        <v>361</v>
      </c>
      <c r="F101" s="6">
        <f t="array" ref="F101">INDEX(APU_Ingenieria!$H:$H,MATCH("Capacitacion y gestion del cambio",APU_Ingenieria!$A:$A,0))</f>
        <v>179252096</v>
      </c>
      <c r="G101" s="6">
        <f t="array" ref="G101">IF($E101="COP",$D101*$F101,IF($E101="USD*",$D101*$F101*Parametros!$B$5,IF($E101="GBP*",$D101*$F101*INDEX(Parametros!$B:$B,MATCH("gbp_cop",Parametros!$A:$A,0)),$D101*$F101*Parametros!$B$5*Parametros!$B$6)))</f>
        <v>179252096</v>
      </c>
      <c r="H101" s="36">
        <v>3.0</v>
      </c>
      <c r="I101" s="2" t="s">
        <v>365</v>
      </c>
    </row>
    <row r="102">
      <c r="A102" s="2" t="s">
        <v>366</v>
      </c>
      <c r="B102" s="2" t="s">
        <v>352</v>
      </c>
      <c r="C102" s="2" t="s">
        <v>367</v>
      </c>
      <c r="D102" s="36">
        <v>1.0</v>
      </c>
      <c r="E102" s="2" t="s">
        <v>361</v>
      </c>
      <c r="F102" s="6">
        <f t="array" ref="F102">INDEX(Licencias!$G:$G,MATCH("CAPEX software capitalizable",Licencias!$A:$A,0))</f>
        <v>112086015</v>
      </c>
      <c r="G102" s="6">
        <f t="array" ref="G102">IF($E102="COP",$D102*$F102,IF($E102="USD*",$D102*$F102*Parametros!$B$5,IF($E102="GBP*",$D102*$F102*INDEX(Parametros!$B:$B,MATCH("gbp_cop",Parametros!$A:$A,0)),$D102*$F102*Parametros!$B$5*Parametros!$B$6)))</f>
        <v>112086015</v>
      </c>
      <c r="H102" s="36">
        <v>3.0</v>
      </c>
      <c r="I102" s="2" t="s">
        <v>368</v>
      </c>
    </row>
    <row r="103">
      <c r="A103" s="85"/>
      <c r="B103" s="85"/>
      <c r="C103" s="86" t="s">
        <v>369</v>
      </c>
      <c r="D103" s="85"/>
      <c r="E103" s="85"/>
      <c r="F103" s="88"/>
      <c r="G103" s="88">
        <f>SUM(G93:G102)</f>
        <v>3693013570</v>
      </c>
      <c r="H103" s="85"/>
      <c r="I103" s="85"/>
    </row>
    <row r="104">
      <c r="F104" s="6"/>
      <c r="G104" s="6"/>
    </row>
    <row r="105">
      <c r="C105" s="2" t="s">
        <v>370</v>
      </c>
      <c r="F105" s="6"/>
      <c r="G105" s="6"/>
    </row>
    <row r="106">
      <c r="F106" s="6"/>
      <c r="G106" s="6"/>
    </row>
    <row r="107">
      <c r="C107" s="2" t="s">
        <v>371</v>
      </c>
      <c r="F107" s="6"/>
      <c r="G107" s="6">
        <f>G12+G19+G58+G90+G103</f>
        <v>8332322041</v>
      </c>
    </row>
    <row r="108">
      <c r="C108" s="2" t="s">
        <v>372</v>
      </c>
      <c r="F108" s="6"/>
      <c r="G108" s="6">
        <f>G107*Parametros!$B$27</f>
        <v>833232204.1</v>
      </c>
    </row>
    <row r="109">
      <c r="A109" s="100"/>
      <c r="B109" s="100"/>
      <c r="C109" s="75" t="s">
        <v>373</v>
      </c>
      <c r="D109" s="100"/>
      <c r="E109" s="100"/>
      <c r="F109" s="79"/>
      <c r="G109" s="79">
        <f>G107+G108</f>
        <v>9165554245</v>
      </c>
      <c r="H109" s="100"/>
      <c r="I109" s="100"/>
    </row>
    <row r="110">
      <c r="A110" s="100"/>
      <c r="B110" s="100"/>
      <c r="C110" s="75"/>
      <c r="D110" s="100"/>
      <c r="E110" s="100"/>
      <c r="F110" s="100"/>
      <c r="G110" s="100"/>
      <c r="H110" s="100"/>
      <c r="I110" s="100"/>
    </row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>
      <c r="A137" s="100"/>
      <c r="B137" s="100"/>
      <c r="C137" s="75"/>
      <c r="D137" s="100"/>
      <c r="E137" s="100"/>
      <c r="F137" s="100"/>
      <c r="G137" s="100"/>
      <c r="H137" s="100"/>
      <c r="I137" s="100"/>
    </row>
    <row r="138"/>
    <row r="139"/>
    <row r="140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sheetData>
    <row r="1">
      <c r="A1" s="2" t="s">
        <v>374</v>
      </c>
    </row>
    <row r="2">
      <c r="A2" s="2" t="s">
        <v>375</v>
      </c>
    </row>
    <row r="4">
      <c r="A4" s="2" t="s">
        <v>263</v>
      </c>
      <c r="B4" s="2" t="s">
        <v>376</v>
      </c>
      <c r="C4" s="2" t="s">
        <v>377</v>
      </c>
      <c r="D4" s="2" t="s">
        <v>378</v>
      </c>
      <c r="E4" s="2" t="s">
        <v>115</v>
      </c>
      <c r="F4" s="2" t="s">
        <v>266</v>
      </c>
      <c r="G4" s="2" t="s">
        <v>379</v>
      </c>
      <c r="H4" s="2" t="s">
        <v>380</v>
      </c>
      <c r="I4" s="2" t="s">
        <v>381</v>
      </c>
      <c r="J4" s="2" t="s">
        <v>382</v>
      </c>
    </row>
    <row r="5">
      <c r="A5" s="2" t="s">
        <v>20</v>
      </c>
      <c r="B5" s="101" t="s">
        <v>383</v>
      </c>
      <c r="C5" s="2" t="s">
        <v>384</v>
      </c>
      <c r="D5" s="2" t="s">
        <v>385</v>
      </c>
      <c r="E5" s="102">
        <v>13500.0</v>
      </c>
      <c r="F5" s="2" t="s">
        <v>386</v>
      </c>
      <c r="G5" s="2" t="s">
        <v>387</v>
      </c>
      <c r="H5" s="2" t="s">
        <v>388</v>
      </c>
      <c r="I5" s="2" t="s">
        <v>389</v>
      </c>
      <c r="J5" s="2" t="s">
        <v>390</v>
      </c>
    </row>
    <row r="6">
      <c r="A6" s="2" t="s">
        <v>294</v>
      </c>
      <c r="B6" s="101" t="s">
        <v>391</v>
      </c>
      <c r="C6" s="2" t="s">
        <v>392</v>
      </c>
      <c r="D6" s="2" t="s">
        <v>385</v>
      </c>
      <c r="E6" s="102">
        <v>6500.0</v>
      </c>
      <c r="F6" s="2" t="s">
        <v>274</v>
      </c>
      <c r="G6" s="2" t="s">
        <v>387</v>
      </c>
      <c r="H6" s="2" t="s">
        <v>393</v>
      </c>
      <c r="I6" s="2" t="s">
        <v>394</v>
      </c>
      <c r="J6" s="2" t="s">
        <v>395</v>
      </c>
    </row>
    <row r="7">
      <c r="A7" s="2" t="s">
        <v>19</v>
      </c>
      <c r="B7" s="101" t="s">
        <v>396</v>
      </c>
      <c r="C7" s="2" t="s">
        <v>397</v>
      </c>
      <c r="D7" s="2" t="s">
        <v>398</v>
      </c>
      <c r="E7" s="102">
        <v>79900.0</v>
      </c>
      <c r="F7" s="2" t="s">
        <v>274</v>
      </c>
      <c r="G7" s="2" t="s">
        <v>399</v>
      </c>
      <c r="H7" s="2" t="s">
        <v>400</v>
      </c>
      <c r="I7" s="103" t="s">
        <v>401</v>
      </c>
      <c r="J7" s="2" t="s">
        <v>402</v>
      </c>
    </row>
    <row r="8">
      <c r="A8" s="2" t="s">
        <v>19</v>
      </c>
      <c r="B8" s="101" t="s">
        <v>403</v>
      </c>
      <c r="C8" s="2" t="s">
        <v>404</v>
      </c>
      <c r="D8" s="2" t="s">
        <v>398</v>
      </c>
      <c r="E8" s="102" t="s">
        <v>405</v>
      </c>
      <c r="F8" s="2" t="s">
        <v>406</v>
      </c>
      <c r="G8" s="2" t="s">
        <v>407</v>
      </c>
      <c r="H8" s="2" t="s">
        <v>408</v>
      </c>
      <c r="I8" s="103" t="s">
        <v>409</v>
      </c>
      <c r="J8" s="2" t="s">
        <v>410</v>
      </c>
    </row>
    <row r="9">
      <c r="A9" s="2" t="s">
        <v>18</v>
      </c>
      <c r="B9" s="101" t="s">
        <v>411</v>
      </c>
      <c r="C9" s="2" t="s">
        <v>404</v>
      </c>
      <c r="D9" s="2" t="s">
        <v>398</v>
      </c>
      <c r="E9" s="102" t="s">
        <v>405</v>
      </c>
      <c r="F9" s="2" t="s">
        <v>412</v>
      </c>
      <c r="G9" s="2" t="s">
        <v>399</v>
      </c>
      <c r="H9" s="2" t="s">
        <v>413</v>
      </c>
      <c r="I9" s="103" t="s">
        <v>414</v>
      </c>
      <c r="J9" s="2" t="s">
        <v>415</v>
      </c>
    </row>
    <row r="10">
      <c r="A10" s="2" t="s">
        <v>18</v>
      </c>
      <c r="B10" s="101" t="s">
        <v>416</v>
      </c>
      <c r="C10" s="2" t="s">
        <v>417</v>
      </c>
      <c r="D10" s="2" t="s">
        <v>398</v>
      </c>
      <c r="E10" s="102">
        <v>138000.0</v>
      </c>
      <c r="F10" s="2" t="s">
        <v>412</v>
      </c>
      <c r="G10" s="2" t="s">
        <v>399</v>
      </c>
      <c r="H10" s="2" t="s">
        <v>418</v>
      </c>
      <c r="I10" s="103" t="s">
        <v>419</v>
      </c>
      <c r="J10" s="2" t="s">
        <v>420</v>
      </c>
    </row>
    <row r="11">
      <c r="A11" s="2" t="s">
        <v>18</v>
      </c>
      <c r="B11" s="101" t="s">
        <v>421</v>
      </c>
      <c r="C11" s="2" t="s">
        <v>422</v>
      </c>
      <c r="D11" s="2" t="s">
        <v>398</v>
      </c>
      <c r="E11" s="102" t="s">
        <v>405</v>
      </c>
      <c r="F11" s="2" t="s">
        <v>412</v>
      </c>
      <c r="G11" s="2" t="s">
        <v>399</v>
      </c>
      <c r="H11" s="2" t="s">
        <v>423</v>
      </c>
      <c r="I11" s="103" t="s">
        <v>424</v>
      </c>
      <c r="J11" s="2" t="s">
        <v>425</v>
      </c>
    </row>
    <row r="12">
      <c r="A12" s="2" t="s">
        <v>19</v>
      </c>
      <c r="B12" s="101" t="s">
        <v>426</v>
      </c>
      <c r="C12" s="2" t="s">
        <v>427</v>
      </c>
      <c r="D12" s="2" t="s">
        <v>398</v>
      </c>
      <c r="E12" s="102" t="s">
        <v>405</v>
      </c>
      <c r="F12" s="2" t="s">
        <v>428</v>
      </c>
      <c r="G12" s="2" t="s">
        <v>399</v>
      </c>
      <c r="H12" s="2" t="s">
        <v>429</v>
      </c>
      <c r="I12" s="103" t="s">
        <v>430</v>
      </c>
      <c r="J12" s="2" t="s">
        <v>431</v>
      </c>
    </row>
    <row r="13">
      <c r="A13" s="2" t="s">
        <v>432</v>
      </c>
      <c r="B13" s="101" t="s">
        <v>433</v>
      </c>
      <c r="C13" s="2" t="s">
        <v>434</v>
      </c>
      <c r="D13" s="2" t="s">
        <v>435</v>
      </c>
      <c r="E13" s="102" t="s">
        <v>436</v>
      </c>
      <c r="F13" s="2" t="s">
        <v>274</v>
      </c>
      <c r="G13" s="2" t="s">
        <v>437</v>
      </c>
      <c r="H13" s="2" t="s">
        <v>438</v>
      </c>
      <c r="I13" s="2" t="s">
        <v>439</v>
      </c>
      <c r="J13" s="2" t="s">
        <v>440</v>
      </c>
    </row>
    <row r="14">
      <c r="A14" s="2" t="s">
        <v>441</v>
      </c>
      <c r="B14" s="101" t="s">
        <v>442</v>
      </c>
      <c r="C14" s="2" t="s">
        <v>443</v>
      </c>
      <c r="D14" s="2" t="s">
        <v>444</v>
      </c>
      <c r="E14" s="102" t="s">
        <v>445</v>
      </c>
      <c r="F14" s="2" t="s">
        <v>119</v>
      </c>
      <c r="G14" s="2" t="s">
        <v>441</v>
      </c>
      <c r="H14" s="2" t="s">
        <v>446</v>
      </c>
      <c r="I14" s="2" t="s">
        <v>447</v>
      </c>
      <c r="J14" s="2" t="s">
        <v>448</v>
      </c>
    </row>
    <row r="15">
      <c r="B15" s="104"/>
      <c r="E15" s="105"/>
    </row>
    <row r="16">
      <c r="B16" s="104"/>
      <c r="E16" s="105"/>
    </row>
    <row r="17">
      <c r="B17" s="104"/>
      <c r="E17" s="105"/>
    </row>
    <row r="18">
      <c r="B18" s="104"/>
      <c r="E18" s="105"/>
    </row>
    <row r="19">
      <c r="B19" s="104"/>
      <c r="E19" s="105"/>
    </row>
    <row r="20">
      <c r="B20" s="104"/>
      <c r="E20" s="105"/>
    </row>
    <row r="21">
      <c r="B21" s="104"/>
      <c r="E21" s="105"/>
    </row>
    <row r="22">
      <c r="B22" s="104"/>
      <c r="E22" s="105"/>
    </row>
    <row r="23">
      <c r="B23" s="104"/>
      <c r="E23" s="105"/>
    </row>
    <row r="24">
      <c r="B24" s="104"/>
      <c r="E24" s="105"/>
    </row>
    <row r="25">
      <c r="B25" s="104"/>
      <c r="E25" s="105"/>
    </row>
    <row r="26">
      <c r="B26" s="104"/>
      <c r="E26" s="105"/>
    </row>
    <row r="27">
      <c r="B27" s="104"/>
      <c r="E27" s="105"/>
    </row>
    <row r="28">
      <c r="B28" s="104"/>
      <c r="E28" s="105"/>
    </row>
    <row r="29">
      <c r="B29" s="104"/>
      <c r="E29" s="105"/>
    </row>
    <row r="30">
      <c r="B30" s="104"/>
      <c r="E30" s="105"/>
    </row>
    <row r="31">
      <c r="B31" s="104"/>
      <c r="E31" s="105"/>
    </row>
    <row r="32">
      <c r="B32" s="104"/>
      <c r="E32" s="105"/>
    </row>
    <row r="33">
      <c r="B33" s="104"/>
      <c r="E33" s="105"/>
    </row>
    <row r="34">
      <c r="B34" s="104"/>
      <c r="E34" s="105"/>
    </row>
    <row r="35">
      <c r="B35" s="104"/>
      <c r="E35" s="105"/>
    </row>
    <row r="36">
      <c r="B36" s="104"/>
      <c r="E36" s="105"/>
    </row>
    <row r="37">
      <c r="B37" s="104"/>
      <c r="E37" s="105"/>
    </row>
    <row r="38">
      <c r="B38" s="104"/>
      <c r="E38" s="105"/>
    </row>
    <row r="39">
      <c r="B39" s="104"/>
      <c r="E39" s="105"/>
    </row>
    <row r="40">
      <c r="B40" s="104"/>
      <c r="E40" s="105"/>
    </row>
    <row r="41">
      <c r="B41" s="104"/>
      <c r="E41" s="105"/>
    </row>
    <row r="42">
      <c r="B42" s="104"/>
      <c r="E42" s="105"/>
    </row>
    <row r="43">
      <c r="B43" s="104"/>
      <c r="E43" s="105"/>
    </row>
    <row r="44">
      <c r="B44" s="104"/>
      <c r="E44" s="105"/>
    </row>
    <row r="45">
      <c r="B45" s="104"/>
      <c r="E45" s="105"/>
    </row>
    <row r="46">
      <c r="B46" s="104"/>
      <c r="E46" s="105"/>
    </row>
    <row r="47">
      <c r="B47" s="104"/>
      <c r="E47" s="105"/>
    </row>
    <row r="48">
      <c r="B48" s="104"/>
      <c r="E48" s="105"/>
    </row>
    <row r="49">
      <c r="B49" s="104"/>
      <c r="E49" s="105"/>
    </row>
    <row r="50">
      <c r="B50" s="104"/>
      <c r="E50" s="105"/>
    </row>
    <row r="51">
      <c r="B51" s="104"/>
      <c r="E51" s="105"/>
    </row>
    <row r="52">
      <c r="B52" s="104"/>
      <c r="E52" s="105"/>
    </row>
    <row r="53">
      <c r="B53" s="104"/>
      <c r="E53" s="105"/>
    </row>
    <row r="54">
      <c r="B54" s="104"/>
      <c r="E54" s="105"/>
    </row>
    <row r="55">
      <c r="B55" s="104"/>
      <c r="E55" s="105"/>
    </row>
    <row r="56">
      <c r="B56" s="104"/>
      <c r="E56" s="105"/>
    </row>
    <row r="57">
      <c r="B57" s="104"/>
      <c r="E57" s="105"/>
    </row>
    <row r="58">
      <c r="B58" s="104"/>
      <c r="E58" s="105"/>
    </row>
    <row r="59">
      <c r="B59" s="104"/>
      <c r="E59" s="105"/>
    </row>
    <row r="60">
      <c r="B60" s="104"/>
      <c r="E60" s="105"/>
    </row>
    <row r="61">
      <c r="B61" s="104"/>
      <c r="E61" s="105"/>
    </row>
    <row r="62">
      <c r="B62" s="104"/>
      <c r="E62" s="105"/>
    </row>
    <row r="63">
      <c r="B63" s="104"/>
      <c r="E63" s="105"/>
    </row>
    <row r="64">
      <c r="B64" s="104"/>
      <c r="E64" s="105"/>
    </row>
    <row r="65">
      <c r="B65" s="104"/>
      <c r="E65" s="105"/>
    </row>
    <row r="66">
      <c r="B66" s="104"/>
      <c r="E66" s="105"/>
    </row>
    <row r="67">
      <c r="B67" s="104"/>
      <c r="E67" s="105"/>
    </row>
    <row r="68">
      <c r="B68" s="104"/>
      <c r="E68" s="105"/>
    </row>
    <row r="69">
      <c r="B69" s="104"/>
      <c r="E69" s="105"/>
    </row>
    <row r="70">
      <c r="B70" s="104"/>
      <c r="E70" s="105"/>
    </row>
    <row r="71">
      <c r="B71" s="104"/>
      <c r="E71" s="105"/>
    </row>
    <row r="72">
      <c r="B72" s="104"/>
      <c r="E72" s="105"/>
    </row>
    <row r="73">
      <c r="B73" s="104"/>
      <c r="E73" s="105"/>
    </row>
    <row r="74">
      <c r="B74" s="104"/>
      <c r="E74" s="105"/>
    </row>
    <row r="75">
      <c r="B75" s="104"/>
      <c r="E75" s="105"/>
    </row>
    <row r="76">
      <c r="B76" s="104"/>
      <c r="E76" s="105"/>
    </row>
    <row r="77">
      <c r="B77" s="104"/>
      <c r="E77" s="105"/>
    </row>
    <row r="78">
      <c r="B78" s="104"/>
      <c r="E78" s="105"/>
    </row>
    <row r="79">
      <c r="B79" s="104"/>
      <c r="E79" s="105"/>
    </row>
    <row r="80">
      <c r="B80" s="104"/>
      <c r="E80" s="105"/>
    </row>
    <row r="81">
      <c r="B81" s="104"/>
      <c r="E81" s="105"/>
    </row>
    <row r="82">
      <c r="B82" s="104"/>
      <c r="E82" s="105"/>
    </row>
    <row r="83">
      <c r="B83" s="104"/>
      <c r="E83" s="105"/>
    </row>
    <row r="84">
      <c r="B84" s="104"/>
      <c r="E84" s="105"/>
    </row>
    <row r="85">
      <c r="B85" s="104"/>
      <c r="E85" s="105"/>
    </row>
    <row r="86">
      <c r="B86" s="104"/>
      <c r="E86" s="105"/>
    </row>
    <row r="87">
      <c r="B87" s="104"/>
      <c r="E87" s="105"/>
    </row>
    <row r="88">
      <c r="B88" s="104"/>
      <c r="E88" s="105"/>
    </row>
    <row r="89">
      <c r="B89" s="104"/>
      <c r="E89" s="105"/>
    </row>
    <row r="90">
      <c r="B90" s="104"/>
      <c r="E90" s="105"/>
    </row>
    <row r="91">
      <c r="B91" s="104"/>
      <c r="E91" s="105"/>
    </row>
    <row r="92">
      <c r="B92" s="104"/>
      <c r="E92" s="105"/>
    </row>
    <row r="93">
      <c r="B93" s="104"/>
      <c r="E93" s="105"/>
    </row>
    <row r="94">
      <c r="B94" s="104"/>
      <c r="E94" s="105"/>
    </row>
    <row r="95">
      <c r="B95" s="104"/>
      <c r="E95" s="105"/>
    </row>
    <row r="96">
      <c r="B96" s="104"/>
      <c r="E96" s="105"/>
    </row>
    <row r="97">
      <c r="B97" s="104"/>
      <c r="E97" s="105"/>
    </row>
    <row r="98">
      <c r="B98" s="104"/>
      <c r="E98" s="105"/>
    </row>
    <row r="99">
      <c r="B99" s="104"/>
      <c r="E99" s="105"/>
    </row>
    <row r="100">
      <c r="B100" s="104"/>
      <c r="E100" s="105"/>
    </row>
  </sheetData>
  <hyperlinks>
    <hyperlink r:id="rId1" ref="I7"/>
    <hyperlink r:id="rId2" ref="I8"/>
    <hyperlink r:id="rId3" ref="I9"/>
    <hyperlink r:id="rId4" ref="I10"/>
    <hyperlink r:id="rId5" ref="I11"/>
    <hyperlink r:id="rId6" ref="I12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cols>
    <col customWidth="1" min="1" max="1" width="34.0"/>
    <col customWidth="1" min="2" max="8" width="16.0"/>
    <col customWidth="1" min="9" max="26" width="8.71"/>
  </cols>
  <sheetData>
    <row r="1">
      <c r="A1" s="51" t="s">
        <v>449</v>
      </c>
      <c r="B1" s="52"/>
      <c r="C1" s="52"/>
      <c r="D1" s="52"/>
      <c r="E1" s="52"/>
      <c r="F1" s="52"/>
      <c r="G1" s="52"/>
      <c r="H1" s="52"/>
      <c r="I1" s="52"/>
    </row>
    <row r="2">
      <c r="A2" s="46" t="s">
        <v>450</v>
      </c>
    </row>
    <row r="4">
      <c r="A4" s="53" t="s">
        <v>451</v>
      </c>
      <c r="B4" s="53" t="s">
        <v>452</v>
      </c>
      <c r="C4" s="53" t="s">
        <v>453</v>
      </c>
      <c r="D4" s="53" t="s">
        <v>265</v>
      </c>
      <c r="E4" s="53" t="s">
        <v>266</v>
      </c>
      <c r="F4" s="53" t="s">
        <v>454</v>
      </c>
      <c r="G4" s="53" t="s">
        <v>455</v>
      </c>
      <c r="H4" s="53" t="s">
        <v>456</v>
      </c>
      <c r="I4" s="106" t="s">
        <v>457</v>
      </c>
    </row>
    <row r="5">
      <c r="A5" s="26" t="s">
        <v>458</v>
      </c>
      <c r="B5" s="26" t="s">
        <v>459</v>
      </c>
      <c r="C5" s="26" t="s">
        <v>460</v>
      </c>
      <c r="D5" s="107">
        <v>2.0</v>
      </c>
      <c r="E5" s="26" t="s">
        <v>274</v>
      </c>
      <c r="F5" s="59">
        <v>1200.0</v>
      </c>
      <c r="G5" s="108">
        <f>IF($C5="Perpetua",$D5*$F5*IF($E5="USD",Parametros!$B$5,1),0)</f>
        <v>0</v>
      </c>
      <c r="H5" s="108">
        <f>IF($C5="Anual",$D5*$F5*IF($E5="USD",Parametros!$B$5,1)/12,IF($C5="Mensual",$D5*$F5*IF($E5="USD",Parametros!$B$5,1),0))</f>
        <v>649774</v>
      </c>
      <c r="I5" s="2" t="s">
        <v>461</v>
      </c>
    </row>
    <row r="6">
      <c r="A6" s="26" t="s">
        <v>462</v>
      </c>
      <c r="B6" s="26" t="s">
        <v>463</v>
      </c>
      <c r="C6" s="26" t="s">
        <v>464</v>
      </c>
      <c r="D6" s="107">
        <v>2.0</v>
      </c>
      <c r="E6" s="26" t="s">
        <v>274</v>
      </c>
      <c r="F6" s="59">
        <v>4500.0</v>
      </c>
      <c r="G6" s="108">
        <f>IF($C6="Perpetua",$D6*$F6*IF($E6="USD",Parametros!$B$5,1),0)</f>
        <v>29239830</v>
      </c>
      <c r="H6" s="108">
        <f>IF($C6="Anual",$D6*$F6*IF($E6="USD",Parametros!$B$5,1)/12,IF($C6="Mensual",$D6*$F6*IF($E6="USD",Parametros!$B$5,1),0))</f>
        <v>0</v>
      </c>
      <c r="I6" s="2" t="s">
        <v>465</v>
      </c>
    </row>
    <row r="7">
      <c r="A7" s="26" t="s">
        <v>466</v>
      </c>
      <c r="B7" s="26" t="s">
        <v>467</v>
      </c>
      <c r="C7" s="26" t="s">
        <v>468</v>
      </c>
      <c r="D7" s="107">
        <v>2.0</v>
      </c>
      <c r="E7" s="26" t="s">
        <v>274</v>
      </c>
      <c r="F7" s="59">
        <v>220.0</v>
      </c>
      <c r="G7" s="108">
        <f>IF($C7="Perpetua",$D7*$F7*IF($E7="USD",Parametros!$B$5,1),0)</f>
        <v>0</v>
      </c>
      <c r="H7" s="108">
        <f>IF($C7="Anual",$D7*$F7*IF($E7="USD",Parametros!$B$5,1)/12,IF($C7="Mensual",$D7*$F7*IF($E7="USD",Parametros!$B$5,1),0))</f>
        <v>1429502.8</v>
      </c>
      <c r="I7" s="2" t="s">
        <v>469</v>
      </c>
    </row>
    <row r="8">
      <c r="A8" s="26" t="s">
        <v>470</v>
      </c>
      <c r="B8" s="26" t="s">
        <v>471</v>
      </c>
      <c r="C8" s="26" t="s">
        <v>460</v>
      </c>
      <c r="D8" s="107">
        <v>1.0</v>
      </c>
      <c r="E8" s="26" t="s">
        <v>274</v>
      </c>
      <c r="F8" s="59">
        <v>12587.4</v>
      </c>
      <c r="G8" s="108">
        <f>IF($C8="Perpetua",$D8*$F8*IF($E8="USD",Parametros!$B$5,1),0)</f>
        <v>0</v>
      </c>
      <c r="H8" s="108">
        <f>IF($C8="Anual",$D8*$F8*IF($E8="USD",Parametros!$B$5,1)/12,IF($C8="Mensual",$D8*$F8*IF($E8="USD",Parametros!$B$5,1),0))</f>
        <v>3407902.187</v>
      </c>
      <c r="I8" s="2" t="s">
        <v>469</v>
      </c>
    </row>
    <row r="9">
      <c r="A9" s="26" t="s">
        <v>472</v>
      </c>
      <c r="B9" s="26" t="s">
        <v>473</v>
      </c>
      <c r="C9" s="26" t="s">
        <v>464</v>
      </c>
      <c r="D9" s="107">
        <v>1.0</v>
      </c>
      <c r="E9" s="26" t="s">
        <v>274</v>
      </c>
      <c r="F9" s="59">
        <v>25500.0</v>
      </c>
      <c r="G9" s="108">
        <f>IF($C9="Perpetua",$D9*$F9*IF($E9="USD",Parametros!$B$5,1),0)</f>
        <v>82846185</v>
      </c>
      <c r="H9" s="108">
        <f>IF($C9="Anual",$D9*$F9*IF($E9="USD",Parametros!$B$5,1)/12,IF($C9="Mensual",$D9*$F9*IF($E9="USD",Parametros!$B$5,1),0))</f>
        <v>0</v>
      </c>
      <c r="I9" s="2" t="s">
        <v>474</v>
      </c>
    </row>
    <row r="10">
      <c r="A10" s="26" t="s">
        <v>475</v>
      </c>
      <c r="B10" s="26" t="s">
        <v>476</v>
      </c>
      <c r="C10" s="26" t="s">
        <v>460</v>
      </c>
      <c r="D10" s="107">
        <v>1.0</v>
      </c>
      <c r="E10" s="26" t="s">
        <v>361</v>
      </c>
      <c r="F10" s="109">
        <f t="array" ref="F10">2450*INDEX(Parametros!$B:$B,MATCH("eur_cop",Parametros!$A:$A,0))</f>
        <v>9347975</v>
      </c>
      <c r="G10" s="108">
        <f>IF($C10="Perpetua",$D10*$F10*IF($E10="USD",Parametros!$B$5,1),0)</f>
        <v>0</v>
      </c>
      <c r="H10" s="108">
        <f>IF($C10="Anual",$D10*$F10*IF($E10="USD",Parametros!$B$5,1)/12,IF($C10="Mensual",$D10*$F10*IF($E10="USD",Parametros!$B$5,1),0))</f>
        <v>778997.9167</v>
      </c>
      <c r="I10" s="2" t="s">
        <v>477</v>
      </c>
    </row>
    <row r="11">
      <c r="A11" s="26" t="s">
        <v>478</v>
      </c>
      <c r="B11" s="26" t="s">
        <v>479</v>
      </c>
      <c r="C11" s="26" t="s">
        <v>468</v>
      </c>
      <c r="D11" s="107">
        <v>5.0</v>
      </c>
      <c r="E11" s="26" t="s">
        <v>274</v>
      </c>
      <c r="F11" s="59">
        <v>49.0</v>
      </c>
      <c r="G11" s="108">
        <f>IF($C11="Perpetua",$D11*$F11*IF($E11="USD",Parametros!$B$5,1),0)</f>
        <v>0</v>
      </c>
      <c r="H11" s="108">
        <f>IF($C11="Anual",$D11*$F11*IF($E11="USD",Parametros!$B$5,1)/12,IF($C11="Mensual",$D11*$F11*IF($E11="USD",Parametros!$B$5,1),0))</f>
        <v>795973.15</v>
      </c>
      <c r="I11" s="2" t="s">
        <v>480</v>
      </c>
    </row>
    <row r="12">
      <c r="A12" s="2" t="s">
        <v>481</v>
      </c>
      <c r="B12" s="2" t="s">
        <v>482</v>
      </c>
      <c r="C12" s="2" t="s">
        <v>468</v>
      </c>
      <c r="D12" s="36">
        <v>1.0</v>
      </c>
      <c r="E12" s="2" t="s">
        <v>361</v>
      </c>
      <c r="F12" s="80">
        <v>1200000.0</v>
      </c>
      <c r="G12" s="6">
        <f>IF($C12="Perpetua",$D12*$F12*IF($E12="USD",Parametros!$B$5,1),0)</f>
        <v>0</v>
      </c>
      <c r="H12" s="6">
        <f>IF($C12="Anual",$D12*$F12*IF($E12="USD",Parametros!$B$5,1)/12,IF($C12="Mensual",$D12*$F12*IF($E12="USD",Parametros!$B$5,1),0))</f>
        <v>1200000</v>
      </c>
      <c r="I12" s="2" t="s">
        <v>483</v>
      </c>
    </row>
    <row r="13">
      <c r="A13" s="110" t="s">
        <v>484</v>
      </c>
      <c r="B13" s="111" t="s">
        <v>485</v>
      </c>
      <c r="C13" s="111" t="s">
        <v>486</v>
      </c>
      <c r="D13" s="112">
        <v>0.0</v>
      </c>
      <c r="E13" s="111" t="s">
        <v>274</v>
      </c>
      <c r="F13" s="113">
        <v>1731.0</v>
      </c>
      <c r="G13" s="114">
        <f>IF($C13="Perpetua",$D13*$F13*IF($E13="USD",Parametros!$B$5,1),0)</f>
        <v>0</v>
      </c>
      <c r="H13" s="115">
        <f>IF($C13="Anual",$D13*$F13*IF($E13="USD",Parametros!$B$5,1)/12,IF($C13="Mensual",$D13*$F13*IF($E13="USD",Parametros!$B$5,1),0))</f>
        <v>0</v>
      </c>
      <c r="I13" s="111" t="s">
        <v>487</v>
      </c>
    </row>
    <row r="14">
      <c r="A14" s="110" t="s">
        <v>488</v>
      </c>
      <c r="B14" s="111" t="s">
        <v>489</v>
      </c>
      <c r="C14" s="111" t="s">
        <v>486</v>
      </c>
      <c r="D14" s="112">
        <v>0.0</v>
      </c>
      <c r="E14" s="111" t="s">
        <v>361</v>
      </c>
      <c r="F14" s="113">
        <v>6000000.0</v>
      </c>
      <c r="G14" s="115">
        <f>IF($C14="Perpetua",$D14*$F14*IF($E14="USD",Parametros!$B$5,1),0)</f>
        <v>0</v>
      </c>
      <c r="H14" s="116">
        <f>IF($C14="Anual",$D14*$F14*IF($E14="USD",Parametros!$B$5,1)/12,IF($C14="Mensual",$D14*$F14*IF($E14="USD",Parametros!$B$5,1),0))</f>
        <v>0</v>
      </c>
      <c r="I14" s="111" t="s">
        <v>487</v>
      </c>
    </row>
    <row r="15">
      <c r="A15" s="2" t="s">
        <v>490</v>
      </c>
      <c r="B15" s="2" t="s">
        <v>491</v>
      </c>
      <c r="C15" s="2" t="s">
        <v>492</v>
      </c>
      <c r="D15" s="36">
        <v>1.0</v>
      </c>
      <c r="E15" s="2" t="s">
        <v>361</v>
      </c>
      <c r="F15" s="80">
        <v>0.0</v>
      </c>
      <c r="G15" s="6">
        <f>IF($C15="Perpetua",$D15*$F15*IF($E15="USD",Parametros!$B$5,1),0)</f>
        <v>0</v>
      </c>
      <c r="H15" s="6">
        <f>IF($C15="Anual",$D15*$F15*IF($E15="USD",Parametros!$B$5,1)/12,IF($C15="Mensual",$D15*$F15*IF($E15="USD",Parametros!$B$5,1),0))</f>
        <v>0</v>
      </c>
      <c r="I15" s="2" t="s">
        <v>493</v>
      </c>
    </row>
    <row r="17">
      <c r="A17" s="117" t="s">
        <v>494</v>
      </c>
      <c r="B17" s="117" t="s">
        <v>495</v>
      </c>
      <c r="C17" s="118"/>
      <c r="D17" s="118"/>
      <c r="E17" s="118"/>
      <c r="F17" s="118"/>
      <c r="G17" s="119">
        <f>SUM(G5:G15)</f>
        <v>112086015</v>
      </c>
      <c r="H17" s="118"/>
      <c r="I17" s="118"/>
    </row>
    <row r="18">
      <c r="A18" s="117" t="s">
        <v>496</v>
      </c>
      <c r="B18" s="117" t="s">
        <v>497</v>
      </c>
      <c r="C18" s="118"/>
      <c r="D18" s="118"/>
      <c r="E18" s="118"/>
      <c r="F18" s="118"/>
      <c r="G18" s="118"/>
      <c r="H18" s="119">
        <f>SUM(H5:H15)</f>
        <v>8262150.053</v>
      </c>
      <c r="I18" s="118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7.71"/>
    <col customWidth="1" min="2" max="2" width="74.29"/>
    <col customWidth="1" min="3" max="3" width="51.14"/>
  </cols>
  <sheetData>
    <row r="1">
      <c r="A1" s="2" t="s">
        <v>498</v>
      </c>
    </row>
    <row r="2">
      <c r="A2" s="2" t="s">
        <v>499</v>
      </c>
    </row>
    <row r="4">
      <c r="A4" s="2" t="s">
        <v>500</v>
      </c>
    </row>
    <row r="5">
      <c r="A5" s="2" t="s">
        <v>501</v>
      </c>
      <c r="B5" s="2" t="s">
        <v>502</v>
      </c>
      <c r="C5" s="2" t="s">
        <v>503</v>
      </c>
      <c r="D5" s="2" t="s">
        <v>504</v>
      </c>
      <c r="E5" s="2" t="s">
        <v>505</v>
      </c>
      <c r="F5" s="2" t="s">
        <v>506</v>
      </c>
      <c r="G5" s="2" t="s">
        <v>507</v>
      </c>
      <c r="H5" s="2" t="s">
        <v>508</v>
      </c>
    </row>
    <row r="6">
      <c r="A6" s="2" t="s">
        <v>509</v>
      </c>
      <c r="B6" s="5">
        <f t="shared" ref="B6:B8" si="1">SUMIF($A$12:$A$200,A6,$G$12:$G$200)</f>
        <v>428622620</v>
      </c>
      <c r="C6" s="36">
        <v>0.15165441112140032</v>
      </c>
      <c r="D6" s="36">
        <v>0.05055147037380011</v>
      </c>
      <c r="E6" s="36">
        <v>0.07279411733827215</v>
      </c>
      <c r="F6" s="5">
        <f t="shared" ref="F6:F8" si="2">SUM(C6:E6)</f>
        <v>0.2749999988</v>
      </c>
      <c r="G6" s="5">
        <f t="shared" ref="G6:G8" si="3">B6*F6</f>
        <v>117871220</v>
      </c>
      <c r="H6" s="5">
        <f t="shared" ref="H6:H8" si="4">B6+G6</f>
        <v>546493840</v>
      </c>
    </row>
    <row r="7">
      <c r="A7" s="2" t="s">
        <v>510</v>
      </c>
      <c r="B7" s="5">
        <f t="shared" si="1"/>
        <v>753387600</v>
      </c>
      <c r="C7" s="36">
        <v>0.15441176470588236</v>
      </c>
      <c r="D7" s="36">
        <v>0.05147058823529412</v>
      </c>
      <c r="E7" s="36">
        <v>0.07411764705882354</v>
      </c>
      <c r="F7" s="5">
        <f t="shared" si="2"/>
        <v>0.28</v>
      </c>
      <c r="G7" s="5">
        <f t="shared" si="3"/>
        <v>210948528</v>
      </c>
      <c r="H7" s="5">
        <f t="shared" si="4"/>
        <v>964336128</v>
      </c>
    </row>
    <row r="8">
      <c r="A8" s="2" t="s">
        <v>511</v>
      </c>
      <c r="B8" s="5">
        <f t="shared" si="1"/>
        <v>140040700</v>
      </c>
      <c r="C8" s="36">
        <v>0.15441176470588236</v>
      </c>
      <c r="D8" s="36">
        <v>0.05147058823529412</v>
      </c>
      <c r="E8" s="36">
        <v>0.07411764705882354</v>
      </c>
      <c r="F8" s="5">
        <f t="shared" si="2"/>
        <v>0.28</v>
      </c>
      <c r="G8" s="5">
        <f t="shared" si="3"/>
        <v>39211396</v>
      </c>
      <c r="H8" s="5">
        <f t="shared" si="4"/>
        <v>179252096</v>
      </c>
    </row>
    <row r="10">
      <c r="A10" s="2" t="s">
        <v>512</v>
      </c>
    </row>
    <row r="11">
      <c r="A11" s="2" t="s">
        <v>501</v>
      </c>
      <c r="B11" s="2" t="s">
        <v>513</v>
      </c>
      <c r="C11" s="2" t="s">
        <v>201</v>
      </c>
      <c r="D11" s="2" t="s">
        <v>514</v>
      </c>
      <c r="E11" s="2" t="s">
        <v>116</v>
      </c>
      <c r="F11" s="2" t="s">
        <v>515</v>
      </c>
      <c r="G11" s="2" t="s">
        <v>516</v>
      </c>
      <c r="H11" s="2" t="s">
        <v>517</v>
      </c>
    </row>
    <row r="12">
      <c r="A12" s="2" t="s">
        <v>509</v>
      </c>
      <c r="B12" s="2" t="s">
        <v>518</v>
      </c>
      <c r="C12" s="2" t="s">
        <v>519</v>
      </c>
      <c r="D12" s="36">
        <v>320.0</v>
      </c>
      <c r="E12" s="2" t="s">
        <v>520</v>
      </c>
      <c r="F12" s="5">
        <f t="array" ref="F12">INDEX(RRHH!$G:$G,MATCH("Equipo diseno y desarrollo ULogix",RRHH!$A:$A,0))/160</f>
        <v>77823</v>
      </c>
      <c r="G12" s="5">
        <f t="shared" ref="G12:G24" si="5">D12*F12</f>
        <v>24903360</v>
      </c>
      <c r="H12" s="2" t="s">
        <v>521</v>
      </c>
    </row>
    <row r="13">
      <c r="A13" s="2" t="s">
        <v>509</v>
      </c>
      <c r="B13" s="2" t="s">
        <v>522</v>
      </c>
      <c r="C13" s="2" t="s">
        <v>523</v>
      </c>
      <c r="D13" s="36">
        <v>480.0</v>
      </c>
      <c r="E13" s="2" t="s">
        <v>520</v>
      </c>
      <c r="F13" s="5">
        <f t="array" ref="F13">INDEX(RRHH!$G:$G,MATCH("Equipo diseno y desarrollo ULogix",RRHH!$A:$A,0))/160</f>
        <v>77823</v>
      </c>
      <c r="G13" s="5">
        <f t="shared" si="5"/>
        <v>37355040</v>
      </c>
      <c r="H13" s="2" t="s">
        <v>521</v>
      </c>
    </row>
    <row r="14">
      <c r="A14" s="2" t="s">
        <v>509</v>
      </c>
      <c r="B14" s="2" t="s">
        <v>524</v>
      </c>
      <c r="C14" s="2" t="s">
        <v>525</v>
      </c>
      <c r="D14" s="36">
        <v>420.0</v>
      </c>
      <c r="E14" s="2" t="s">
        <v>520</v>
      </c>
      <c r="F14" s="5">
        <f t="array" ref="F14">INDEX(RRHH!$G:$G,MATCH("Equipo diseno y desarrollo ULogix",RRHH!$A:$A,0))/160</f>
        <v>77823</v>
      </c>
      <c r="G14" s="5">
        <f t="shared" si="5"/>
        <v>32685660</v>
      </c>
      <c r="H14" s="2" t="s">
        <v>521</v>
      </c>
    </row>
    <row r="15">
      <c r="A15" s="2" t="s">
        <v>509</v>
      </c>
      <c r="B15" s="2" t="s">
        <v>526</v>
      </c>
      <c r="C15" s="2" t="s">
        <v>527</v>
      </c>
      <c r="D15" s="36">
        <v>320.0</v>
      </c>
      <c r="E15" s="2" t="s">
        <v>520</v>
      </c>
      <c r="F15" s="5">
        <f t="array" ref="F15">INDEX(RRHH!$G:$G,MATCH("Equipo diseno y desarrollo ULogix",RRHH!$A:$A,0))/160</f>
        <v>77823</v>
      </c>
      <c r="G15" s="5">
        <f t="shared" si="5"/>
        <v>24903360</v>
      </c>
      <c r="H15" s="2" t="s">
        <v>521</v>
      </c>
    </row>
    <row r="16">
      <c r="A16" s="2" t="s">
        <v>509</v>
      </c>
      <c r="B16" s="2" t="s">
        <v>528</v>
      </c>
      <c r="C16" s="2" t="s">
        <v>529</v>
      </c>
      <c r="D16" s="36">
        <v>360.0</v>
      </c>
      <c r="E16" s="2" t="s">
        <v>520</v>
      </c>
      <c r="F16" s="5">
        <f t="array" ref="F16">INDEX(RRHH!$G:$G,MATCH("Equipo diseno y desarrollo ULogix",RRHH!$A:$A,0))/160</f>
        <v>77823</v>
      </c>
      <c r="G16" s="5">
        <f t="shared" si="5"/>
        <v>28016280</v>
      </c>
      <c r="H16" s="2" t="s">
        <v>521</v>
      </c>
    </row>
    <row r="17">
      <c r="A17" s="2" t="s">
        <v>509</v>
      </c>
      <c r="B17" s="2" t="s">
        <v>530</v>
      </c>
      <c r="C17" s="2" t="s">
        <v>531</v>
      </c>
      <c r="D17" s="36">
        <v>400.0</v>
      </c>
      <c r="E17" s="2" t="s">
        <v>520</v>
      </c>
      <c r="F17" s="5">
        <f t="array" ref="F17">INDEX(RRHH!$G:$G,MATCH("Equipo diseno y desarrollo ULogix",RRHH!$A:$A,0))/160</f>
        <v>77823</v>
      </c>
      <c r="G17" s="5">
        <f t="shared" si="5"/>
        <v>31129200</v>
      </c>
      <c r="H17" s="2" t="s">
        <v>521</v>
      </c>
    </row>
    <row r="18">
      <c r="A18" s="2" t="s">
        <v>509</v>
      </c>
      <c r="B18" s="2" t="s">
        <v>532</v>
      </c>
      <c r="C18" s="2" t="s">
        <v>533</v>
      </c>
      <c r="D18" s="36">
        <v>360.0</v>
      </c>
      <c r="E18" s="2" t="s">
        <v>520</v>
      </c>
      <c r="F18" s="5">
        <f t="array" ref="F18">INDEX(RRHH!$G:$G,MATCH("Equipo diseno y desarrollo ULogix",RRHH!$A:$A,0))/160</f>
        <v>77823</v>
      </c>
      <c r="G18" s="5">
        <f t="shared" si="5"/>
        <v>28016280</v>
      </c>
      <c r="H18" s="2" t="s">
        <v>521</v>
      </c>
    </row>
    <row r="19">
      <c r="A19" s="2" t="s">
        <v>509</v>
      </c>
      <c r="B19" s="2" t="s">
        <v>534</v>
      </c>
      <c r="C19" s="2" t="s">
        <v>535</v>
      </c>
      <c r="D19" s="36">
        <v>480.0</v>
      </c>
      <c r="E19" s="2" t="s">
        <v>520</v>
      </c>
      <c r="F19" s="5">
        <f t="array" ref="F19">INDEX(RRHH!$G:$G,MATCH("Equipo diseno y desarrollo ULogix",RRHH!$A:$A,0))/160</f>
        <v>77823</v>
      </c>
      <c r="G19" s="5">
        <f t="shared" si="5"/>
        <v>37355040</v>
      </c>
      <c r="H19" s="2" t="s">
        <v>521</v>
      </c>
    </row>
    <row r="20">
      <c r="A20" s="2" t="s">
        <v>509</v>
      </c>
      <c r="B20" s="2" t="s">
        <v>536</v>
      </c>
      <c r="C20" s="2" t="s">
        <v>537</v>
      </c>
      <c r="D20" s="36">
        <v>320.0</v>
      </c>
      <c r="E20" s="2" t="s">
        <v>520</v>
      </c>
      <c r="F20" s="5">
        <f t="array" ref="F20">INDEX(RRHH!$G:$G,MATCH("Equipo diseno y desarrollo ULogix",RRHH!$A:$A,0))/160</f>
        <v>77823</v>
      </c>
      <c r="G20" s="5">
        <f t="shared" si="5"/>
        <v>24903360</v>
      </c>
      <c r="H20" s="2" t="s">
        <v>521</v>
      </c>
    </row>
    <row r="21">
      <c r="A21" s="2" t="s">
        <v>509</v>
      </c>
      <c r="B21" s="2" t="s">
        <v>538</v>
      </c>
      <c r="C21" s="2" t="s">
        <v>539</v>
      </c>
      <c r="D21" s="36">
        <v>160.0</v>
      </c>
      <c r="E21" s="2" t="s">
        <v>520</v>
      </c>
      <c r="F21" s="5">
        <f t="array" ref="F21">INDEX(RRHH!$G:$G,MATCH("Equipo diseno y desarrollo ULogix",RRHH!$A:$A,0))/160</f>
        <v>77823</v>
      </c>
      <c r="G21" s="5">
        <f t="shared" si="5"/>
        <v>12451680</v>
      </c>
      <c r="H21" s="2" t="s">
        <v>521</v>
      </c>
    </row>
    <row r="22">
      <c r="A22" s="2" t="s">
        <v>509</v>
      </c>
      <c r="B22" s="2" t="s">
        <v>540</v>
      </c>
      <c r="C22" s="2" t="s">
        <v>541</v>
      </c>
      <c r="D22" s="36">
        <v>320.0</v>
      </c>
      <c r="E22" s="2" t="s">
        <v>520</v>
      </c>
      <c r="F22" s="5">
        <f t="array" ref="F22">INDEX(RRHH!$G:$G,MATCH("Equipo diseno y desarrollo ULogix",RRHH!$A:$A,0))/160</f>
        <v>77823</v>
      </c>
      <c r="G22" s="5">
        <f t="shared" si="5"/>
        <v>24903360</v>
      </c>
      <c r="H22" s="2" t="s">
        <v>521</v>
      </c>
    </row>
    <row r="23">
      <c r="A23" s="2" t="s">
        <v>509</v>
      </c>
      <c r="B23" s="2" t="s">
        <v>542</v>
      </c>
      <c r="C23" s="2" t="s">
        <v>543</v>
      </c>
      <c r="D23" s="36">
        <v>2.0</v>
      </c>
      <c r="E23" s="2" t="s">
        <v>275</v>
      </c>
      <c r="F23" s="36">
        <v>4.5E7</v>
      </c>
      <c r="G23" s="5">
        <f t="shared" si="5"/>
        <v>90000000</v>
      </c>
      <c r="H23" s="2" t="s">
        <v>544</v>
      </c>
    </row>
    <row r="24">
      <c r="A24" s="2" t="s">
        <v>509</v>
      </c>
      <c r="B24" s="2" t="s">
        <v>545</v>
      </c>
      <c r="C24" s="2" t="s">
        <v>546</v>
      </c>
      <c r="D24" s="36">
        <v>1.0</v>
      </c>
      <c r="E24" s="2" t="s">
        <v>547</v>
      </c>
      <c r="F24" s="36">
        <v>3.2E7</v>
      </c>
      <c r="G24" s="5">
        <f t="shared" si="5"/>
        <v>32000000</v>
      </c>
      <c r="H24" s="2" t="s">
        <v>548</v>
      </c>
    </row>
    <row r="25">
      <c r="C25" s="2" t="s">
        <v>549</v>
      </c>
      <c r="G25" s="5">
        <f>B6</f>
        <v>428622620</v>
      </c>
      <c r="H25" s="2" t="s">
        <v>550</v>
      </c>
    </row>
    <row r="26">
      <c r="C26" s="2" t="s">
        <v>551</v>
      </c>
      <c r="G26" s="5">
        <f>G6</f>
        <v>117871220</v>
      </c>
      <c r="H26" s="2" t="s">
        <v>552</v>
      </c>
    </row>
    <row r="27">
      <c r="C27" s="2" t="s">
        <v>553</v>
      </c>
      <c r="G27" s="5">
        <f>H6</f>
        <v>546493840</v>
      </c>
      <c r="H27" s="2" t="s">
        <v>554</v>
      </c>
    </row>
    <row r="29">
      <c r="A29" s="2" t="s">
        <v>510</v>
      </c>
      <c r="B29" s="2" t="s">
        <v>555</v>
      </c>
      <c r="C29" s="2" t="s">
        <v>556</v>
      </c>
      <c r="D29" s="36">
        <v>1200.0</v>
      </c>
      <c r="E29" s="2" t="s">
        <v>520</v>
      </c>
      <c r="F29" s="5">
        <f t="array" ref="F29">INDEX(RRHH!$G:$G,MATCH("Equipo diseno y desarrollo ULogix",RRHH!$A:$A,0))/160</f>
        <v>77823</v>
      </c>
      <c r="G29" s="5">
        <f t="shared" ref="G29:G36" si="6">D29*F29</f>
        <v>93387600</v>
      </c>
      <c r="H29" s="2" t="s">
        <v>521</v>
      </c>
    </row>
    <row r="30">
      <c r="A30" s="2" t="s">
        <v>510</v>
      </c>
      <c r="B30" s="2" t="s">
        <v>557</v>
      </c>
      <c r="C30" s="2" t="s">
        <v>558</v>
      </c>
      <c r="D30" s="36">
        <v>1.0</v>
      </c>
      <c r="E30" s="2" t="s">
        <v>547</v>
      </c>
      <c r="F30" s="36">
        <v>1.8E8</v>
      </c>
      <c r="G30" s="5">
        <f t="shared" si="6"/>
        <v>180000000</v>
      </c>
      <c r="H30" s="2" t="s">
        <v>544</v>
      </c>
    </row>
    <row r="31">
      <c r="A31" s="2" t="s">
        <v>510</v>
      </c>
      <c r="B31" s="2" t="s">
        <v>559</v>
      </c>
      <c r="C31" s="2" t="s">
        <v>560</v>
      </c>
      <c r="D31" s="36">
        <v>1.0</v>
      </c>
      <c r="E31" s="2" t="s">
        <v>547</v>
      </c>
      <c r="F31" s="36">
        <v>2.2E8</v>
      </c>
      <c r="G31" s="5">
        <f t="shared" si="6"/>
        <v>220000000</v>
      </c>
      <c r="H31" s="2" t="s">
        <v>544</v>
      </c>
    </row>
    <row r="32">
      <c r="A32" s="2" t="s">
        <v>510</v>
      </c>
      <c r="B32" s="2" t="s">
        <v>561</v>
      </c>
      <c r="C32" s="2" t="s">
        <v>562</v>
      </c>
      <c r="D32" s="36">
        <v>1.0</v>
      </c>
      <c r="E32" s="2" t="s">
        <v>547</v>
      </c>
      <c r="F32" s="36">
        <v>4.5E7</v>
      </c>
      <c r="G32" s="5">
        <f t="shared" si="6"/>
        <v>45000000</v>
      </c>
      <c r="H32" s="2" t="s">
        <v>544</v>
      </c>
    </row>
    <row r="33">
      <c r="A33" s="2" t="s">
        <v>510</v>
      </c>
      <c r="B33" s="2" t="s">
        <v>563</v>
      </c>
      <c r="C33" s="2" t="s">
        <v>564</v>
      </c>
      <c r="D33" s="36">
        <v>1.0</v>
      </c>
      <c r="E33" s="2" t="s">
        <v>547</v>
      </c>
      <c r="F33" s="36">
        <v>4.5E7</v>
      </c>
      <c r="G33" s="5">
        <f t="shared" si="6"/>
        <v>45000000</v>
      </c>
      <c r="H33" s="2" t="s">
        <v>565</v>
      </c>
    </row>
    <row r="34">
      <c r="A34" s="2" t="s">
        <v>510</v>
      </c>
      <c r="B34" s="2" t="s">
        <v>566</v>
      </c>
      <c r="C34" s="2" t="s">
        <v>567</v>
      </c>
      <c r="D34" s="36">
        <v>1.0</v>
      </c>
      <c r="E34" s="2" t="s">
        <v>547</v>
      </c>
      <c r="F34" s="36">
        <v>9.0E7</v>
      </c>
      <c r="G34" s="5">
        <f t="shared" si="6"/>
        <v>90000000</v>
      </c>
      <c r="H34" s="2" t="s">
        <v>568</v>
      </c>
    </row>
    <row r="35">
      <c r="A35" s="2" t="s">
        <v>510</v>
      </c>
      <c r="B35" s="2" t="s">
        <v>569</v>
      </c>
      <c r="C35" s="2" t="s">
        <v>570</v>
      </c>
      <c r="D35" s="36">
        <v>1.0</v>
      </c>
      <c r="E35" s="2" t="s">
        <v>547</v>
      </c>
      <c r="F35" s="36">
        <v>2.5E7</v>
      </c>
      <c r="G35" s="5">
        <f t="shared" si="6"/>
        <v>25000000</v>
      </c>
      <c r="H35" s="2" t="s">
        <v>568</v>
      </c>
    </row>
    <row r="36">
      <c r="A36" s="2" t="s">
        <v>510</v>
      </c>
      <c r="B36" s="2" t="s">
        <v>571</v>
      </c>
      <c r="C36" s="2" t="s">
        <v>572</v>
      </c>
      <c r="D36" s="36">
        <v>1.0</v>
      </c>
      <c r="E36" s="2" t="s">
        <v>547</v>
      </c>
      <c r="F36" s="36">
        <v>5.5E7</v>
      </c>
      <c r="G36" s="5">
        <f t="shared" si="6"/>
        <v>55000000</v>
      </c>
      <c r="H36" s="2" t="s">
        <v>548</v>
      </c>
    </row>
    <row r="37">
      <c r="C37" s="2" t="s">
        <v>573</v>
      </c>
      <c r="G37" s="5">
        <f>B7</f>
        <v>753387600</v>
      </c>
      <c r="H37" s="2" t="s">
        <v>550</v>
      </c>
    </row>
    <row r="38">
      <c r="C38" s="2" t="s">
        <v>574</v>
      </c>
      <c r="G38" s="5">
        <f>G7</f>
        <v>210948528</v>
      </c>
      <c r="H38" s="2" t="s">
        <v>552</v>
      </c>
    </row>
    <row r="39">
      <c r="C39" s="2" t="s">
        <v>575</v>
      </c>
      <c r="G39" s="5">
        <f>H7</f>
        <v>964336128</v>
      </c>
      <c r="H39" s="2" t="s">
        <v>554</v>
      </c>
    </row>
    <row r="41">
      <c r="A41" s="2" t="s">
        <v>511</v>
      </c>
      <c r="B41" s="2" t="s">
        <v>576</v>
      </c>
      <c r="C41" s="2" t="s">
        <v>577</v>
      </c>
      <c r="D41" s="36">
        <v>900.0</v>
      </c>
      <c r="E41" s="2" t="s">
        <v>520</v>
      </c>
      <c r="F41" s="5">
        <f t="array" ref="F41">INDEX(RRHH!$G:$G,MATCH("Equipo diseno y desarrollo ULogix",RRHH!$A:$A,0))/160</f>
        <v>77823</v>
      </c>
      <c r="G41" s="5">
        <f t="shared" ref="G41:G44" si="7">D41*F41</f>
        <v>70040700</v>
      </c>
      <c r="H41" s="2" t="s">
        <v>521</v>
      </c>
    </row>
    <row r="42">
      <c r="A42" s="2" t="s">
        <v>511</v>
      </c>
      <c r="B42" s="2" t="s">
        <v>578</v>
      </c>
      <c r="C42" s="2" t="s">
        <v>579</v>
      </c>
      <c r="D42" s="36">
        <v>1.0</v>
      </c>
      <c r="E42" s="2" t="s">
        <v>547</v>
      </c>
      <c r="F42" s="36">
        <v>2.5E7</v>
      </c>
      <c r="G42" s="5">
        <f t="shared" si="7"/>
        <v>25000000</v>
      </c>
      <c r="H42" s="2" t="s">
        <v>568</v>
      </c>
    </row>
    <row r="43">
      <c r="A43" s="2" t="s">
        <v>511</v>
      </c>
      <c r="B43" s="2" t="s">
        <v>580</v>
      </c>
      <c r="C43" s="2" t="s">
        <v>581</v>
      </c>
      <c r="D43" s="36">
        <v>1.0</v>
      </c>
      <c r="E43" s="2" t="s">
        <v>547</v>
      </c>
      <c r="F43" s="36">
        <v>2.0E7</v>
      </c>
      <c r="G43" s="5">
        <f t="shared" si="7"/>
        <v>20000000</v>
      </c>
      <c r="H43" s="2" t="s">
        <v>544</v>
      </c>
    </row>
    <row r="44">
      <c r="A44" s="2" t="s">
        <v>511</v>
      </c>
      <c r="B44" s="2" t="s">
        <v>582</v>
      </c>
      <c r="C44" s="2" t="s">
        <v>583</v>
      </c>
      <c r="D44" s="36">
        <v>1.0</v>
      </c>
      <c r="E44" s="2" t="s">
        <v>547</v>
      </c>
      <c r="F44" s="36">
        <v>2.5E7</v>
      </c>
      <c r="G44" s="5">
        <f t="shared" si="7"/>
        <v>25000000</v>
      </c>
      <c r="H44" s="2" t="s">
        <v>548</v>
      </c>
    </row>
    <row r="45">
      <c r="C45" s="2" t="s">
        <v>584</v>
      </c>
      <c r="G45" s="5">
        <f>B8</f>
        <v>140040700</v>
      </c>
      <c r="H45" s="2" t="s">
        <v>550</v>
      </c>
    </row>
    <row r="46">
      <c r="C46" s="2" t="s">
        <v>574</v>
      </c>
      <c r="G46" s="5">
        <f>G8</f>
        <v>39211396</v>
      </c>
      <c r="H46" s="2" t="s">
        <v>552</v>
      </c>
    </row>
    <row r="47">
      <c r="C47" s="2" t="s">
        <v>585</v>
      </c>
      <c r="G47" s="5">
        <f>H8</f>
        <v>179252096</v>
      </c>
      <c r="H47" s="2" t="s">
        <v>554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3" width="26.0"/>
    <col customWidth="1" min="4" max="26" width="8.71"/>
  </cols>
  <sheetData>
    <row r="1">
      <c r="A1" s="10" t="s">
        <v>586</v>
      </c>
    </row>
    <row r="2">
      <c r="A2" s="11" t="s">
        <v>587</v>
      </c>
    </row>
    <row r="4">
      <c r="A4" s="47" t="s">
        <v>588</v>
      </c>
    </row>
    <row r="5">
      <c r="A5" s="13" t="s">
        <v>513</v>
      </c>
      <c r="B5" s="13" t="s">
        <v>589</v>
      </c>
      <c r="C5" s="13" t="s">
        <v>590</v>
      </c>
    </row>
    <row r="6">
      <c r="A6" s="14" t="s">
        <v>591</v>
      </c>
      <c r="B6" s="31">
        <v>1.05E8</v>
      </c>
      <c r="C6" s="120">
        <f>B6/B16</f>
        <v>0.3767491927</v>
      </c>
    </row>
    <row r="7">
      <c r="A7" s="14" t="s">
        <v>592</v>
      </c>
      <c r="B7" s="31">
        <v>7000000.0</v>
      </c>
      <c r="C7" s="120">
        <f>B7/B16</f>
        <v>0.02511661285</v>
      </c>
    </row>
    <row r="8">
      <c r="A8" s="14" t="s">
        <v>593</v>
      </c>
      <c r="B8" s="31">
        <v>6900000.0</v>
      </c>
      <c r="C8" s="120">
        <f>B8/B16</f>
        <v>0.02475780409</v>
      </c>
    </row>
    <row r="9">
      <c r="A9" s="14" t="s">
        <v>594</v>
      </c>
      <c r="B9" s="31">
        <v>1.2E7</v>
      </c>
      <c r="C9" s="120">
        <f>B9/B16</f>
        <v>0.04305705059</v>
      </c>
    </row>
    <row r="10">
      <c r="A10" s="14" t="s">
        <v>595</v>
      </c>
      <c r="B10" s="31">
        <v>2.7E7</v>
      </c>
      <c r="C10" s="120">
        <f>B10/B16</f>
        <v>0.09687836383</v>
      </c>
    </row>
    <row r="11">
      <c r="A11" s="14" t="s">
        <v>596</v>
      </c>
      <c r="B11" s="31">
        <v>1.8E7</v>
      </c>
      <c r="C11" s="120">
        <f>B11/B16</f>
        <v>0.06458557589</v>
      </c>
    </row>
    <row r="12">
      <c r="A12" s="14" t="s">
        <v>597</v>
      </c>
      <c r="B12" s="31">
        <v>1.5E7</v>
      </c>
      <c r="C12" s="120">
        <f>B12/B16</f>
        <v>0.05382131324</v>
      </c>
    </row>
    <row r="13">
      <c r="A13" s="14" t="s">
        <v>598</v>
      </c>
      <c r="B13" s="31">
        <v>1800000.0</v>
      </c>
      <c r="C13" s="120">
        <f>B13/B16</f>
        <v>0.006458557589</v>
      </c>
    </row>
    <row r="14">
      <c r="A14" s="14" t="s">
        <v>599</v>
      </c>
      <c r="B14" s="31">
        <v>8.0E7</v>
      </c>
      <c r="C14" s="120">
        <f>B14/B16</f>
        <v>0.2870470039</v>
      </c>
    </row>
    <row r="15">
      <c r="A15" s="14" t="s">
        <v>600</v>
      </c>
      <c r="B15" s="31">
        <v>6000000.0</v>
      </c>
      <c r="C15" s="120">
        <f>B15/B16</f>
        <v>0.0215285253</v>
      </c>
    </row>
    <row r="16">
      <c r="A16" s="24" t="s">
        <v>601</v>
      </c>
      <c r="B16" s="49">
        <f>SUM(B6:B15)</f>
        <v>278700000</v>
      </c>
    </row>
    <row r="17">
      <c r="A17" s="22" t="s">
        <v>602</v>
      </c>
      <c r="B17" s="121">
        <v>300000.0</v>
      </c>
    </row>
    <row r="18">
      <c r="A18" s="24" t="s">
        <v>603</v>
      </c>
      <c r="B18" s="122">
        <f>B16/B17</f>
        <v>929</v>
      </c>
    </row>
    <row r="20">
      <c r="A20" s="47" t="s">
        <v>604</v>
      </c>
    </row>
    <row r="21">
      <c r="A21" s="13" t="s">
        <v>513</v>
      </c>
      <c r="B21" s="13" t="s">
        <v>589</v>
      </c>
      <c r="C21" s="13" t="s">
        <v>590</v>
      </c>
    </row>
    <row r="22">
      <c r="A22" s="14" t="s">
        <v>605</v>
      </c>
      <c r="B22" s="31">
        <v>1.15E8</v>
      </c>
      <c r="C22" s="120">
        <f>B22/B31</f>
        <v>0.4307116105</v>
      </c>
    </row>
    <row r="23">
      <c r="A23" s="14" t="s">
        <v>591</v>
      </c>
      <c r="B23" s="31">
        <v>8.2E7</v>
      </c>
      <c r="C23" s="120">
        <f>B23/B31</f>
        <v>0.3071161049</v>
      </c>
    </row>
    <row r="24">
      <c r="A24" s="14" t="s">
        <v>592</v>
      </c>
      <c r="B24" s="31">
        <v>1.05E7</v>
      </c>
      <c r="C24" s="120">
        <f>B24/B31</f>
        <v>0.0393258427</v>
      </c>
    </row>
    <row r="25">
      <c r="A25" s="14" t="s">
        <v>593</v>
      </c>
      <c r="B25" s="31">
        <v>3800000.0</v>
      </c>
      <c r="C25" s="120">
        <f>B25/B31</f>
        <v>0.01423220974</v>
      </c>
    </row>
    <row r="26">
      <c r="A26" s="14" t="s">
        <v>595</v>
      </c>
      <c r="B26" s="31">
        <v>1.2E7</v>
      </c>
      <c r="C26" s="120">
        <f>B26/B31</f>
        <v>0.04494382022</v>
      </c>
    </row>
    <row r="27">
      <c r="A27" s="14" t="s">
        <v>596</v>
      </c>
      <c r="B27" s="31">
        <v>9000000.0</v>
      </c>
      <c r="C27" s="120">
        <f>B27/B31</f>
        <v>0.03370786517</v>
      </c>
    </row>
    <row r="28">
      <c r="A28" s="14" t="s">
        <v>606</v>
      </c>
      <c r="B28" s="31">
        <v>8500000.0</v>
      </c>
      <c r="C28" s="120">
        <f>B28/B31</f>
        <v>0.03183520599</v>
      </c>
    </row>
    <row r="29">
      <c r="A29" s="14" t="s">
        <v>598</v>
      </c>
      <c r="B29" s="31">
        <v>1200000.0</v>
      </c>
      <c r="C29" s="120">
        <f>B29/B31</f>
        <v>0.004494382022</v>
      </c>
    </row>
    <row r="30">
      <c r="A30" s="14" t="s">
        <v>600</v>
      </c>
      <c r="B30" s="31">
        <v>2.5E7</v>
      </c>
      <c r="C30" s="120">
        <f>B30/B31</f>
        <v>0.0936329588</v>
      </c>
    </row>
    <row r="31">
      <c r="A31" s="24" t="s">
        <v>601</v>
      </c>
      <c r="B31" s="49">
        <f>SUM(B22:B30)</f>
        <v>267000000</v>
      </c>
    </row>
    <row r="32">
      <c r="A32" s="22" t="s">
        <v>602</v>
      </c>
      <c r="B32" s="121">
        <v>100000.0</v>
      </c>
    </row>
    <row r="33">
      <c r="A33" s="24" t="s">
        <v>603</v>
      </c>
      <c r="B33" s="122">
        <f>B31/B32</f>
        <v>2670</v>
      </c>
    </row>
    <row r="34"/>
    <row r="35">
      <c r="A35" s="47" t="s">
        <v>607</v>
      </c>
    </row>
    <row r="36">
      <c r="A36" s="13" t="s">
        <v>513</v>
      </c>
      <c r="B36" s="13" t="s">
        <v>589</v>
      </c>
      <c r="C36" s="13" t="s">
        <v>590</v>
      </c>
    </row>
    <row r="37">
      <c r="A37" s="14" t="s">
        <v>608</v>
      </c>
      <c r="B37" s="31">
        <v>5600000.0</v>
      </c>
      <c r="C37" s="120">
        <f>B37/B44</f>
        <v>0.2304526749</v>
      </c>
    </row>
    <row r="38">
      <c r="A38" s="14" t="s">
        <v>609</v>
      </c>
      <c r="B38" s="31">
        <v>4900000.0</v>
      </c>
      <c r="C38" s="120">
        <f>B38/B44</f>
        <v>0.2016460905</v>
      </c>
    </row>
    <row r="39">
      <c r="A39" s="14" t="s">
        <v>610</v>
      </c>
      <c r="B39" s="31">
        <v>2100000.0</v>
      </c>
      <c r="C39" s="120">
        <f>B39/B44</f>
        <v>0.08641975309</v>
      </c>
    </row>
    <row r="40">
      <c r="A40" s="14" t="s">
        <v>606</v>
      </c>
      <c r="B40" s="31">
        <v>3150000.0</v>
      </c>
      <c r="C40" s="120">
        <f>B40/B44</f>
        <v>0.1296296296</v>
      </c>
    </row>
    <row r="41">
      <c r="A41" s="14" t="s">
        <v>611</v>
      </c>
      <c r="B41" s="31">
        <v>7000000.0</v>
      </c>
      <c r="C41" s="120">
        <f>B41/B44</f>
        <v>0.2880658436</v>
      </c>
    </row>
    <row r="42">
      <c r="A42" s="14" t="s">
        <v>598</v>
      </c>
      <c r="B42" s="31">
        <v>700000.0</v>
      </c>
      <c r="C42" s="120">
        <f>B42/B44</f>
        <v>0.02880658436</v>
      </c>
    </row>
    <row r="43">
      <c r="A43" s="14" t="s">
        <v>600</v>
      </c>
      <c r="B43" s="31">
        <v>850000.0</v>
      </c>
      <c r="C43" s="120">
        <f>B43/B44</f>
        <v>0.03497942387</v>
      </c>
    </row>
    <row r="44">
      <c r="A44" s="24" t="s">
        <v>601</v>
      </c>
      <c r="B44" s="49">
        <f>SUM(B37:B43)</f>
        <v>24300000</v>
      </c>
    </row>
    <row r="45">
      <c r="A45" s="22" t="s">
        <v>602</v>
      </c>
      <c r="B45" s="121">
        <v>3500.0</v>
      </c>
    </row>
    <row r="46">
      <c r="A46" s="24" t="s">
        <v>603</v>
      </c>
      <c r="B46" s="122">
        <f>B44/B45</f>
        <v>6942.857143</v>
      </c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6.0"/>
    <col customWidth="1" min="2" max="61" width="13.43"/>
  </cols>
  <sheetData>
    <row r="1">
      <c r="A1" s="10" t="s">
        <v>612</v>
      </c>
    </row>
    <row r="2">
      <c r="A2" s="11" t="s">
        <v>613</v>
      </c>
    </row>
    <row r="3">
      <c r="A3" s="22" t="s">
        <v>614</v>
      </c>
      <c r="B3" s="123">
        <f>(1+Parametros!$B$7)^(1/12)-1</f>
        <v>0.01388843035</v>
      </c>
    </row>
    <row r="5">
      <c r="A5" s="12" t="s">
        <v>236</v>
      </c>
      <c r="B5" s="12">
        <v>1.0</v>
      </c>
      <c r="C5" s="12">
        <v>2.0</v>
      </c>
      <c r="D5" s="12">
        <v>3.0</v>
      </c>
      <c r="E5" s="12">
        <v>4.0</v>
      </c>
      <c r="F5" s="12">
        <v>5.0</v>
      </c>
      <c r="G5" s="12">
        <v>6.0</v>
      </c>
      <c r="H5" s="12">
        <v>7.0</v>
      </c>
      <c r="I5" s="12">
        <v>8.0</v>
      </c>
      <c r="J5" s="12">
        <v>9.0</v>
      </c>
      <c r="K5" s="12">
        <v>10.0</v>
      </c>
      <c r="L5" s="12">
        <v>11.0</v>
      </c>
      <c r="M5" s="12">
        <v>12.0</v>
      </c>
      <c r="N5" s="12">
        <v>13.0</v>
      </c>
      <c r="O5" s="12">
        <v>14.0</v>
      </c>
      <c r="P5" s="12">
        <v>15.0</v>
      </c>
      <c r="Q5" s="12">
        <v>16.0</v>
      </c>
      <c r="R5" s="12">
        <v>17.0</v>
      </c>
      <c r="S5" s="12">
        <v>18.0</v>
      </c>
      <c r="T5" s="12">
        <v>19.0</v>
      </c>
      <c r="U5" s="12">
        <v>20.0</v>
      </c>
      <c r="V5" s="12">
        <v>21.0</v>
      </c>
      <c r="W5" s="12">
        <v>22.0</v>
      </c>
      <c r="X5" s="12">
        <v>23.0</v>
      </c>
      <c r="Y5" s="12">
        <v>24.0</v>
      </c>
      <c r="Z5" s="12">
        <v>25.0</v>
      </c>
      <c r="AA5" s="12">
        <v>26.0</v>
      </c>
      <c r="AB5" s="12">
        <v>27.0</v>
      </c>
      <c r="AC5" s="12">
        <v>28.0</v>
      </c>
      <c r="AD5" s="12">
        <v>29.0</v>
      </c>
      <c r="AE5" s="12">
        <v>30.0</v>
      </c>
      <c r="AF5" s="12">
        <v>31.0</v>
      </c>
      <c r="AG5" s="12">
        <v>32.0</v>
      </c>
      <c r="AH5" s="12">
        <v>33.0</v>
      </c>
      <c r="AI5" s="12">
        <v>34.0</v>
      </c>
      <c r="AJ5" s="12">
        <v>35.0</v>
      </c>
      <c r="AK5" s="12">
        <v>36.0</v>
      </c>
      <c r="AL5" s="12">
        <v>37.0</v>
      </c>
      <c r="AM5" s="12">
        <v>38.0</v>
      </c>
      <c r="AN5" s="12">
        <v>39.0</v>
      </c>
      <c r="AO5" s="12">
        <v>40.0</v>
      </c>
      <c r="AP5" s="12">
        <v>41.0</v>
      </c>
      <c r="AQ5" s="12">
        <v>42.0</v>
      </c>
      <c r="AR5" s="12">
        <v>43.0</v>
      </c>
      <c r="AS5" s="12">
        <v>44.0</v>
      </c>
      <c r="AT5" s="12">
        <v>45.0</v>
      </c>
      <c r="AU5" s="12">
        <v>46.0</v>
      </c>
      <c r="AV5" s="12">
        <v>47.0</v>
      </c>
      <c r="AW5" s="12">
        <v>48.0</v>
      </c>
      <c r="AX5" s="12">
        <v>49.0</v>
      </c>
      <c r="AY5" s="12">
        <v>50.0</v>
      </c>
      <c r="AZ5" s="12">
        <v>51.0</v>
      </c>
      <c r="BA5" s="12">
        <v>52.0</v>
      </c>
      <c r="BB5" s="12">
        <v>53.0</v>
      </c>
      <c r="BC5" s="12">
        <v>54.0</v>
      </c>
      <c r="BD5" s="12">
        <v>55.0</v>
      </c>
      <c r="BE5" s="12">
        <v>56.0</v>
      </c>
      <c r="BF5" s="12">
        <v>57.0</v>
      </c>
      <c r="BG5" s="12">
        <v>58.0</v>
      </c>
      <c r="BH5" s="12">
        <v>59.0</v>
      </c>
      <c r="BI5" s="12">
        <v>60.0</v>
      </c>
    </row>
    <row r="6">
      <c r="A6" s="22" t="s">
        <v>78</v>
      </c>
      <c r="B6" s="49">
        <f>ER_Proyecto!B25</f>
        <v>0</v>
      </c>
      <c r="C6" s="49">
        <f>ER_Proyecto!C25</f>
        <v>0</v>
      </c>
      <c r="D6" s="49">
        <f>ER_Proyecto!D25</f>
        <v>0</v>
      </c>
      <c r="E6" s="49">
        <f>ER_Proyecto!E25</f>
        <v>0</v>
      </c>
      <c r="F6" s="49">
        <f>ER_Proyecto!F25</f>
        <v>521457565.6</v>
      </c>
      <c r="G6" s="49">
        <f>ER_Proyecto!G25</f>
        <v>776016769</v>
      </c>
      <c r="H6" s="49">
        <f>ER_Proyecto!H25</f>
        <v>792579677.3</v>
      </c>
      <c r="I6" s="49">
        <f>ER_Proyecto!I25</f>
        <v>829506312.6</v>
      </c>
      <c r="J6" s="49">
        <f>ER_Proyecto!J25</f>
        <v>951792640.7</v>
      </c>
      <c r="K6" s="49">
        <f>ER_Proyecto!K25</f>
        <v>797860155</v>
      </c>
      <c r="L6" s="49">
        <f>ER_Proyecto!L25</f>
        <v>744434875.9</v>
      </c>
      <c r="M6" s="49">
        <f>ER_Proyecto!M25</f>
        <v>823774532.6</v>
      </c>
      <c r="N6" s="49">
        <f>ER_Proyecto!N25</f>
        <v>750785452</v>
      </c>
      <c r="O6" s="49">
        <f>ER_Proyecto!O25</f>
        <v>771497535.4</v>
      </c>
      <c r="P6" s="49">
        <f>ER_Proyecto!P25</f>
        <v>801019295.5</v>
      </c>
      <c r="Q6" s="49">
        <f>ER_Proyecto!Q25</f>
        <v>845694676.6</v>
      </c>
      <c r="R6" s="49">
        <f>ER_Proyecto!R25</f>
        <v>793189620.6</v>
      </c>
      <c r="S6" s="49">
        <f>ER_Proyecto!S25</f>
        <v>776016769</v>
      </c>
      <c r="T6" s="49">
        <f>ER_Proyecto!T25</f>
        <v>792579677.3</v>
      </c>
      <c r="U6" s="49">
        <f>ER_Proyecto!U25</f>
        <v>829506312.6</v>
      </c>
      <c r="V6" s="49">
        <f>ER_Proyecto!V25</f>
        <v>951792640.7</v>
      </c>
      <c r="W6" s="49">
        <f>ER_Proyecto!W25</f>
        <v>797860155</v>
      </c>
      <c r="X6" s="49">
        <f>ER_Proyecto!X25</f>
        <v>744434875.9</v>
      </c>
      <c r="Y6" s="49">
        <f>ER_Proyecto!Y25</f>
        <v>823774532.6</v>
      </c>
      <c r="Z6" s="49">
        <f>ER_Proyecto!Z25</f>
        <v>750785452</v>
      </c>
      <c r="AA6" s="49">
        <f>ER_Proyecto!AA25</f>
        <v>771497535.4</v>
      </c>
      <c r="AB6" s="49">
        <f>ER_Proyecto!AB25</f>
        <v>801019295.5</v>
      </c>
      <c r="AC6" s="49">
        <f>ER_Proyecto!AC25</f>
        <v>845694676.6</v>
      </c>
      <c r="AD6" s="49">
        <f>ER_Proyecto!AD25</f>
        <v>793189620.6</v>
      </c>
      <c r="AE6" s="49">
        <f>ER_Proyecto!AE25</f>
        <v>776016769</v>
      </c>
      <c r="AF6" s="49">
        <f>ER_Proyecto!AF25</f>
        <v>792579677.3</v>
      </c>
      <c r="AG6" s="49">
        <f>ER_Proyecto!AG25</f>
        <v>829506312.6</v>
      </c>
      <c r="AH6" s="49">
        <f>ER_Proyecto!AH25</f>
        <v>951792640.7</v>
      </c>
      <c r="AI6" s="49">
        <f>ER_Proyecto!AI25</f>
        <v>797860155</v>
      </c>
      <c r="AJ6" s="49">
        <f>ER_Proyecto!AJ25</f>
        <v>744434875.9</v>
      </c>
      <c r="AK6" s="49">
        <f>ER_Proyecto!AK25</f>
        <v>823774532.6</v>
      </c>
      <c r="AL6" s="49">
        <f>ER_Proyecto!AL25</f>
        <v>750785452</v>
      </c>
      <c r="AM6" s="49">
        <f>ER_Proyecto!AM25</f>
        <v>771497535.4</v>
      </c>
      <c r="AN6" s="49">
        <f>ER_Proyecto!AN25</f>
        <v>801019295.5</v>
      </c>
      <c r="AO6" s="49">
        <f>ER_Proyecto!AO25</f>
        <v>845694676.6</v>
      </c>
      <c r="AP6" s="49">
        <f>ER_Proyecto!AP25</f>
        <v>793189620.6</v>
      </c>
      <c r="AQ6" s="49">
        <f>ER_Proyecto!AQ25</f>
        <v>776016769</v>
      </c>
      <c r="AR6" s="49">
        <f>ER_Proyecto!AR25</f>
        <v>792579677.3</v>
      </c>
      <c r="AS6" s="49">
        <f>ER_Proyecto!AS25</f>
        <v>829506312.6</v>
      </c>
      <c r="AT6" s="49">
        <f>ER_Proyecto!AT25</f>
        <v>951792640.7</v>
      </c>
      <c r="AU6" s="49">
        <f>ER_Proyecto!AU25</f>
        <v>797860155</v>
      </c>
      <c r="AV6" s="49">
        <f>ER_Proyecto!AV25</f>
        <v>744434875.9</v>
      </c>
      <c r="AW6" s="49">
        <f>ER_Proyecto!AW25</f>
        <v>823774532.6</v>
      </c>
      <c r="AX6" s="49">
        <f>ER_Proyecto!AX25</f>
        <v>750785452</v>
      </c>
      <c r="AY6" s="49">
        <f>ER_Proyecto!AY25</f>
        <v>771497535.4</v>
      </c>
      <c r="AZ6" s="49">
        <f>ER_Proyecto!AZ25</f>
        <v>801019295.5</v>
      </c>
      <c r="BA6" s="49">
        <f>ER_Proyecto!BA25</f>
        <v>845694676.6</v>
      </c>
      <c r="BB6" s="49">
        <f>ER_Proyecto!BB25</f>
        <v>793189620.6</v>
      </c>
      <c r="BC6" s="49">
        <f>ER_Proyecto!BC25</f>
        <v>776016769</v>
      </c>
      <c r="BD6" s="49">
        <f>ER_Proyecto!BD25</f>
        <v>792579677.3</v>
      </c>
      <c r="BE6" s="49">
        <f>ER_Proyecto!BE25</f>
        <v>829506312.6</v>
      </c>
      <c r="BF6" s="49">
        <f>ER_Proyecto!BF25</f>
        <v>951792640.7</v>
      </c>
      <c r="BG6" s="49">
        <f>ER_Proyecto!BG25</f>
        <v>797860155</v>
      </c>
      <c r="BH6" s="49">
        <f>ER_Proyecto!BH25</f>
        <v>744434875.9</v>
      </c>
      <c r="BI6" s="49">
        <f>ER_Proyecto!BI25</f>
        <v>823774532.6</v>
      </c>
    </row>
    <row r="7">
      <c r="A7" s="22" t="s">
        <v>615</v>
      </c>
      <c r="B7" s="49">
        <f>-ER_Proyecto!B28</f>
        <v>0</v>
      </c>
      <c r="C7" s="49">
        <f>-ER_Proyecto!C28</f>
        <v>0</v>
      </c>
      <c r="D7" s="49">
        <f>-ER_Proyecto!D28</f>
        <v>0</v>
      </c>
      <c r="E7" s="49">
        <f>-ER_Proyecto!E28</f>
        <v>0</v>
      </c>
      <c r="F7" s="49">
        <f>-ER_Proyecto!F28</f>
        <v>-149218324.7</v>
      </c>
      <c r="G7" s="49">
        <f>-ER_Proyecto!G28</f>
        <v>-238314045.9</v>
      </c>
      <c r="H7" s="49">
        <f>-ER_Proyecto!H28</f>
        <v>-244111063.8</v>
      </c>
      <c r="I7" s="49">
        <f>-ER_Proyecto!I28</f>
        <v>-257035386.2</v>
      </c>
      <c r="J7" s="49">
        <f>-ER_Proyecto!J28</f>
        <v>-299835601</v>
      </c>
      <c r="K7" s="49">
        <f>-ER_Proyecto!K28</f>
        <v>-245959231</v>
      </c>
      <c r="L7" s="49">
        <f>-ER_Proyecto!L28</f>
        <v>-227260383.3</v>
      </c>
      <c r="M7" s="49">
        <f>-ER_Proyecto!M28</f>
        <v>-255029263.2</v>
      </c>
      <c r="N7" s="49">
        <f>-ER_Proyecto!N28</f>
        <v>-229483085</v>
      </c>
      <c r="O7" s="49">
        <f>-ER_Proyecto!O28</f>
        <v>-236732314.2</v>
      </c>
      <c r="P7" s="49">
        <f>-ER_Proyecto!P28</f>
        <v>-247064930.2</v>
      </c>
      <c r="Q7" s="49">
        <f>-ER_Proyecto!Q28</f>
        <v>-262701313.6</v>
      </c>
      <c r="R7" s="49">
        <f>-ER_Proyecto!R28</f>
        <v>-244324544</v>
      </c>
      <c r="S7" s="49">
        <f>-ER_Proyecto!S28</f>
        <v>-238314045.9</v>
      </c>
      <c r="T7" s="49">
        <f>-ER_Proyecto!T28</f>
        <v>-244111063.8</v>
      </c>
      <c r="U7" s="49">
        <f>-ER_Proyecto!U28</f>
        <v>-257035386.2</v>
      </c>
      <c r="V7" s="49">
        <f>-ER_Proyecto!V28</f>
        <v>-299835601</v>
      </c>
      <c r="W7" s="49">
        <f>-ER_Proyecto!W28</f>
        <v>-245959231</v>
      </c>
      <c r="X7" s="49">
        <f>-ER_Proyecto!X28</f>
        <v>-227260383.3</v>
      </c>
      <c r="Y7" s="49">
        <f>-ER_Proyecto!Y28</f>
        <v>-255029263.2</v>
      </c>
      <c r="Z7" s="49">
        <f>-ER_Proyecto!Z28</f>
        <v>-229483085</v>
      </c>
      <c r="AA7" s="49">
        <f>-ER_Proyecto!AA28</f>
        <v>-236732314.2</v>
      </c>
      <c r="AB7" s="49">
        <f>-ER_Proyecto!AB28</f>
        <v>-247064930.2</v>
      </c>
      <c r="AC7" s="49">
        <f>-ER_Proyecto!AC28</f>
        <v>-262701313.6</v>
      </c>
      <c r="AD7" s="49">
        <f>-ER_Proyecto!AD28</f>
        <v>-244324544</v>
      </c>
      <c r="AE7" s="49">
        <f>-ER_Proyecto!AE28</f>
        <v>-238314045.9</v>
      </c>
      <c r="AF7" s="49">
        <f>-ER_Proyecto!AF28</f>
        <v>-244111063.8</v>
      </c>
      <c r="AG7" s="49">
        <f>-ER_Proyecto!AG28</f>
        <v>-257035386.2</v>
      </c>
      <c r="AH7" s="49">
        <f>-ER_Proyecto!AH28</f>
        <v>-299835601</v>
      </c>
      <c r="AI7" s="49">
        <f>-ER_Proyecto!AI28</f>
        <v>-245959231</v>
      </c>
      <c r="AJ7" s="49">
        <f>-ER_Proyecto!AJ28</f>
        <v>-227260383.3</v>
      </c>
      <c r="AK7" s="49">
        <f>-ER_Proyecto!AK28</f>
        <v>-255029263.2</v>
      </c>
      <c r="AL7" s="49">
        <f>-ER_Proyecto!AL28</f>
        <v>-229483085</v>
      </c>
      <c r="AM7" s="49">
        <f>-ER_Proyecto!AM28</f>
        <v>-236732314.2</v>
      </c>
      <c r="AN7" s="49">
        <f>-ER_Proyecto!AN28</f>
        <v>-247064930.2</v>
      </c>
      <c r="AO7" s="49">
        <f>-ER_Proyecto!AO28</f>
        <v>-262701313.6</v>
      </c>
      <c r="AP7" s="49">
        <f>-ER_Proyecto!AP28</f>
        <v>-244324544</v>
      </c>
      <c r="AQ7" s="49">
        <f>-ER_Proyecto!AQ28</f>
        <v>-238314045.9</v>
      </c>
      <c r="AR7" s="49">
        <f>-ER_Proyecto!AR28</f>
        <v>-244111063.8</v>
      </c>
      <c r="AS7" s="49">
        <f>-ER_Proyecto!AS28</f>
        <v>-257035386.2</v>
      </c>
      <c r="AT7" s="49">
        <f>-ER_Proyecto!AT28</f>
        <v>-299835601</v>
      </c>
      <c r="AU7" s="49">
        <f>-ER_Proyecto!AU28</f>
        <v>-245959231</v>
      </c>
      <c r="AV7" s="49">
        <f>-ER_Proyecto!AV28</f>
        <v>-227260383.3</v>
      </c>
      <c r="AW7" s="49">
        <f>-ER_Proyecto!AW28</f>
        <v>-255029263.2</v>
      </c>
      <c r="AX7" s="49">
        <f>-ER_Proyecto!AX28</f>
        <v>-229483085</v>
      </c>
      <c r="AY7" s="49">
        <f>-ER_Proyecto!AY28</f>
        <v>-236732314.2</v>
      </c>
      <c r="AZ7" s="49">
        <f>-ER_Proyecto!AZ28</f>
        <v>-247064930.2</v>
      </c>
      <c r="BA7" s="49">
        <f>-ER_Proyecto!BA28</f>
        <v>-262701313.6</v>
      </c>
      <c r="BB7" s="49">
        <f>-ER_Proyecto!BB28</f>
        <v>-244324544</v>
      </c>
      <c r="BC7" s="49">
        <f>-ER_Proyecto!BC28</f>
        <v>-238314045.9</v>
      </c>
      <c r="BD7" s="49">
        <f>-ER_Proyecto!BD28</f>
        <v>-244111063.8</v>
      </c>
      <c r="BE7" s="49">
        <f>-ER_Proyecto!BE28</f>
        <v>-257035386.2</v>
      </c>
      <c r="BF7" s="49">
        <f>-ER_Proyecto!BF28</f>
        <v>-299835601</v>
      </c>
      <c r="BG7" s="49">
        <f>-ER_Proyecto!BG28</f>
        <v>-245959231</v>
      </c>
      <c r="BH7" s="49">
        <f>-ER_Proyecto!BH28</f>
        <v>-227260383.3</v>
      </c>
      <c r="BI7" s="49">
        <f>-ER_Proyecto!BI28</f>
        <v>-255029263.2</v>
      </c>
    </row>
    <row r="8">
      <c r="A8" s="22" t="s">
        <v>616</v>
      </c>
      <c r="B8" s="49">
        <f t="array" ref="B8">-INDEX(CAPEX!$G:$G,MATCH("CAPEX TOTAL (con contingencia)",CAPEX!$C:$C,0))*Parametros!$B$28</f>
        <v>-1833110849</v>
      </c>
      <c r="C8" s="49">
        <f t="array" ref="C8">-INDEX(CAPEX!$G:$G,MATCH("CAPEX TOTAL (con contingencia)",CAPEX!$C:$C,0))*Parametros!$B$29</f>
        <v>-3207943986</v>
      </c>
      <c r="D8" s="49">
        <f t="array" ref="D8">-INDEX(CAPEX!$G:$G,MATCH("CAPEX TOTAL (con contingencia)",CAPEX!$C:$C,0))*Parametros!$B$30</f>
        <v>-2474699646</v>
      </c>
      <c r="E8" s="49">
        <f t="array" ref="E8">-INDEX(CAPEX!$G:$G,MATCH("CAPEX TOTAL (con contingencia)",CAPEX!$C:$C,0))*Parametros!$B$31</f>
        <v>-1649799764</v>
      </c>
      <c r="F8" s="49">
        <f t="shared" ref="F8:BI8" si="1">0</f>
        <v>0</v>
      </c>
      <c r="G8" s="49">
        <f t="shared" si="1"/>
        <v>0</v>
      </c>
      <c r="H8" s="49">
        <f t="shared" si="1"/>
        <v>0</v>
      </c>
      <c r="I8" s="49">
        <f t="shared" si="1"/>
        <v>0</v>
      </c>
      <c r="J8" s="49">
        <f t="shared" si="1"/>
        <v>0</v>
      </c>
      <c r="K8" s="49">
        <f t="shared" si="1"/>
        <v>0</v>
      </c>
      <c r="L8" s="49">
        <f t="shared" si="1"/>
        <v>0</v>
      </c>
      <c r="M8" s="49">
        <f t="shared" si="1"/>
        <v>0</v>
      </c>
      <c r="N8" s="49">
        <f t="shared" si="1"/>
        <v>0</v>
      </c>
      <c r="O8" s="49">
        <f t="shared" si="1"/>
        <v>0</v>
      </c>
      <c r="P8" s="49">
        <f t="shared" si="1"/>
        <v>0</v>
      </c>
      <c r="Q8" s="49">
        <f t="shared" si="1"/>
        <v>0</v>
      </c>
      <c r="R8" s="49">
        <f t="shared" si="1"/>
        <v>0</v>
      </c>
      <c r="S8" s="49">
        <f t="shared" si="1"/>
        <v>0</v>
      </c>
      <c r="T8" s="49">
        <f t="shared" si="1"/>
        <v>0</v>
      </c>
      <c r="U8" s="49">
        <f t="shared" si="1"/>
        <v>0</v>
      </c>
      <c r="V8" s="49">
        <f t="shared" si="1"/>
        <v>0</v>
      </c>
      <c r="W8" s="49">
        <f t="shared" si="1"/>
        <v>0</v>
      </c>
      <c r="X8" s="49">
        <f t="shared" si="1"/>
        <v>0</v>
      </c>
      <c r="Y8" s="49">
        <f t="shared" si="1"/>
        <v>0</v>
      </c>
      <c r="Z8" s="49">
        <f t="shared" si="1"/>
        <v>0</v>
      </c>
      <c r="AA8" s="49">
        <f t="shared" si="1"/>
        <v>0</v>
      </c>
      <c r="AB8" s="49">
        <f t="shared" si="1"/>
        <v>0</v>
      </c>
      <c r="AC8" s="49">
        <f t="shared" si="1"/>
        <v>0</v>
      </c>
      <c r="AD8" s="49">
        <f t="shared" si="1"/>
        <v>0</v>
      </c>
      <c r="AE8" s="49">
        <f t="shared" si="1"/>
        <v>0</v>
      </c>
      <c r="AF8" s="49">
        <f t="shared" si="1"/>
        <v>0</v>
      </c>
      <c r="AG8" s="49">
        <f t="shared" si="1"/>
        <v>0</v>
      </c>
      <c r="AH8" s="49">
        <f t="shared" si="1"/>
        <v>0</v>
      </c>
      <c r="AI8" s="49">
        <f t="shared" si="1"/>
        <v>0</v>
      </c>
      <c r="AJ8" s="49">
        <f t="shared" si="1"/>
        <v>0</v>
      </c>
      <c r="AK8" s="49">
        <f t="shared" si="1"/>
        <v>0</v>
      </c>
      <c r="AL8" s="49">
        <f t="shared" si="1"/>
        <v>0</v>
      </c>
      <c r="AM8" s="49">
        <f t="shared" si="1"/>
        <v>0</v>
      </c>
      <c r="AN8" s="49">
        <f t="shared" si="1"/>
        <v>0</v>
      </c>
      <c r="AO8" s="49">
        <f t="shared" si="1"/>
        <v>0</v>
      </c>
      <c r="AP8" s="49">
        <f t="shared" si="1"/>
        <v>0</v>
      </c>
      <c r="AQ8" s="49">
        <f t="shared" si="1"/>
        <v>0</v>
      </c>
      <c r="AR8" s="49">
        <f t="shared" si="1"/>
        <v>0</v>
      </c>
      <c r="AS8" s="49">
        <f t="shared" si="1"/>
        <v>0</v>
      </c>
      <c r="AT8" s="49">
        <f t="shared" si="1"/>
        <v>0</v>
      </c>
      <c r="AU8" s="49">
        <f t="shared" si="1"/>
        <v>0</v>
      </c>
      <c r="AV8" s="49">
        <f t="shared" si="1"/>
        <v>0</v>
      </c>
      <c r="AW8" s="49">
        <f t="shared" si="1"/>
        <v>0</v>
      </c>
      <c r="AX8" s="49">
        <f t="shared" si="1"/>
        <v>0</v>
      </c>
      <c r="AY8" s="49">
        <f t="shared" si="1"/>
        <v>0</v>
      </c>
      <c r="AZ8" s="49">
        <f t="shared" si="1"/>
        <v>0</v>
      </c>
      <c r="BA8" s="49">
        <f t="shared" si="1"/>
        <v>0</v>
      </c>
      <c r="BB8" s="49">
        <f t="shared" si="1"/>
        <v>0</v>
      </c>
      <c r="BC8" s="49">
        <f t="shared" si="1"/>
        <v>0</v>
      </c>
      <c r="BD8" s="49">
        <f t="shared" si="1"/>
        <v>0</v>
      </c>
      <c r="BE8" s="49">
        <f t="shared" si="1"/>
        <v>0</v>
      </c>
      <c r="BF8" s="49">
        <f t="shared" si="1"/>
        <v>0</v>
      </c>
      <c r="BG8" s="49">
        <f t="shared" si="1"/>
        <v>0</v>
      </c>
      <c r="BH8" s="49">
        <f t="shared" si="1"/>
        <v>0</v>
      </c>
      <c r="BI8" s="49">
        <f t="shared" si="1"/>
        <v>0</v>
      </c>
    </row>
    <row r="9">
      <c r="A9" s="22" t="s">
        <v>617</v>
      </c>
      <c r="B9" s="49">
        <f t="array" ref="B9">-INDEX(RRHH!$E:$E,MATCH("Costo mensual IMPLEMENTACION (→ pre-op)",RRHH!$A:$A,0))</f>
        <v>-87161760</v>
      </c>
      <c r="C9" s="49">
        <f t="array" ref="C9">-INDEX(RRHH!$E:$E,MATCH("Costo mensual IMPLEMENTACION (→ pre-op)",RRHH!$A:$A,0))</f>
        <v>-87161760</v>
      </c>
      <c r="D9" s="49">
        <f t="array" ref="D9">-INDEX(RRHH!$E:$E,MATCH("Costo mensual IMPLEMENTACION (→ pre-op)",RRHH!$A:$A,0))</f>
        <v>-87161760</v>
      </c>
      <c r="E9" s="49">
        <f t="array" ref="E9">-INDEX(RRHH!$E:$E,MATCH("Costo mensual IMPLEMENTACION (→ pre-op)",RRHH!$A:$A,0))</f>
        <v>-87161760</v>
      </c>
      <c r="F9" s="49">
        <f t="shared" ref="F9:BI9" si="2">0</f>
        <v>0</v>
      </c>
      <c r="G9" s="49">
        <f t="shared" si="2"/>
        <v>0</v>
      </c>
      <c r="H9" s="49">
        <f t="shared" si="2"/>
        <v>0</v>
      </c>
      <c r="I9" s="49">
        <f t="shared" si="2"/>
        <v>0</v>
      </c>
      <c r="J9" s="49">
        <f t="shared" si="2"/>
        <v>0</v>
      </c>
      <c r="K9" s="49">
        <f t="shared" si="2"/>
        <v>0</v>
      </c>
      <c r="L9" s="49">
        <f t="shared" si="2"/>
        <v>0</v>
      </c>
      <c r="M9" s="49">
        <f t="shared" si="2"/>
        <v>0</v>
      </c>
      <c r="N9" s="49">
        <f t="shared" si="2"/>
        <v>0</v>
      </c>
      <c r="O9" s="49">
        <f t="shared" si="2"/>
        <v>0</v>
      </c>
      <c r="P9" s="49">
        <f t="shared" si="2"/>
        <v>0</v>
      </c>
      <c r="Q9" s="49">
        <f t="shared" si="2"/>
        <v>0</v>
      </c>
      <c r="R9" s="49">
        <f t="shared" si="2"/>
        <v>0</v>
      </c>
      <c r="S9" s="49">
        <f t="shared" si="2"/>
        <v>0</v>
      </c>
      <c r="T9" s="49">
        <f t="shared" si="2"/>
        <v>0</v>
      </c>
      <c r="U9" s="49">
        <f t="shared" si="2"/>
        <v>0</v>
      </c>
      <c r="V9" s="49">
        <f t="shared" si="2"/>
        <v>0</v>
      </c>
      <c r="W9" s="49">
        <f t="shared" si="2"/>
        <v>0</v>
      </c>
      <c r="X9" s="49">
        <f t="shared" si="2"/>
        <v>0</v>
      </c>
      <c r="Y9" s="49">
        <f t="shared" si="2"/>
        <v>0</v>
      </c>
      <c r="Z9" s="49">
        <f t="shared" si="2"/>
        <v>0</v>
      </c>
      <c r="AA9" s="49">
        <f t="shared" si="2"/>
        <v>0</v>
      </c>
      <c r="AB9" s="49">
        <f t="shared" si="2"/>
        <v>0</v>
      </c>
      <c r="AC9" s="49">
        <f t="shared" si="2"/>
        <v>0</v>
      </c>
      <c r="AD9" s="49">
        <f t="shared" si="2"/>
        <v>0</v>
      </c>
      <c r="AE9" s="49">
        <f t="shared" si="2"/>
        <v>0</v>
      </c>
      <c r="AF9" s="49">
        <f t="shared" si="2"/>
        <v>0</v>
      </c>
      <c r="AG9" s="49">
        <f t="shared" si="2"/>
        <v>0</v>
      </c>
      <c r="AH9" s="49">
        <f t="shared" si="2"/>
        <v>0</v>
      </c>
      <c r="AI9" s="49">
        <f t="shared" si="2"/>
        <v>0</v>
      </c>
      <c r="AJ9" s="49">
        <f t="shared" si="2"/>
        <v>0</v>
      </c>
      <c r="AK9" s="49">
        <f t="shared" si="2"/>
        <v>0</v>
      </c>
      <c r="AL9" s="49">
        <f t="shared" si="2"/>
        <v>0</v>
      </c>
      <c r="AM9" s="49">
        <f t="shared" si="2"/>
        <v>0</v>
      </c>
      <c r="AN9" s="49">
        <f t="shared" si="2"/>
        <v>0</v>
      </c>
      <c r="AO9" s="49">
        <f t="shared" si="2"/>
        <v>0</v>
      </c>
      <c r="AP9" s="49">
        <f t="shared" si="2"/>
        <v>0</v>
      </c>
      <c r="AQ9" s="49">
        <f t="shared" si="2"/>
        <v>0</v>
      </c>
      <c r="AR9" s="49">
        <f t="shared" si="2"/>
        <v>0</v>
      </c>
      <c r="AS9" s="49">
        <f t="shared" si="2"/>
        <v>0</v>
      </c>
      <c r="AT9" s="49">
        <f t="shared" si="2"/>
        <v>0</v>
      </c>
      <c r="AU9" s="49">
        <f t="shared" si="2"/>
        <v>0</v>
      </c>
      <c r="AV9" s="49">
        <f t="shared" si="2"/>
        <v>0</v>
      </c>
      <c r="AW9" s="49">
        <f t="shared" si="2"/>
        <v>0</v>
      </c>
      <c r="AX9" s="49">
        <f t="shared" si="2"/>
        <v>0</v>
      </c>
      <c r="AY9" s="49">
        <f t="shared" si="2"/>
        <v>0</v>
      </c>
      <c r="AZ9" s="49">
        <f t="shared" si="2"/>
        <v>0</v>
      </c>
      <c r="BA9" s="49">
        <f t="shared" si="2"/>
        <v>0</v>
      </c>
      <c r="BB9" s="49">
        <f t="shared" si="2"/>
        <v>0</v>
      </c>
      <c r="BC9" s="49">
        <f t="shared" si="2"/>
        <v>0</v>
      </c>
      <c r="BD9" s="49">
        <f t="shared" si="2"/>
        <v>0</v>
      </c>
      <c r="BE9" s="49">
        <f t="shared" si="2"/>
        <v>0</v>
      </c>
      <c r="BF9" s="49">
        <f t="shared" si="2"/>
        <v>0</v>
      </c>
      <c r="BG9" s="49">
        <f t="shared" si="2"/>
        <v>0</v>
      </c>
      <c r="BH9" s="49">
        <f t="shared" si="2"/>
        <v>0</v>
      </c>
      <c r="BI9" s="49">
        <f t="shared" si="2"/>
        <v>0</v>
      </c>
    </row>
    <row r="10">
      <c r="A10" s="22" t="s">
        <v>618</v>
      </c>
      <c r="B10" s="49">
        <f t="shared" ref="B10:E10" si="3">0</f>
        <v>0</v>
      </c>
      <c r="C10" s="49">
        <f t="shared" si="3"/>
        <v>0</v>
      </c>
      <c r="D10" s="49">
        <f t="shared" si="3"/>
        <v>0</v>
      </c>
      <c r="E10" s="49">
        <f t="shared" si="3"/>
        <v>0</v>
      </c>
      <c r="F10" s="49">
        <f>-Parametros!$B$16*(ER_Proyecto!$G$17-ER_Proyecto!$G$9)</f>
        <v>-124997363.2</v>
      </c>
      <c r="G10" s="49">
        <f t="shared" ref="G10:BH10" si="4">0</f>
        <v>0</v>
      </c>
      <c r="H10" s="49">
        <f t="shared" si="4"/>
        <v>0</v>
      </c>
      <c r="I10" s="49">
        <f t="shared" si="4"/>
        <v>0</v>
      </c>
      <c r="J10" s="49">
        <f t="shared" si="4"/>
        <v>0</v>
      </c>
      <c r="K10" s="49">
        <f t="shared" si="4"/>
        <v>0</v>
      </c>
      <c r="L10" s="49">
        <f t="shared" si="4"/>
        <v>0</v>
      </c>
      <c r="M10" s="49">
        <f t="shared" si="4"/>
        <v>0</v>
      </c>
      <c r="N10" s="49">
        <f t="shared" si="4"/>
        <v>0</v>
      </c>
      <c r="O10" s="49">
        <f t="shared" si="4"/>
        <v>0</v>
      </c>
      <c r="P10" s="49">
        <f t="shared" si="4"/>
        <v>0</v>
      </c>
      <c r="Q10" s="49">
        <f t="shared" si="4"/>
        <v>0</v>
      </c>
      <c r="R10" s="49">
        <f t="shared" si="4"/>
        <v>0</v>
      </c>
      <c r="S10" s="49">
        <f t="shared" si="4"/>
        <v>0</v>
      </c>
      <c r="T10" s="49">
        <f t="shared" si="4"/>
        <v>0</v>
      </c>
      <c r="U10" s="49">
        <f t="shared" si="4"/>
        <v>0</v>
      </c>
      <c r="V10" s="49">
        <f t="shared" si="4"/>
        <v>0</v>
      </c>
      <c r="W10" s="49">
        <f t="shared" si="4"/>
        <v>0</v>
      </c>
      <c r="X10" s="49">
        <f t="shared" si="4"/>
        <v>0</v>
      </c>
      <c r="Y10" s="49">
        <f t="shared" si="4"/>
        <v>0</v>
      </c>
      <c r="Z10" s="49">
        <f t="shared" si="4"/>
        <v>0</v>
      </c>
      <c r="AA10" s="49">
        <f t="shared" si="4"/>
        <v>0</v>
      </c>
      <c r="AB10" s="49">
        <f t="shared" si="4"/>
        <v>0</v>
      </c>
      <c r="AC10" s="49">
        <f t="shared" si="4"/>
        <v>0</v>
      </c>
      <c r="AD10" s="49">
        <f t="shared" si="4"/>
        <v>0</v>
      </c>
      <c r="AE10" s="49">
        <f t="shared" si="4"/>
        <v>0</v>
      </c>
      <c r="AF10" s="49">
        <f t="shared" si="4"/>
        <v>0</v>
      </c>
      <c r="AG10" s="49">
        <f t="shared" si="4"/>
        <v>0</v>
      </c>
      <c r="AH10" s="49">
        <f t="shared" si="4"/>
        <v>0</v>
      </c>
      <c r="AI10" s="49">
        <f t="shared" si="4"/>
        <v>0</v>
      </c>
      <c r="AJ10" s="49">
        <f t="shared" si="4"/>
        <v>0</v>
      </c>
      <c r="AK10" s="49">
        <f t="shared" si="4"/>
        <v>0</v>
      </c>
      <c r="AL10" s="49">
        <f t="shared" si="4"/>
        <v>0</v>
      </c>
      <c r="AM10" s="49">
        <f t="shared" si="4"/>
        <v>0</v>
      </c>
      <c r="AN10" s="49">
        <f t="shared" si="4"/>
        <v>0</v>
      </c>
      <c r="AO10" s="49">
        <f t="shared" si="4"/>
        <v>0</v>
      </c>
      <c r="AP10" s="49">
        <f t="shared" si="4"/>
        <v>0</v>
      </c>
      <c r="AQ10" s="49">
        <f t="shared" si="4"/>
        <v>0</v>
      </c>
      <c r="AR10" s="49">
        <f t="shared" si="4"/>
        <v>0</v>
      </c>
      <c r="AS10" s="49">
        <f t="shared" si="4"/>
        <v>0</v>
      </c>
      <c r="AT10" s="49">
        <f t="shared" si="4"/>
        <v>0</v>
      </c>
      <c r="AU10" s="49">
        <f t="shared" si="4"/>
        <v>0</v>
      </c>
      <c r="AV10" s="49">
        <f t="shared" si="4"/>
        <v>0</v>
      </c>
      <c r="AW10" s="49">
        <f t="shared" si="4"/>
        <v>0</v>
      </c>
      <c r="AX10" s="49">
        <f t="shared" si="4"/>
        <v>0</v>
      </c>
      <c r="AY10" s="49">
        <f t="shared" si="4"/>
        <v>0</v>
      </c>
      <c r="AZ10" s="49">
        <f t="shared" si="4"/>
        <v>0</v>
      </c>
      <c r="BA10" s="49">
        <f t="shared" si="4"/>
        <v>0</v>
      </c>
      <c r="BB10" s="49">
        <f t="shared" si="4"/>
        <v>0</v>
      </c>
      <c r="BC10" s="49">
        <f t="shared" si="4"/>
        <v>0</v>
      </c>
      <c r="BD10" s="49">
        <f t="shared" si="4"/>
        <v>0</v>
      </c>
      <c r="BE10" s="49">
        <f t="shared" si="4"/>
        <v>0</v>
      </c>
      <c r="BF10" s="49">
        <f t="shared" si="4"/>
        <v>0</v>
      </c>
      <c r="BG10" s="49">
        <f t="shared" si="4"/>
        <v>0</v>
      </c>
      <c r="BH10" s="49">
        <f t="shared" si="4"/>
        <v>0</v>
      </c>
      <c r="BI10" s="49">
        <f>Parametros!$B$16*(ER_Proyecto!$G$17-ER_Proyecto!$G$9)</f>
        <v>124997363.2</v>
      </c>
    </row>
    <row r="11">
      <c r="A11" s="24" t="s">
        <v>80</v>
      </c>
      <c r="B11" s="49">
        <f t="shared" ref="B11:BI11" si="5">B6+B7+B8+B9+B10</f>
        <v>-1920272609</v>
      </c>
      <c r="C11" s="49">
        <f t="shared" si="5"/>
        <v>-3295105746</v>
      </c>
      <c r="D11" s="49">
        <f t="shared" si="5"/>
        <v>-2561861406</v>
      </c>
      <c r="E11" s="49">
        <f t="shared" si="5"/>
        <v>-1736961524</v>
      </c>
      <c r="F11" s="49">
        <f t="shared" si="5"/>
        <v>247241877.6</v>
      </c>
      <c r="G11" s="49">
        <f t="shared" si="5"/>
        <v>537702723</v>
      </c>
      <c r="H11" s="49">
        <f t="shared" si="5"/>
        <v>548468613.5</v>
      </c>
      <c r="I11" s="49">
        <f t="shared" si="5"/>
        <v>572470926.4</v>
      </c>
      <c r="J11" s="49">
        <f t="shared" si="5"/>
        <v>651957039.6</v>
      </c>
      <c r="K11" s="49">
        <f t="shared" si="5"/>
        <v>551900924</v>
      </c>
      <c r="L11" s="49">
        <f t="shared" si="5"/>
        <v>517174492.6</v>
      </c>
      <c r="M11" s="49">
        <f t="shared" si="5"/>
        <v>568745269.4</v>
      </c>
      <c r="N11" s="49">
        <f t="shared" si="5"/>
        <v>521302367</v>
      </c>
      <c r="O11" s="49">
        <f t="shared" si="5"/>
        <v>534765221.2</v>
      </c>
      <c r="P11" s="49">
        <f t="shared" si="5"/>
        <v>553954365.3</v>
      </c>
      <c r="Q11" s="49">
        <f t="shared" si="5"/>
        <v>582993363</v>
      </c>
      <c r="R11" s="49">
        <f t="shared" si="5"/>
        <v>548865076.6</v>
      </c>
      <c r="S11" s="49">
        <f t="shared" si="5"/>
        <v>537702723</v>
      </c>
      <c r="T11" s="49">
        <f t="shared" si="5"/>
        <v>548468613.5</v>
      </c>
      <c r="U11" s="49">
        <f t="shared" si="5"/>
        <v>572470926.4</v>
      </c>
      <c r="V11" s="49">
        <f t="shared" si="5"/>
        <v>651957039.6</v>
      </c>
      <c r="W11" s="49">
        <f t="shared" si="5"/>
        <v>551900924</v>
      </c>
      <c r="X11" s="49">
        <f t="shared" si="5"/>
        <v>517174492.6</v>
      </c>
      <c r="Y11" s="49">
        <f t="shared" si="5"/>
        <v>568745269.4</v>
      </c>
      <c r="Z11" s="49">
        <f t="shared" si="5"/>
        <v>521302367</v>
      </c>
      <c r="AA11" s="49">
        <f t="shared" si="5"/>
        <v>534765221.2</v>
      </c>
      <c r="AB11" s="49">
        <f t="shared" si="5"/>
        <v>553954365.3</v>
      </c>
      <c r="AC11" s="49">
        <f t="shared" si="5"/>
        <v>582993363</v>
      </c>
      <c r="AD11" s="49">
        <f t="shared" si="5"/>
        <v>548865076.6</v>
      </c>
      <c r="AE11" s="49">
        <f t="shared" si="5"/>
        <v>537702723</v>
      </c>
      <c r="AF11" s="49">
        <f t="shared" si="5"/>
        <v>548468613.5</v>
      </c>
      <c r="AG11" s="49">
        <f t="shared" si="5"/>
        <v>572470926.4</v>
      </c>
      <c r="AH11" s="49">
        <f t="shared" si="5"/>
        <v>651957039.6</v>
      </c>
      <c r="AI11" s="49">
        <f t="shared" si="5"/>
        <v>551900924</v>
      </c>
      <c r="AJ11" s="49">
        <f t="shared" si="5"/>
        <v>517174492.6</v>
      </c>
      <c r="AK11" s="49">
        <f t="shared" si="5"/>
        <v>568745269.4</v>
      </c>
      <c r="AL11" s="49">
        <f t="shared" si="5"/>
        <v>521302367</v>
      </c>
      <c r="AM11" s="49">
        <f t="shared" si="5"/>
        <v>534765221.2</v>
      </c>
      <c r="AN11" s="49">
        <f t="shared" si="5"/>
        <v>553954365.3</v>
      </c>
      <c r="AO11" s="49">
        <f t="shared" si="5"/>
        <v>582993363</v>
      </c>
      <c r="AP11" s="49">
        <f t="shared" si="5"/>
        <v>548865076.6</v>
      </c>
      <c r="AQ11" s="49">
        <f t="shared" si="5"/>
        <v>537702723</v>
      </c>
      <c r="AR11" s="49">
        <f t="shared" si="5"/>
        <v>548468613.5</v>
      </c>
      <c r="AS11" s="49">
        <f t="shared" si="5"/>
        <v>572470926.4</v>
      </c>
      <c r="AT11" s="49">
        <f t="shared" si="5"/>
        <v>651957039.6</v>
      </c>
      <c r="AU11" s="49">
        <f t="shared" si="5"/>
        <v>551900924</v>
      </c>
      <c r="AV11" s="49">
        <f t="shared" si="5"/>
        <v>517174492.6</v>
      </c>
      <c r="AW11" s="49">
        <f t="shared" si="5"/>
        <v>568745269.4</v>
      </c>
      <c r="AX11" s="49">
        <f t="shared" si="5"/>
        <v>521302367</v>
      </c>
      <c r="AY11" s="49">
        <f t="shared" si="5"/>
        <v>534765221.2</v>
      </c>
      <c r="AZ11" s="49">
        <f t="shared" si="5"/>
        <v>553954365.3</v>
      </c>
      <c r="BA11" s="49">
        <f t="shared" si="5"/>
        <v>582993363</v>
      </c>
      <c r="BB11" s="49">
        <f t="shared" si="5"/>
        <v>548865076.6</v>
      </c>
      <c r="BC11" s="49">
        <f t="shared" si="5"/>
        <v>537702723</v>
      </c>
      <c r="BD11" s="49">
        <f t="shared" si="5"/>
        <v>548468613.5</v>
      </c>
      <c r="BE11" s="49">
        <f t="shared" si="5"/>
        <v>572470926.4</v>
      </c>
      <c r="BF11" s="49">
        <f t="shared" si="5"/>
        <v>651957039.6</v>
      </c>
      <c r="BG11" s="49">
        <f t="shared" si="5"/>
        <v>551900924</v>
      </c>
      <c r="BH11" s="49">
        <f t="shared" si="5"/>
        <v>517174492.6</v>
      </c>
      <c r="BI11" s="49">
        <f t="shared" si="5"/>
        <v>693742632.6</v>
      </c>
    </row>
    <row r="12">
      <c r="A12" s="22" t="s">
        <v>619</v>
      </c>
      <c r="B12" s="50">
        <f>1/(1+$B$3)^1</f>
        <v>0.9863018159</v>
      </c>
      <c r="C12" s="50">
        <f>1/(1+$B$3)^2</f>
        <v>0.9727912721</v>
      </c>
      <c r="D12" s="50">
        <f>1/(1+$B$3)^3</f>
        <v>0.9594657982</v>
      </c>
      <c r="E12" s="50">
        <f>1/(1+$B$3)^4</f>
        <v>0.9463228591</v>
      </c>
      <c r="F12" s="50">
        <f>1/(1+$B$3)^5</f>
        <v>0.9333599544</v>
      </c>
      <c r="G12" s="50">
        <f>1/(1+$B$3)^6</f>
        <v>0.9205746179</v>
      </c>
      <c r="H12" s="50">
        <f>1/(1+$B$3)^7</f>
        <v>0.9079644173</v>
      </c>
      <c r="I12" s="50">
        <f>1/(1+$B$3)^8</f>
        <v>0.8955269536</v>
      </c>
      <c r="J12" s="50">
        <f>1/(1+$B$3)^9</f>
        <v>0.8832598606</v>
      </c>
      <c r="K12" s="50">
        <f>1/(1+$B$3)^10</f>
        <v>0.8711608044</v>
      </c>
      <c r="L12" s="50">
        <f>1/(1+$B$3)^11</f>
        <v>0.8592274833</v>
      </c>
      <c r="M12" s="50">
        <f>1/(1+$B$3)^12</f>
        <v>0.8474576271</v>
      </c>
      <c r="N12" s="50">
        <f>1/(1+$B$3)^13</f>
        <v>0.8358489965</v>
      </c>
      <c r="O12" s="50">
        <f>1/(1+$B$3)^14</f>
        <v>0.8243993831</v>
      </c>
      <c r="P12" s="50">
        <f>1/(1+$B$3)^15</f>
        <v>0.8131066086</v>
      </c>
      <c r="Q12" s="50">
        <f>1/(1+$B$3)^16</f>
        <v>0.8019685246</v>
      </c>
      <c r="R12" s="50">
        <f>1/(1+$B$3)^17</f>
        <v>0.7909830122</v>
      </c>
      <c r="S12" s="50">
        <f>1/(1+$B$3)^18</f>
        <v>0.7801479813</v>
      </c>
      <c r="T12" s="50">
        <f>1/(1+$B$3)^19</f>
        <v>0.7694613706</v>
      </c>
      <c r="U12" s="50">
        <f>1/(1+$B$3)^20</f>
        <v>0.7589211471</v>
      </c>
      <c r="V12" s="50">
        <f>1/(1+$B$3)^21</f>
        <v>0.7485253056</v>
      </c>
      <c r="W12" s="50">
        <f>1/(1+$B$3)^22</f>
        <v>0.7382718681</v>
      </c>
      <c r="X12" s="50">
        <f>1/(1+$B$3)^23</f>
        <v>0.7281588842</v>
      </c>
      <c r="Y12" s="50">
        <f>1/(1+$B$3)^24</f>
        <v>0.7181844298</v>
      </c>
      <c r="Z12" s="50">
        <f>1/(1+$B$3)^25</f>
        <v>0.7083466072</v>
      </c>
      <c r="AA12" s="50">
        <f>1/(1+$B$3)^26</f>
        <v>0.698643545</v>
      </c>
      <c r="AB12" s="50">
        <f>1/(1+$B$3)^27</f>
        <v>0.6890733971</v>
      </c>
      <c r="AC12" s="50">
        <f>1/(1+$B$3)^28</f>
        <v>0.6796343429</v>
      </c>
      <c r="AD12" s="50">
        <f>1/(1+$B$3)^29</f>
        <v>0.6703245866</v>
      </c>
      <c r="AE12" s="50">
        <f>1/(1+$B$3)^30</f>
        <v>0.661142357</v>
      </c>
      <c r="AF12" s="50">
        <f>1/(1+$B$3)^31</f>
        <v>0.6520859073</v>
      </c>
      <c r="AG12" s="50">
        <f>1/(1+$B$3)^32</f>
        <v>0.6431535145</v>
      </c>
      <c r="AH12" s="50">
        <f>1/(1+$B$3)^33</f>
        <v>0.6343434793</v>
      </c>
      <c r="AI12" s="50">
        <f>1/(1+$B$3)^34</f>
        <v>0.6256541255</v>
      </c>
      <c r="AJ12" s="50">
        <f>1/(1+$B$3)^35</f>
        <v>0.6170838002</v>
      </c>
      <c r="AK12" s="50">
        <f>1/(1+$B$3)^36</f>
        <v>0.6086308727</v>
      </c>
      <c r="AL12" s="50">
        <f>1/(1+$B$3)^37</f>
        <v>0.600293735</v>
      </c>
      <c r="AM12" s="50">
        <f>1/(1+$B$3)^38</f>
        <v>0.5920708009</v>
      </c>
      <c r="AN12" s="50">
        <f>1/(1+$B$3)^39</f>
        <v>0.5839605061</v>
      </c>
      <c r="AO12" s="50">
        <f>1/(1+$B$3)^40</f>
        <v>0.5759613076</v>
      </c>
      <c r="AP12" s="50">
        <f>1/(1+$B$3)^41</f>
        <v>0.5680716835</v>
      </c>
      <c r="AQ12" s="50">
        <f>1/(1+$B$3)^42</f>
        <v>0.5602901331</v>
      </c>
      <c r="AR12" s="50">
        <f>1/(1+$B$3)^43</f>
        <v>0.5526151757</v>
      </c>
      <c r="AS12" s="50">
        <f>1/(1+$B$3)^44</f>
        <v>0.5450453513</v>
      </c>
      <c r="AT12" s="50">
        <f>1/(1+$B$3)^45</f>
        <v>0.5375792197</v>
      </c>
      <c r="AU12" s="50">
        <f>1/(1+$B$3)^46</f>
        <v>0.5302153606</v>
      </c>
      <c r="AV12" s="50">
        <f>1/(1+$B$3)^47</f>
        <v>0.522952373</v>
      </c>
      <c r="AW12" s="50">
        <f>1/(1+$B$3)^48</f>
        <v>0.5157888752</v>
      </c>
      <c r="AX12" s="50">
        <f>1/(1+$B$3)^49</f>
        <v>0.5087235042</v>
      </c>
      <c r="AY12" s="50">
        <f>1/(1+$B$3)^50</f>
        <v>0.501754916</v>
      </c>
      <c r="AZ12" s="50">
        <f>1/(1+$B$3)^51</f>
        <v>0.4948817848</v>
      </c>
      <c r="BA12" s="50">
        <f>1/(1+$B$3)^52</f>
        <v>0.488102803</v>
      </c>
      <c r="BB12" s="50">
        <f>1/(1+$B$3)^53</f>
        <v>0.481416681</v>
      </c>
      <c r="BC12" s="50">
        <f>1/(1+$B$3)^54</f>
        <v>0.4748221467</v>
      </c>
      <c r="BD12" s="50">
        <f>1/(1+$B$3)^55</f>
        <v>0.4683179455</v>
      </c>
      <c r="BE12" s="50">
        <f>1/(1+$B$3)^56</f>
        <v>0.4619028401</v>
      </c>
      <c r="BF12" s="50">
        <f>1/(1+$B$3)^57</f>
        <v>0.4555756099</v>
      </c>
      <c r="BG12" s="50">
        <f>1/(1+$B$3)^58</f>
        <v>0.4493350514</v>
      </c>
      <c r="BH12" s="50">
        <f>1/(1+$B$3)^59</f>
        <v>0.4431799771</v>
      </c>
      <c r="BI12" s="50">
        <f>1/(1+$B$3)^60</f>
        <v>0.4371092162</v>
      </c>
    </row>
    <row r="13">
      <c r="A13" s="22" t="s">
        <v>620</v>
      </c>
      <c r="B13" s="49">
        <f t="shared" ref="B13:BI13" si="6">B11*B12</f>
        <v>-1893968361</v>
      </c>
      <c r="C13" s="49">
        <f t="shared" si="6"/>
        <v>-3205450110</v>
      </c>
      <c r="D13" s="49">
        <f t="shared" si="6"/>
        <v>-2458018399</v>
      </c>
      <c r="E13" s="49">
        <f t="shared" si="6"/>
        <v>-1643726396</v>
      </c>
      <c r="F13" s="49">
        <f t="shared" si="6"/>
        <v>230765667.6</v>
      </c>
      <c r="G13" s="49">
        <f t="shared" si="6"/>
        <v>494995478.8</v>
      </c>
      <c r="H13" s="49">
        <f t="shared" si="6"/>
        <v>497989985.1</v>
      </c>
      <c r="I13" s="49">
        <f t="shared" si="6"/>
        <v>512663144.8</v>
      </c>
      <c r="J13" s="49">
        <f t="shared" si="6"/>
        <v>575847483.9</v>
      </c>
      <c r="K13" s="49">
        <f t="shared" si="6"/>
        <v>480794452.9</v>
      </c>
      <c r="L13" s="49">
        <f t="shared" si="6"/>
        <v>444370537.7</v>
      </c>
      <c r="M13" s="49">
        <f t="shared" si="6"/>
        <v>481987516.5</v>
      </c>
      <c r="N13" s="49">
        <f t="shared" si="6"/>
        <v>435730060.4</v>
      </c>
      <c r="O13" s="49">
        <f t="shared" si="6"/>
        <v>440860118.5</v>
      </c>
      <c r="P13" s="49">
        <f t="shared" si="6"/>
        <v>450423955.3</v>
      </c>
      <c r="Q13" s="49">
        <f t="shared" si="6"/>
        <v>467542327.2</v>
      </c>
      <c r="R13" s="49">
        <f t="shared" si="6"/>
        <v>434142951.6</v>
      </c>
      <c r="S13" s="49">
        <f t="shared" si="6"/>
        <v>419487693.9</v>
      </c>
      <c r="T13" s="49">
        <f t="shared" si="6"/>
        <v>422025411.1</v>
      </c>
      <c r="U13" s="49">
        <f t="shared" si="6"/>
        <v>434460292.2</v>
      </c>
      <c r="V13" s="49">
        <f t="shared" si="6"/>
        <v>488006342.3</v>
      </c>
      <c r="W13" s="49">
        <f t="shared" si="6"/>
        <v>407452926.2</v>
      </c>
      <c r="X13" s="49">
        <f t="shared" si="6"/>
        <v>376585201.4</v>
      </c>
      <c r="Y13" s="49">
        <f t="shared" si="6"/>
        <v>408463997</v>
      </c>
      <c r="Z13" s="49">
        <f t="shared" si="6"/>
        <v>369262763</v>
      </c>
      <c r="AA13" s="49">
        <f t="shared" si="6"/>
        <v>373610269.9</v>
      </c>
      <c r="AB13" s="49">
        <f t="shared" si="6"/>
        <v>381715216.3</v>
      </c>
      <c r="AC13" s="49">
        <f t="shared" si="6"/>
        <v>396222311.2</v>
      </c>
      <c r="AD13" s="49">
        <f t="shared" si="6"/>
        <v>367917755.6</v>
      </c>
      <c r="AE13" s="49">
        <f t="shared" si="6"/>
        <v>355498045.7</v>
      </c>
      <c r="AF13" s="49">
        <f t="shared" si="6"/>
        <v>357648653.4</v>
      </c>
      <c r="AG13" s="49">
        <f t="shared" si="6"/>
        <v>368186688.3</v>
      </c>
      <c r="AH13" s="49">
        <f t="shared" si="6"/>
        <v>413564696.9</v>
      </c>
      <c r="AI13" s="49">
        <f t="shared" si="6"/>
        <v>345299090</v>
      </c>
      <c r="AJ13" s="49">
        <f t="shared" si="6"/>
        <v>319140001.2</v>
      </c>
      <c r="AK13" s="49">
        <f t="shared" si="6"/>
        <v>346155929.7</v>
      </c>
      <c r="AL13" s="49">
        <f t="shared" si="6"/>
        <v>312934544.9</v>
      </c>
      <c r="AM13" s="49">
        <f t="shared" si="6"/>
        <v>316618872.8</v>
      </c>
      <c r="AN13" s="49">
        <f t="shared" si="6"/>
        <v>323487471.5</v>
      </c>
      <c r="AO13" s="49">
        <f t="shared" si="6"/>
        <v>335781619.7</v>
      </c>
      <c r="AP13" s="49">
        <f t="shared" si="6"/>
        <v>311794708.1</v>
      </c>
      <c r="AQ13" s="49">
        <f t="shared" si="6"/>
        <v>301269530.2</v>
      </c>
      <c r="AR13" s="49">
        <f t="shared" si="6"/>
        <v>303092079.2</v>
      </c>
      <c r="AS13" s="49">
        <f t="shared" si="6"/>
        <v>312022617.2</v>
      </c>
      <c r="AT13" s="49">
        <f t="shared" si="6"/>
        <v>350478556.7</v>
      </c>
      <c r="AU13" s="49">
        <f t="shared" si="6"/>
        <v>292626347.4</v>
      </c>
      <c r="AV13" s="49">
        <f t="shared" si="6"/>
        <v>270457628.1</v>
      </c>
      <c r="AW13" s="49">
        <f t="shared" si="6"/>
        <v>293352482.8</v>
      </c>
      <c r="AX13" s="49">
        <f t="shared" si="6"/>
        <v>265198766.9</v>
      </c>
      <c r="AY13" s="49">
        <f t="shared" si="6"/>
        <v>268321078.6</v>
      </c>
      <c r="AZ13" s="49">
        <f t="shared" si="6"/>
        <v>274141925</v>
      </c>
      <c r="BA13" s="49">
        <f t="shared" si="6"/>
        <v>284560694.6</v>
      </c>
      <c r="BB13" s="49">
        <f t="shared" si="6"/>
        <v>264232803.5</v>
      </c>
      <c r="BC13" s="49">
        <f t="shared" si="6"/>
        <v>255313161.2</v>
      </c>
      <c r="BD13" s="49">
        <f t="shared" si="6"/>
        <v>256857694.2</v>
      </c>
      <c r="BE13" s="49">
        <f t="shared" si="6"/>
        <v>264425946.8</v>
      </c>
      <c r="BF13" s="49">
        <f t="shared" si="6"/>
        <v>297015726</v>
      </c>
      <c r="BG13" s="49">
        <f t="shared" si="6"/>
        <v>247988430</v>
      </c>
      <c r="BH13" s="49">
        <f t="shared" si="6"/>
        <v>229201379.8</v>
      </c>
      <c r="BI13" s="49">
        <f t="shared" si="6"/>
        <v>303241298.4</v>
      </c>
    </row>
    <row r="14">
      <c r="A14" s="22" t="s">
        <v>621</v>
      </c>
      <c r="B14" s="49">
        <f>B11</f>
        <v>-1920272609</v>
      </c>
      <c r="C14" s="49">
        <f t="shared" ref="C14:BI14" si="7">B14+C11</f>
        <v>-5215378355</v>
      </c>
      <c r="D14" s="49">
        <f t="shared" si="7"/>
        <v>-7777239761</v>
      </c>
      <c r="E14" s="49">
        <f t="shared" si="7"/>
        <v>-9514201285</v>
      </c>
      <c r="F14" s="49">
        <f t="shared" si="7"/>
        <v>-9266959408</v>
      </c>
      <c r="G14" s="49">
        <f t="shared" si="7"/>
        <v>-8729256685</v>
      </c>
      <c r="H14" s="49">
        <f t="shared" si="7"/>
        <v>-8180788071</v>
      </c>
      <c r="I14" s="49">
        <f t="shared" si="7"/>
        <v>-7608317145</v>
      </c>
      <c r="J14" s="49">
        <f t="shared" si="7"/>
        <v>-6956360105</v>
      </c>
      <c r="K14" s="49">
        <f t="shared" si="7"/>
        <v>-6404459181</v>
      </c>
      <c r="L14" s="49">
        <f t="shared" si="7"/>
        <v>-5887284689</v>
      </c>
      <c r="M14" s="49">
        <f t="shared" si="7"/>
        <v>-5318539419</v>
      </c>
      <c r="N14" s="49">
        <f t="shared" si="7"/>
        <v>-4797237052</v>
      </c>
      <c r="O14" s="49">
        <f t="shared" si="7"/>
        <v>-4262471831</v>
      </c>
      <c r="P14" s="49">
        <f t="shared" si="7"/>
        <v>-3708517466</v>
      </c>
      <c r="Q14" s="49">
        <f t="shared" si="7"/>
        <v>-3125524103</v>
      </c>
      <c r="R14" s="49">
        <f t="shared" si="7"/>
        <v>-2576659026</v>
      </c>
      <c r="S14" s="49">
        <f t="shared" si="7"/>
        <v>-2038956303</v>
      </c>
      <c r="T14" s="49">
        <f t="shared" si="7"/>
        <v>-1490487690</v>
      </c>
      <c r="U14" s="49">
        <f t="shared" si="7"/>
        <v>-918016763.3</v>
      </c>
      <c r="V14" s="49">
        <f t="shared" si="7"/>
        <v>-266059723.6</v>
      </c>
      <c r="W14" s="49">
        <f t="shared" si="7"/>
        <v>285841200.4</v>
      </c>
      <c r="X14" s="49">
        <f t="shared" si="7"/>
        <v>803015692.9</v>
      </c>
      <c r="Y14" s="49">
        <f t="shared" si="7"/>
        <v>1371760962</v>
      </c>
      <c r="Z14" s="49">
        <f t="shared" si="7"/>
        <v>1893063329</v>
      </c>
      <c r="AA14" s="49">
        <f t="shared" si="7"/>
        <v>2427828551</v>
      </c>
      <c r="AB14" s="49">
        <f t="shared" si="7"/>
        <v>2981782916</v>
      </c>
      <c r="AC14" s="49">
        <f t="shared" si="7"/>
        <v>3564776279</v>
      </c>
      <c r="AD14" s="49">
        <f t="shared" si="7"/>
        <v>4113641355</v>
      </c>
      <c r="AE14" s="49">
        <f t="shared" si="7"/>
        <v>4651344079</v>
      </c>
      <c r="AF14" s="49">
        <f t="shared" si="7"/>
        <v>5199812692</v>
      </c>
      <c r="AG14" s="49">
        <f t="shared" si="7"/>
        <v>5772283618</v>
      </c>
      <c r="AH14" s="49">
        <f t="shared" si="7"/>
        <v>6424240658</v>
      </c>
      <c r="AI14" s="49">
        <f t="shared" si="7"/>
        <v>6976141582</v>
      </c>
      <c r="AJ14" s="49">
        <f t="shared" si="7"/>
        <v>7493316075</v>
      </c>
      <c r="AK14" s="49">
        <f t="shared" si="7"/>
        <v>8062061344</v>
      </c>
      <c r="AL14" s="49">
        <f t="shared" si="7"/>
        <v>8583363711</v>
      </c>
      <c r="AM14" s="49">
        <f t="shared" si="7"/>
        <v>9118128932</v>
      </c>
      <c r="AN14" s="49">
        <f t="shared" si="7"/>
        <v>9672083297</v>
      </c>
      <c r="AO14" s="49">
        <f t="shared" si="7"/>
        <v>10255076661</v>
      </c>
      <c r="AP14" s="49">
        <f t="shared" si="7"/>
        <v>10803941737</v>
      </c>
      <c r="AQ14" s="49">
        <f t="shared" si="7"/>
        <v>11341644460</v>
      </c>
      <c r="AR14" s="49">
        <f t="shared" si="7"/>
        <v>11890113074</v>
      </c>
      <c r="AS14" s="49">
        <f t="shared" si="7"/>
        <v>12462584000</v>
      </c>
      <c r="AT14" s="49">
        <f t="shared" si="7"/>
        <v>13114541040</v>
      </c>
      <c r="AU14" s="49">
        <f t="shared" si="7"/>
        <v>13666441964</v>
      </c>
      <c r="AV14" s="49">
        <f t="shared" si="7"/>
        <v>14183616456</v>
      </c>
      <c r="AW14" s="49">
        <f t="shared" si="7"/>
        <v>14752361726</v>
      </c>
      <c r="AX14" s="49">
        <f t="shared" si="7"/>
        <v>15273664093</v>
      </c>
      <c r="AY14" s="49">
        <f t="shared" si="7"/>
        <v>15808429314</v>
      </c>
      <c r="AZ14" s="49">
        <f t="shared" si="7"/>
        <v>16362383679</v>
      </c>
      <c r="BA14" s="49">
        <f t="shared" si="7"/>
        <v>16945377042</v>
      </c>
      <c r="BB14" s="49">
        <f t="shared" si="7"/>
        <v>17494242119</v>
      </c>
      <c r="BC14" s="49">
        <f t="shared" si="7"/>
        <v>18031944842</v>
      </c>
      <c r="BD14" s="49">
        <f t="shared" si="7"/>
        <v>18580413455</v>
      </c>
      <c r="BE14" s="49">
        <f t="shared" si="7"/>
        <v>19152884382</v>
      </c>
      <c r="BF14" s="49">
        <f t="shared" si="7"/>
        <v>19804841421</v>
      </c>
      <c r="BG14" s="49">
        <f t="shared" si="7"/>
        <v>20356742345</v>
      </c>
      <c r="BH14" s="49">
        <f t="shared" si="7"/>
        <v>20873916838</v>
      </c>
      <c r="BI14" s="49">
        <f t="shared" si="7"/>
        <v>21567659470</v>
      </c>
    </row>
    <row r="15">
      <c r="A15" s="22" t="s">
        <v>622</v>
      </c>
      <c r="B15" s="49">
        <f>B13</f>
        <v>-1893968361</v>
      </c>
      <c r="C15" s="49">
        <f t="shared" ref="C15:BI15" si="8">B15+C13</f>
        <v>-5099418472</v>
      </c>
      <c r="D15" s="49">
        <f t="shared" si="8"/>
        <v>-7557436871</v>
      </c>
      <c r="E15" s="49">
        <f t="shared" si="8"/>
        <v>-9201163266</v>
      </c>
      <c r="F15" s="49">
        <f t="shared" si="8"/>
        <v>-8970397599</v>
      </c>
      <c r="G15" s="49">
        <f t="shared" si="8"/>
        <v>-8475402120</v>
      </c>
      <c r="H15" s="49">
        <f t="shared" si="8"/>
        <v>-7977412135</v>
      </c>
      <c r="I15" s="49">
        <f t="shared" si="8"/>
        <v>-7464748990</v>
      </c>
      <c r="J15" s="49">
        <f t="shared" si="8"/>
        <v>-6888901506</v>
      </c>
      <c r="K15" s="49">
        <f t="shared" si="8"/>
        <v>-6408107053</v>
      </c>
      <c r="L15" s="49">
        <f t="shared" si="8"/>
        <v>-5963736516</v>
      </c>
      <c r="M15" s="49">
        <f t="shared" si="8"/>
        <v>-5481748999</v>
      </c>
      <c r="N15" s="49">
        <f t="shared" si="8"/>
        <v>-5046018939</v>
      </c>
      <c r="O15" s="49">
        <f t="shared" si="8"/>
        <v>-4605158820</v>
      </c>
      <c r="P15" s="49">
        <f t="shared" si="8"/>
        <v>-4154734865</v>
      </c>
      <c r="Q15" s="49">
        <f t="shared" si="8"/>
        <v>-3687192538</v>
      </c>
      <c r="R15" s="49">
        <f t="shared" si="8"/>
        <v>-3253049586</v>
      </c>
      <c r="S15" s="49">
        <f t="shared" si="8"/>
        <v>-2833561892</v>
      </c>
      <c r="T15" s="49">
        <f t="shared" si="8"/>
        <v>-2411536481</v>
      </c>
      <c r="U15" s="49">
        <f t="shared" si="8"/>
        <v>-1977076189</v>
      </c>
      <c r="V15" s="49">
        <f t="shared" si="8"/>
        <v>-1489069847</v>
      </c>
      <c r="W15" s="49">
        <f t="shared" si="8"/>
        <v>-1081616921</v>
      </c>
      <c r="X15" s="49">
        <f t="shared" si="8"/>
        <v>-705031719.2</v>
      </c>
      <c r="Y15" s="49">
        <f t="shared" si="8"/>
        <v>-296567722.2</v>
      </c>
      <c r="Z15" s="49">
        <f t="shared" si="8"/>
        <v>72695040.79</v>
      </c>
      <c r="AA15" s="49">
        <f t="shared" si="8"/>
        <v>446305310.7</v>
      </c>
      <c r="AB15" s="49">
        <f t="shared" si="8"/>
        <v>828020527</v>
      </c>
      <c r="AC15" s="49">
        <f t="shared" si="8"/>
        <v>1224242838</v>
      </c>
      <c r="AD15" s="49">
        <f t="shared" si="8"/>
        <v>1592160594</v>
      </c>
      <c r="AE15" s="49">
        <f t="shared" si="8"/>
        <v>1947658640</v>
      </c>
      <c r="AF15" s="49">
        <f t="shared" si="8"/>
        <v>2305307293</v>
      </c>
      <c r="AG15" s="49">
        <f t="shared" si="8"/>
        <v>2673493981</v>
      </c>
      <c r="AH15" s="49">
        <f t="shared" si="8"/>
        <v>3087058678</v>
      </c>
      <c r="AI15" s="49">
        <f t="shared" si="8"/>
        <v>3432357768</v>
      </c>
      <c r="AJ15" s="49">
        <f t="shared" si="8"/>
        <v>3751497769</v>
      </c>
      <c r="AK15" s="49">
        <f t="shared" si="8"/>
        <v>4097653699</v>
      </c>
      <c r="AL15" s="49">
        <f t="shared" si="8"/>
        <v>4410588244</v>
      </c>
      <c r="AM15" s="49">
        <f t="shared" si="8"/>
        <v>4727207117</v>
      </c>
      <c r="AN15" s="49">
        <f t="shared" si="8"/>
        <v>5050694588</v>
      </c>
      <c r="AO15" s="49">
        <f t="shared" si="8"/>
        <v>5386476208</v>
      </c>
      <c r="AP15" s="49">
        <f t="shared" si="8"/>
        <v>5698270916</v>
      </c>
      <c r="AQ15" s="49">
        <f t="shared" si="8"/>
        <v>5999540446</v>
      </c>
      <c r="AR15" s="49">
        <f t="shared" si="8"/>
        <v>6302632525</v>
      </c>
      <c r="AS15" s="49">
        <f t="shared" si="8"/>
        <v>6614655143</v>
      </c>
      <c r="AT15" s="49">
        <f t="shared" si="8"/>
        <v>6965133699</v>
      </c>
      <c r="AU15" s="49">
        <f t="shared" si="8"/>
        <v>7257760047</v>
      </c>
      <c r="AV15" s="49">
        <f t="shared" si="8"/>
        <v>7528217675</v>
      </c>
      <c r="AW15" s="49">
        <f t="shared" si="8"/>
        <v>7821570158</v>
      </c>
      <c r="AX15" s="49">
        <f t="shared" si="8"/>
        <v>8086768924</v>
      </c>
      <c r="AY15" s="49">
        <f t="shared" si="8"/>
        <v>8355090003</v>
      </c>
      <c r="AZ15" s="49">
        <f t="shared" si="8"/>
        <v>8629231928</v>
      </c>
      <c r="BA15" s="49">
        <f t="shared" si="8"/>
        <v>8913792623</v>
      </c>
      <c r="BB15" s="49">
        <f t="shared" si="8"/>
        <v>9178025426</v>
      </c>
      <c r="BC15" s="49">
        <f t="shared" si="8"/>
        <v>9433338587</v>
      </c>
      <c r="BD15" s="49">
        <f t="shared" si="8"/>
        <v>9690196282</v>
      </c>
      <c r="BE15" s="49">
        <f t="shared" si="8"/>
        <v>9954622228</v>
      </c>
      <c r="BF15" s="49">
        <f t="shared" si="8"/>
        <v>10251637954</v>
      </c>
      <c r="BG15" s="49">
        <f t="shared" si="8"/>
        <v>10499626384</v>
      </c>
      <c r="BH15" s="49">
        <f t="shared" si="8"/>
        <v>10728827764</v>
      </c>
      <c r="BI15" s="49">
        <f t="shared" si="8"/>
        <v>11032069063</v>
      </c>
    </row>
    <row r="18">
      <c r="A18" s="12" t="s">
        <v>623</v>
      </c>
    </row>
    <row r="19">
      <c r="A19" s="22" t="s">
        <v>61</v>
      </c>
      <c r="B19" s="124">
        <f>SUM(B13:BI13)</f>
        <v>11032069063</v>
      </c>
    </row>
    <row r="20">
      <c r="A20" s="22" t="s">
        <v>624</v>
      </c>
      <c r="B20" s="125">
        <f>IRR(B11:BI11,0.02)</f>
        <v>0.04930256394</v>
      </c>
    </row>
    <row r="21">
      <c r="A21" s="22" t="s">
        <v>62</v>
      </c>
      <c r="B21" s="126">
        <f>(1+B20)^12-1</f>
        <v>0.7815942755</v>
      </c>
    </row>
    <row r="22">
      <c r="A22" s="22" t="s">
        <v>67</v>
      </c>
      <c r="B22" s="124">
        <f>-SUM(B11:E11)</f>
        <v>9514201285</v>
      </c>
    </row>
    <row r="23">
      <c r="A23" s="22" t="s">
        <v>625</v>
      </c>
      <c r="B23" s="124">
        <f>SUM(B11:BI11)</f>
        <v>21567659470</v>
      </c>
    </row>
    <row r="24">
      <c r="A24" s="22" t="s">
        <v>25</v>
      </c>
      <c r="B24" s="126">
        <f>B23/B22</f>
        <v>2.266891232</v>
      </c>
    </row>
    <row r="25">
      <c r="A25" s="22" t="s">
        <v>63</v>
      </c>
      <c r="B25" s="126">
        <f>(1+B24)^(12/60)-1</f>
        <v>0.2671468113</v>
      </c>
    </row>
    <row r="26">
      <c r="A26" s="22" t="s">
        <v>64</v>
      </c>
      <c r="B26" s="127">
        <f t="shared" ref="B26:B27" si="9">MATCH(TRUE(),INDEX(B14:BI14&gt;0,0),0)</f>
        <v>22</v>
      </c>
    </row>
    <row r="27">
      <c r="A27" s="22" t="s">
        <v>65</v>
      </c>
      <c r="B27" s="127">
        <f t="shared" si="9"/>
        <v>25</v>
      </c>
    </row>
    <row r="28">
      <c r="A28" s="22" t="s">
        <v>66</v>
      </c>
      <c r="B28" s="124">
        <f>SUM(F6:Q6)</f>
        <v>9406419488</v>
      </c>
    </row>
    <row r="29">
      <c r="A29" s="22" t="s">
        <v>626</v>
      </c>
      <c r="B29" s="124">
        <f>Parametros!$B$16*(ER_Proyecto!$G$17-ER_Proyecto!$G$9)</f>
        <v>124997363.2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6.0"/>
    <col customWidth="1" min="2" max="61" width="13.43"/>
  </cols>
  <sheetData>
    <row r="1">
      <c r="A1" s="10" t="s">
        <v>627</v>
      </c>
    </row>
    <row r="2">
      <c r="A2" s="11" t="s">
        <v>628</v>
      </c>
    </row>
    <row r="4">
      <c r="A4" s="12" t="s">
        <v>236</v>
      </c>
      <c r="B4" s="12">
        <v>1.0</v>
      </c>
      <c r="C4" s="12">
        <v>2.0</v>
      </c>
      <c r="D4" s="12">
        <v>3.0</v>
      </c>
      <c r="E4" s="12">
        <v>4.0</v>
      </c>
      <c r="F4" s="12">
        <v>5.0</v>
      </c>
      <c r="G4" s="12">
        <v>6.0</v>
      </c>
      <c r="H4" s="12">
        <v>7.0</v>
      </c>
      <c r="I4" s="12">
        <v>8.0</v>
      </c>
      <c r="J4" s="12">
        <v>9.0</v>
      </c>
      <c r="K4" s="12">
        <v>10.0</v>
      </c>
      <c r="L4" s="12">
        <v>11.0</v>
      </c>
      <c r="M4" s="12">
        <v>12.0</v>
      </c>
      <c r="N4" s="12">
        <v>13.0</v>
      </c>
      <c r="O4" s="12">
        <v>14.0</v>
      </c>
      <c r="P4" s="12">
        <v>15.0</v>
      </c>
      <c r="Q4" s="12">
        <v>16.0</v>
      </c>
      <c r="R4" s="12">
        <v>17.0</v>
      </c>
      <c r="S4" s="12">
        <v>18.0</v>
      </c>
      <c r="T4" s="12">
        <v>19.0</v>
      </c>
      <c r="U4" s="12">
        <v>20.0</v>
      </c>
      <c r="V4" s="12">
        <v>21.0</v>
      </c>
      <c r="W4" s="12">
        <v>22.0</v>
      </c>
      <c r="X4" s="12">
        <v>23.0</v>
      </c>
      <c r="Y4" s="12">
        <v>24.0</v>
      </c>
      <c r="Z4" s="12">
        <v>25.0</v>
      </c>
      <c r="AA4" s="12">
        <v>26.0</v>
      </c>
      <c r="AB4" s="12">
        <v>27.0</v>
      </c>
      <c r="AC4" s="12">
        <v>28.0</v>
      </c>
      <c r="AD4" s="12">
        <v>29.0</v>
      </c>
      <c r="AE4" s="12">
        <v>30.0</v>
      </c>
      <c r="AF4" s="12">
        <v>31.0</v>
      </c>
      <c r="AG4" s="12">
        <v>32.0</v>
      </c>
      <c r="AH4" s="12">
        <v>33.0</v>
      </c>
      <c r="AI4" s="12">
        <v>34.0</v>
      </c>
      <c r="AJ4" s="12">
        <v>35.0</v>
      </c>
      <c r="AK4" s="12">
        <v>36.0</v>
      </c>
      <c r="AL4" s="12">
        <v>37.0</v>
      </c>
      <c r="AM4" s="12">
        <v>38.0</v>
      </c>
      <c r="AN4" s="12">
        <v>39.0</v>
      </c>
      <c r="AO4" s="12">
        <v>40.0</v>
      </c>
      <c r="AP4" s="12">
        <v>41.0</v>
      </c>
      <c r="AQ4" s="12">
        <v>42.0</v>
      </c>
      <c r="AR4" s="12">
        <v>43.0</v>
      </c>
      <c r="AS4" s="12">
        <v>44.0</v>
      </c>
      <c r="AT4" s="12">
        <v>45.0</v>
      </c>
      <c r="AU4" s="12">
        <v>46.0</v>
      </c>
      <c r="AV4" s="12">
        <v>47.0</v>
      </c>
      <c r="AW4" s="12">
        <v>48.0</v>
      </c>
      <c r="AX4" s="12">
        <v>49.0</v>
      </c>
      <c r="AY4" s="12">
        <v>50.0</v>
      </c>
      <c r="AZ4" s="12">
        <v>51.0</v>
      </c>
      <c r="BA4" s="12">
        <v>52.0</v>
      </c>
      <c r="BB4" s="12">
        <v>53.0</v>
      </c>
      <c r="BC4" s="12">
        <v>54.0</v>
      </c>
      <c r="BD4" s="12">
        <v>55.0</v>
      </c>
      <c r="BE4" s="12">
        <v>56.0</v>
      </c>
      <c r="BF4" s="12">
        <v>57.0</v>
      </c>
      <c r="BG4" s="12">
        <v>58.0</v>
      </c>
      <c r="BH4" s="12">
        <v>59.0</v>
      </c>
      <c r="BI4" s="12">
        <v>60.0</v>
      </c>
    </row>
    <row r="5">
      <c r="A5" s="47" t="s">
        <v>629</v>
      </c>
    </row>
    <row r="6">
      <c r="A6" s="22" t="s">
        <v>630</v>
      </c>
      <c r="B6" s="49">
        <f>MAX(0,Flujo_Caja!B14)</f>
        <v>0</v>
      </c>
      <c r="C6" s="49">
        <f>MAX(0,Flujo_Caja!C14)</f>
        <v>0</v>
      </c>
      <c r="D6" s="49">
        <f>MAX(0,Flujo_Caja!D14)</f>
        <v>0</v>
      </c>
      <c r="E6" s="49">
        <f>MAX(0,Flujo_Caja!E14)</f>
        <v>0</v>
      </c>
      <c r="F6" s="49">
        <f>MAX(0,Flujo_Caja!F14)</f>
        <v>0</v>
      </c>
      <c r="G6" s="49">
        <f>MAX(0,Flujo_Caja!G14)</f>
        <v>0</v>
      </c>
      <c r="H6" s="49">
        <f>MAX(0,Flujo_Caja!H14)</f>
        <v>0</v>
      </c>
      <c r="I6" s="49">
        <f>MAX(0,Flujo_Caja!I14)</f>
        <v>0</v>
      </c>
      <c r="J6" s="49">
        <f>MAX(0,Flujo_Caja!J14)</f>
        <v>0</v>
      </c>
      <c r="K6" s="49">
        <f>MAX(0,Flujo_Caja!K14)</f>
        <v>0</v>
      </c>
      <c r="L6" s="49">
        <f>MAX(0,Flujo_Caja!L14)</f>
        <v>0</v>
      </c>
      <c r="M6" s="49">
        <f>MAX(0,Flujo_Caja!M14)</f>
        <v>0</v>
      </c>
      <c r="N6" s="49">
        <f>MAX(0,Flujo_Caja!N14)</f>
        <v>0</v>
      </c>
      <c r="O6" s="49">
        <f>MAX(0,Flujo_Caja!O14)</f>
        <v>0</v>
      </c>
      <c r="P6" s="49">
        <f>MAX(0,Flujo_Caja!P14)</f>
        <v>0</v>
      </c>
      <c r="Q6" s="49">
        <f>MAX(0,Flujo_Caja!Q14)</f>
        <v>0</v>
      </c>
      <c r="R6" s="49">
        <f>MAX(0,Flujo_Caja!R14)</f>
        <v>0</v>
      </c>
      <c r="S6" s="49">
        <f>MAX(0,Flujo_Caja!S14)</f>
        <v>0</v>
      </c>
      <c r="T6" s="49">
        <f>MAX(0,Flujo_Caja!T14)</f>
        <v>0</v>
      </c>
      <c r="U6" s="49">
        <f>MAX(0,Flujo_Caja!U14)</f>
        <v>0</v>
      </c>
      <c r="V6" s="49">
        <f>MAX(0,Flujo_Caja!V14)</f>
        <v>0</v>
      </c>
      <c r="W6" s="49">
        <f>MAX(0,Flujo_Caja!W14)</f>
        <v>285841200.4</v>
      </c>
      <c r="X6" s="49">
        <f>MAX(0,Flujo_Caja!X14)</f>
        <v>803015692.9</v>
      </c>
      <c r="Y6" s="49">
        <f>MAX(0,Flujo_Caja!Y14)</f>
        <v>1371760962</v>
      </c>
      <c r="Z6" s="49">
        <f>MAX(0,Flujo_Caja!Z14)</f>
        <v>1893063329</v>
      </c>
      <c r="AA6" s="49">
        <f>MAX(0,Flujo_Caja!AA14)</f>
        <v>2427828551</v>
      </c>
      <c r="AB6" s="49">
        <f>MAX(0,Flujo_Caja!AB14)</f>
        <v>2981782916</v>
      </c>
      <c r="AC6" s="49">
        <f>MAX(0,Flujo_Caja!AC14)</f>
        <v>3564776279</v>
      </c>
      <c r="AD6" s="49">
        <f>MAX(0,Flujo_Caja!AD14)</f>
        <v>4113641355</v>
      </c>
      <c r="AE6" s="49">
        <f>MAX(0,Flujo_Caja!AE14)</f>
        <v>4651344079</v>
      </c>
      <c r="AF6" s="49">
        <f>MAX(0,Flujo_Caja!AF14)</f>
        <v>5199812692</v>
      </c>
      <c r="AG6" s="49">
        <f>MAX(0,Flujo_Caja!AG14)</f>
        <v>5772283618</v>
      </c>
      <c r="AH6" s="49">
        <f>MAX(0,Flujo_Caja!AH14)</f>
        <v>6424240658</v>
      </c>
      <c r="AI6" s="49">
        <f>MAX(0,Flujo_Caja!AI14)</f>
        <v>6976141582</v>
      </c>
      <c r="AJ6" s="49">
        <f>MAX(0,Flujo_Caja!AJ14)</f>
        <v>7493316075</v>
      </c>
      <c r="AK6" s="49">
        <f>MAX(0,Flujo_Caja!AK14)</f>
        <v>8062061344</v>
      </c>
      <c r="AL6" s="49">
        <f>MAX(0,Flujo_Caja!AL14)</f>
        <v>8583363711</v>
      </c>
      <c r="AM6" s="49">
        <f>MAX(0,Flujo_Caja!AM14)</f>
        <v>9118128932</v>
      </c>
      <c r="AN6" s="49">
        <f>MAX(0,Flujo_Caja!AN14)</f>
        <v>9672083297</v>
      </c>
      <c r="AO6" s="49">
        <f>MAX(0,Flujo_Caja!AO14)</f>
        <v>10255076661</v>
      </c>
      <c r="AP6" s="49">
        <f>MAX(0,Flujo_Caja!AP14)</f>
        <v>10803941737</v>
      </c>
      <c r="AQ6" s="49">
        <f>MAX(0,Flujo_Caja!AQ14)</f>
        <v>11341644460</v>
      </c>
      <c r="AR6" s="49">
        <f>MAX(0,Flujo_Caja!AR14)</f>
        <v>11890113074</v>
      </c>
      <c r="AS6" s="49">
        <f>MAX(0,Flujo_Caja!AS14)</f>
        <v>12462584000</v>
      </c>
      <c r="AT6" s="49">
        <f>MAX(0,Flujo_Caja!AT14)</f>
        <v>13114541040</v>
      </c>
      <c r="AU6" s="49">
        <f>MAX(0,Flujo_Caja!AU14)</f>
        <v>13666441964</v>
      </c>
      <c r="AV6" s="49">
        <f>MAX(0,Flujo_Caja!AV14)</f>
        <v>14183616456</v>
      </c>
      <c r="AW6" s="49">
        <f>MAX(0,Flujo_Caja!AW14)</f>
        <v>14752361726</v>
      </c>
      <c r="AX6" s="49">
        <f>MAX(0,Flujo_Caja!AX14)</f>
        <v>15273664093</v>
      </c>
      <c r="AY6" s="49">
        <f>MAX(0,Flujo_Caja!AY14)</f>
        <v>15808429314</v>
      </c>
      <c r="AZ6" s="49">
        <f>MAX(0,Flujo_Caja!AZ14)</f>
        <v>16362383679</v>
      </c>
      <c r="BA6" s="49">
        <f>MAX(0,Flujo_Caja!BA14)</f>
        <v>16945377042</v>
      </c>
      <c r="BB6" s="49">
        <f>MAX(0,Flujo_Caja!BB14)</f>
        <v>17494242119</v>
      </c>
      <c r="BC6" s="49">
        <f>MAX(0,Flujo_Caja!BC14)</f>
        <v>18031944842</v>
      </c>
      <c r="BD6" s="49">
        <f>MAX(0,Flujo_Caja!BD14)</f>
        <v>18580413455</v>
      </c>
      <c r="BE6" s="49">
        <f>MAX(0,Flujo_Caja!BE14)</f>
        <v>19152884382</v>
      </c>
      <c r="BF6" s="49">
        <f>MAX(0,Flujo_Caja!BF14)</f>
        <v>19804841421</v>
      </c>
      <c r="BG6" s="49">
        <f>MAX(0,Flujo_Caja!BG14)</f>
        <v>20356742345</v>
      </c>
      <c r="BH6" s="49">
        <f>MAX(0,Flujo_Caja!BH14)</f>
        <v>20873916838</v>
      </c>
      <c r="BI6" s="49">
        <f>MAX(0,Flujo_Caja!BI14)</f>
        <v>21567659470</v>
      </c>
    </row>
    <row r="7">
      <c r="A7" s="22" t="s">
        <v>631</v>
      </c>
      <c r="B7" s="49">
        <f>Parametros!$B$17/30*(ER_Proyecto!B17-ER_Proyecto!B9)</f>
        <v>0</v>
      </c>
      <c r="C7" s="49">
        <f>Parametros!$B$17/30*(ER_Proyecto!C17-ER_Proyecto!C9)</f>
        <v>0</v>
      </c>
      <c r="D7" s="49">
        <f>Parametros!$B$17/30*(ER_Proyecto!D17-ER_Proyecto!D9)</f>
        <v>0</v>
      </c>
      <c r="E7" s="49">
        <f>Parametros!$B$17/30*(ER_Proyecto!E17-ER_Proyecto!E9)</f>
        <v>0</v>
      </c>
      <c r="F7" s="49">
        <f>Parametros!$B$17/30*(ER_Proyecto!F17-ER_Proyecto!F9)</f>
        <v>892885799.4</v>
      </c>
      <c r="G7" s="49">
        <f>Parametros!$B$17/30*(ER_Proyecto!G17-ER_Proyecto!G9)</f>
        <v>1302055867</v>
      </c>
      <c r="H7" s="49">
        <f>Parametros!$B$17/30*(ER_Proyecto!H17-ER_Proyecto!H9)</f>
        <v>1328294842</v>
      </c>
      <c r="I7" s="49">
        <f>Parametros!$B$17/30*(ER_Proyecto!I17-ER_Proyecto!I9)</f>
        <v>1399781279</v>
      </c>
      <c r="J7" s="49">
        <f>Parametros!$B$17/30*(ER_Proyecto!J17-ER_Proyecto!J9)</f>
        <v>1629534555</v>
      </c>
      <c r="K7" s="49">
        <f>Parametros!$B$17/30*(ER_Proyecto!K17-ER_Proyecto!K9)</f>
        <v>1339367129</v>
      </c>
      <c r="L7" s="49">
        <f>Parametros!$B$17/30*(ER_Proyecto!L17-ER_Proyecto!L9)</f>
        <v>1239434865</v>
      </c>
      <c r="M7" s="49">
        <f>Parametros!$B$17/30*(ER_Proyecto!M17-ER_Proyecto!M9)</f>
        <v>1388666499</v>
      </c>
      <c r="N7" s="49">
        <f>Parametros!$B$17/30*(ER_Proyecto!N17-ER_Proyecto!N9)</f>
        <v>1254103722</v>
      </c>
      <c r="O7" s="49">
        <f>Parametros!$B$17/30*(ER_Proyecto!O17-ER_Proyecto!O9)</f>
        <v>1292930218</v>
      </c>
      <c r="P7" s="49">
        <f>Parametros!$B$17/30*(ER_Proyecto!P17-ER_Proyecto!P9)</f>
        <v>1344276158</v>
      </c>
      <c r="Q7" s="49">
        <f>Parametros!$B$17/30*(ER_Proyecto!Q17-ER_Proyecto!Q9)</f>
        <v>1426801726</v>
      </c>
      <c r="R7" s="49">
        <f>Parametros!$B$17/30*(ER_Proyecto!R17-ER_Proyecto!R9)</f>
        <v>1332665372</v>
      </c>
      <c r="S7" s="49">
        <f>Parametros!$B$17/30*(ER_Proyecto!S17-ER_Proyecto!S9)</f>
        <v>1302055867</v>
      </c>
      <c r="T7" s="49">
        <f>Parametros!$B$17/30*(ER_Proyecto!T17-ER_Proyecto!T9)</f>
        <v>1328294842</v>
      </c>
      <c r="U7" s="49">
        <f>Parametros!$B$17/30*(ER_Proyecto!U17-ER_Proyecto!U9)</f>
        <v>1399781279</v>
      </c>
      <c r="V7" s="49">
        <f>Parametros!$B$17/30*(ER_Proyecto!V17-ER_Proyecto!V9)</f>
        <v>1629534555</v>
      </c>
      <c r="W7" s="49">
        <f>Parametros!$B$17/30*(ER_Proyecto!W17-ER_Proyecto!W9)</f>
        <v>1339367129</v>
      </c>
      <c r="X7" s="49">
        <f>Parametros!$B$17/30*(ER_Proyecto!X17-ER_Proyecto!X9)</f>
        <v>1239434865</v>
      </c>
      <c r="Y7" s="49">
        <f>Parametros!$B$17/30*(ER_Proyecto!Y17-ER_Proyecto!Y9)</f>
        <v>1388666499</v>
      </c>
      <c r="Z7" s="49">
        <f>Parametros!$B$17/30*(ER_Proyecto!Z17-ER_Proyecto!Z9)</f>
        <v>1254103722</v>
      </c>
      <c r="AA7" s="49">
        <f>Parametros!$B$17/30*(ER_Proyecto!AA17-ER_Proyecto!AA9)</f>
        <v>1292930218</v>
      </c>
      <c r="AB7" s="49">
        <f>Parametros!$B$17/30*(ER_Proyecto!AB17-ER_Proyecto!AB9)</f>
        <v>1344276158</v>
      </c>
      <c r="AC7" s="49">
        <f>Parametros!$B$17/30*(ER_Proyecto!AC17-ER_Proyecto!AC9)</f>
        <v>1426801726</v>
      </c>
      <c r="AD7" s="49">
        <f>Parametros!$B$17/30*(ER_Proyecto!AD17-ER_Proyecto!AD9)</f>
        <v>1332665372</v>
      </c>
      <c r="AE7" s="49">
        <f>Parametros!$B$17/30*(ER_Proyecto!AE17-ER_Proyecto!AE9)</f>
        <v>1302055867</v>
      </c>
      <c r="AF7" s="49">
        <f>Parametros!$B$17/30*(ER_Proyecto!AF17-ER_Proyecto!AF9)</f>
        <v>1328294842</v>
      </c>
      <c r="AG7" s="49">
        <f>Parametros!$B$17/30*(ER_Proyecto!AG17-ER_Proyecto!AG9)</f>
        <v>1399781279</v>
      </c>
      <c r="AH7" s="49">
        <f>Parametros!$B$17/30*(ER_Proyecto!AH17-ER_Proyecto!AH9)</f>
        <v>1629534555</v>
      </c>
      <c r="AI7" s="49">
        <f>Parametros!$B$17/30*(ER_Proyecto!AI17-ER_Proyecto!AI9)</f>
        <v>1339367129</v>
      </c>
      <c r="AJ7" s="49">
        <f>Parametros!$B$17/30*(ER_Proyecto!AJ17-ER_Proyecto!AJ9)</f>
        <v>1239434865</v>
      </c>
      <c r="AK7" s="49">
        <f>Parametros!$B$17/30*(ER_Proyecto!AK17-ER_Proyecto!AK9)</f>
        <v>1388666499</v>
      </c>
      <c r="AL7" s="49">
        <f>Parametros!$B$17/30*(ER_Proyecto!AL17-ER_Proyecto!AL9)</f>
        <v>1254103722</v>
      </c>
      <c r="AM7" s="49">
        <f>Parametros!$B$17/30*(ER_Proyecto!AM17-ER_Proyecto!AM9)</f>
        <v>1292930218</v>
      </c>
      <c r="AN7" s="49">
        <f>Parametros!$B$17/30*(ER_Proyecto!AN17-ER_Proyecto!AN9)</f>
        <v>1344276158</v>
      </c>
      <c r="AO7" s="49">
        <f>Parametros!$B$17/30*(ER_Proyecto!AO17-ER_Proyecto!AO9)</f>
        <v>1426801726</v>
      </c>
      <c r="AP7" s="49">
        <f>Parametros!$B$17/30*(ER_Proyecto!AP17-ER_Proyecto!AP9)</f>
        <v>1332665372</v>
      </c>
      <c r="AQ7" s="49">
        <f>Parametros!$B$17/30*(ER_Proyecto!AQ17-ER_Proyecto!AQ9)</f>
        <v>1302055867</v>
      </c>
      <c r="AR7" s="49">
        <f>Parametros!$B$17/30*(ER_Proyecto!AR17-ER_Proyecto!AR9)</f>
        <v>1328294842</v>
      </c>
      <c r="AS7" s="49">
        <f>Parametros!$B$17/30*(ER_Proyecto!AS17-ER_Proyecto!AS9)</f>
        <v>1399781279</v>
      </c>
      <c r="AT7" s="49">
        <f>Parametros!$B$17/30*(ER_Proyecto!AT17-ER_Proyecto!AT9)</f>
        <v>1629534555</v>
      </c>
      <c r="AU7" s="49">
        <f>Parametros!$B$17/30*(ER_Proyecto!AU17-ER_Proyecto!AU9)</f>
        <v>1339367129</v>
      </c>
      <c r="AV7" s="49">
        <f>Parametros!$B$17/30*(ER_Proyecto!AV17-ER_Proyecto!AV9)</f>
        <v>1239434865</v>
      </c>
      <c r="AW7" s="49">
        <f>Parametros!$B$17/30*(ER_Proyecto!AW17-ER_Proyecto!AW9)</f>
        <v>1388666499</v>
      </c>
      <c r="AX7" s="49">
        <f>Parametros!$B$17/30*(ER_Proyecto!AX17-ER_Proyecto!AX9)</f>
        <v>1254103722</v>
      </c>
      <c r="AY7" s="49">
        <f>Parametros!$B$17/30*(ER_Proyecto!AY17-ER_Proyecto!AY9)</f>
        <v>1292930218</v>
      </c>
      <c r="AZ7" s="49">
        <f>Parametros!$B$17/30*(ER_Proyecto!AZ17-ER_Proyecto!AZ9)</f>
        <v>1344276158</v>
      </c>
      <c r="BA7" s="49">
        <f>Parametros!$B$17/30*(ER_Proyecto!BA17-ER_Proyecto!BA9)</f>
        <v>1426801726</v>
      </c>
      <c r="BB7" s="49">
        <f>Parametros!$B$17/30*(ER_Proyecto!BB17-ER_Proyecto!BB9)</f>
        <v>1332665372</v>
      </c>
      <c r="BC7" s="49">
        <f>Parametros!$B$17/30*(ER_Proyecto!BC17-ER_Proyecto!BC9)</f>
        <v>1302055867</v>
      </c>
      <c r="BD7" s="49">
        <f>Parametros!$B$17/30*(ER_Proyecto!BD17-ER_Proyecto!BD9)</f>
        <v>1328294842</v>
      </c>
      <c r="BE7" s="49">
        <f>Parametros!$B$17/30*(ER_Proyecto!BE17-ER_Proyecto!BE9)</f>
        <v>1399781279</v>
      </c>
      <c r="BF7" s="49">
        <f>Parametros!$B$17/30*(ER_Proyecto!BF17-ER_Proyecto!BF9)</f>
        <v>1629534555</v>
      </c>
      <c r="BG7" s="49">
        <f>Parametros!$B$17/30*(ER_Proyecto!BG17-ER_Proyecto!BG9)</f>
        <v>1339367129</v>
      </c>
      <c r="BH7" s="49">
        <f>Parametros!$B$17/30*(ER_Proyecto!BH17-ER_Proyecto!BH9)</f>
        <v>1239434865</v>
      </c>
      <c r="BI7" s="49">
        <f>Parametros!$B$17/30*(ER_Proyecto!BI17-ER_Proyecto!BI9)</f>
        <v>1388666499</v>
      </c>
    </row>
    <row r="8">
      <c r="A8" s="22" t="s">
        <v>632</v>
      </c>
      <c r="B8" s="49">
        <f>Parametros!$B$18/30*(ER_Proyecto!B18-ER_Proyecto!B10)</f>
        <v>0</v>
      </c>
      <c r="C8" s="49">
        <f>Parametros!$B$18/30*(ER_Proyecto!C18-ER_Proyecto!C10)</f>
        <v>0</v>
      </c>
      <c r="D8" s="49">
        <f>Parametros!$B$18/30*(ER_Proyecto!D18-ER_Proyecto!D10)</f>
        <v>0</v>
      </c>
      <c r="E8" s="49">
        <f>Parametros!$B$18/30*(ER_Proyecto!E18-ER_Proyecto!E10)</f>
        <v>0</v>
      </c>
      <c r="F8" s="49">
        <f>Parametros!$B$18/30*(ER_Proyecto!F18-ER_Proyecto!F10)</f>
        <v>341203123.3</v>
      </c>
      <c r="G8" s="49">
        <f>Parametros!$B$18/30*(ER_Proyecto!G18-ER_Proyecto!G10)</f>
        <v>498039119.7</v>
      </c>
      <c r="H8" s="49">
        <f>Parametros!$B$18/30*(ER_Proyecto!H18-ER_Proyecto!H10)</f>
        <v>506599817.9</v>
      </c>
      <c r="I8" s="49">
        <f>Parametros!$B$18/30*(ER_Proyecto!I18-ER_Proyecto!I10)</f>
        <v>534625458.7</v>
      </c>
      <c r="J8" s="49">
        <f>Parametros!$B$18/30*(ER_Proyecto!J18-ER_Proyecto!J10)</f>
        <v>622629608.4</v>
      </c>
      <c r="K8" s="49">
        <f>Parametros!$B$18/30*(ER_Proyecto!K18-ER_Proyecto!K10)</f>
        <v>511192411.5</v>
      </c>
      <c r="L8" s="49">
        <f>Parametros!$B$18/30*(ER_Proyecto!L18-ER_Proyecto!L10)</f>
        <v>473050123.3</v>
      </c>
      <c r="M8" s="49">
        <f>Parametros!$B$18/30*(ER_Proyecto!M18-ER_Proyecto!M10)</f>
        <v>530262493.3</v>
      </c>
      <c r="N8" s="49">
        <f>Parametros!$B$18/30*(ER_Proyecto!N18-ER_Proyecto!N10)</f>
        <v>479504579.9</v>
      </c>
      <c r="O8" s="49">
        <f>Parametros!$B$18/30*(ER_Proyecto!O18-ER_Proyecto!O10)</f>
        <v>494349825.7</v>
      </c>
      <c r="P8" s="49">
        <f>Parametros!$B$18/30*(ER_Proyecto!P18-ER_Proyecto!P10)</f>
        <v>512759379.2</v>
      </c>
      <c r="Q8" s="49">
        <f>Parametros!$B$18/30*(ER_Proyecto!Q18-ER_Proyecto!Q10)</f>
        <v>543938930.3</v>
      </c>
      <c r="R8" s="49">
        <f>Parametros!$B$18/30*(ER_Proyecto!R18-ER_Proyecto!R10)</f>
        <v>509258393</v>
      </c>
      <c r="S8" s="49">
        <f>Parametros!$B$18/30*(ER_Proyecto!S18-ER_Proyecto!S10)</f>
        <v>498039119.7</v>
      </c>
      <c r="T8" s="49">
        <f>Parametros!$B$18/30*(ER_Proyecto!T18-ER_Proyecto!T10)</f>
        <v>506599817.9</v>
      </c>
      <c r="U8" s="49">
        <f>Parametros!$B$18/30*(ER_Proyecto!U18-ER_Proyecto!U10)</f>
        <v>534625458.7</v>
      </c>
      <c r="V8" s="49">
        <f>Parametros!$B$18/30*(ER_Proyecto!V18-ER_Proyecto!V10)</f>
        <v>622629608.4</v>
      </c>
      <c r="W8" s="49">
        <f>Parametros!$B$18/30*(ER_Proyecto!W18-ER_Proyecto!W10)</f>
        <v>511192411.5</v>
      </c>
      <c r="X8" s="49">
        <f>Parametros!$B$18/30*(ER_Proyecto!X18-ER_Proyecto!X10)</f>
        <v>473050123.3</v>
      </c>
      <c r="Y8" s="49">
        <f>Parametros!$B$18/30*(ER_Proyecto!Y18-ER_Proyecto!Y10)</f>
        <v>530262493.3</v>
      </c>
      <c r="Z8" s="49">
        <f>Parametros!$B$18/30*(ER_Proyecto!Z18-ER_Proyecto!Z10)</f>
        <v>479504579.9</v>
      </c>
      <c r="AA8" s="49">
        <f>Parametros!$B$18/30*(ER_Proyecto!AA18-ER_Proyecto!AA10)</f>
        <v>494349825.7</v>
      </c>
      <c r="AB8" s="49">
        <f>Parametros!$B$18/30*(ER_Proyecto!AB18-ER_Proyecto!AB10)</f>
        <v>512759379.2</v>
      </c>
      <c r="AC8" s="49">
        <f>Parametros!$B$18/30*(ER_Proyecto!AC18-ER_Proyecto!AC10)</f>
        <v>543938930.3</v>
      </c>
      <c r="AD8" s="49">
        <f>Parametros!$B$18/30*(ER_Proyecto!AD18-ER_Proyecto!AD10)</f>
        <v>509258393</v>
      </c>
      <c r="AE8" s="49">
        <f>Parametros!$B$18/30*(ER_Proyecto!AE18-ER_Proyecto!AE10)</f>
        <v>498039119.7</v>
      </c>
      <c r="AF8" s="49">
        <f>Parametros!$B$18/30*(ER_Proyecto!AF18-ER_Proyecto!AF10)</f>
        <v>506599817.9</v>
      </c>
      <c r="AG8" s="49">
        <f>Parametros!$B$18/30*(ER_Proyecto!AG18-ER_Proyecto!AG10)</f>
        <v>534625458.7</v>
      </c>
      <c r="AH8" s="49">
        <f>Parametros!$B$18/30*(ER_Proyecto!AH18-ER_Proyecto!AH10)</f>
        <v>622629608.4</v>
      </c>
      <c r="AI8" s="49">
        <f>Parametros!$B$18/30*(ER_Proyecto!AI18-ER_Proyecto!AI10)</f>
        <v>511192411.5</v>
      </c>
      <c r="AJ8" s="49">
        <f>Parametros!$B$18/30*(ER_Proyecto!AJ18-ER_Proyecto!AJ10)</f>
        <v>473050123.3</v>
      </c>
      <c r="AK8" s="49">
        <f>Parametros!$B$18/30*(ER_Proyecto!AK18-ER_Proyecto!AK10)</f>
        <v>530262493.3</v>
      </c>
      <c r="AL8" s="49">
        <f>Parametros!$B$18/30*(ER_Proyecto!AL18-ER_Proyecto!AL10)</f>
        <v>479504579.9</v>
      </c>
      <c r="AM8" s="49">
        <f>Parametros!$B$18/30*(ER_Proyecto!AM18-ER_Proyecto!AM10)</f>
        <v>494349825.7</v>
      </c>
      <c r="AN8" s="49">
        <f>Parametros!$B$18/30*(ER_Proyecto!AN18-ER_Proyecto!AN10)</f>
        <v>512759379.2</v>
      </c>
      <c r="AO8" s="49">
        <f>Parametros!$B$18/30*(ER_Proyecto!AO18-ER_Proyecto!AO10)</f>
        <v>543938930.3</v>
      </c>
      <c r="AP8" s="49">
        <f>Parametros!$B$18/30*(ER_Proyecto!AP18-ER_Proyecto!AP10)</f>
        <v>509258393</v>
      </c>
      <c r="AQ8" s="49">
        <f>Parametros!$B$18/30*(ER_Proyecto!AQ18-ER_Proyecto!AQ10)</f>
        <v>498039119.7</v>
      </c>
      <c r="AR8" s="49">
        <f>Parametros!$B$18/30*(ER_Proyecto!AR18-ER_Proyecto!AR10)</f>
        <v>506599817.9</v>
      </c>
      <c r="AS8" s="49">
        <f>Parametros!$B$18/30*(ER_Proyecto!AS18-ER_Proyecto!AS10)</f>
        <v>534625458.7</v>
      </c>
      <c r="AT8" s="49">
        <f>Parametros!$B$18/30*(ER_Proyecto!AT18-ER_Proyecto!AT10)</f>
        <v>622629608.4</v>
      </c>
      <c r="AU8" s="49">
        <f>Parametros!$B$18/30*(ER_Proyecto!AU18-ER_Proyecto!AU10)</f>
        <v>511192411.5</v>
      </c>
      <c r="AV8" s="49">
        <f>Parametros!$B$18/30*(ER_Proyecto!AV18-ER_Proyecto!AV10)</f>
        <v>473050123.3</v>
      </c>
      <c r="AW8" s="49">
        <f>Parametros!$B$18/30*(ER_Proyecto!AW18-ER_Proyecto!AW10)</f>
        <v>530262493.3</v>
      </c>
      <c r="AX8" s="49">
        <f>Parametros!$B$18/30*(ER_Proyecto!AX18-ER_Proyecto!AX10)</f>
        <v>479504579.9</v>
      </c>
      <c r="AY8" s="49">
        <f>Parametros!$B$18/30*(ER_Proyecto!AY18-ER_Proyecto!AY10)</f>
        <v>494349825.7</v>
      </c>
      <c r="AZ8" s="49">
        <f>Parametros!$B$18/30*(ER_Proyecto!AZ18-ER_Proyecto!AZ10)</f>
        <v>512759379.2</v>
      </c>
      <c r="BA8" s="49">
        <f>Parametros!$B$18/30*(ER_Proyecto!BA18-ER_Proyecto!BA10)</f>
        <v>543938930.3</v>
      </c>
      <c r="BB8" s="49">
        <f>Parametros!$B$18/30*(ER_Proyecto!BB18-ER_Proyecto!BB10)</f>
        <v>509258393</v>
      </c>
      <c r="BC8" s="49">
        <f>Parametros!$B$18/30*(ER_Proyecto!BC18-ER_Proyecto!BC10)</f>
        <v>498039119.7</v>
      </c>
      <c r="BD8" s="49">
        <f>Parametros!$B$18/30*(ER_Proyecto!BD18-ER_Proyecto!BD10)</f>
        <v>506599817.9</v>
      </c>
      <c r="BE8" s="49">
        <f>Parametros!$B$18/30*(ER_Proyecto!BE18-ER_Proyecto!BE10)</f>
        <v>534625458.7</v>
      </c>
      <c r="BF8" s="49">
        <f>Parametros!$B$18/30*(ER_Proyecto!BF18-ER_Proyecto!BF10)</f>
        <v>622629608.4</v>
      </c>
      <c r="BG8" s="49">
        <f>Parametros!$B$18/30*(ER_Proyecto!BG18-ER_Proyecto!BG10)</f>
        <v>511192411.5</v>
      </c>
      <c r="BH8" s="49">
        <f>Parametros!$B$18/30*(ER_Proyecto!BH18-ER_Proyecto!BH10)</f>
        <v>473050123.3</v>
      </c>
      <c r="BI8" s="49">
        <f>Parametros!$B$18/30*(ER_Proyecto!BI18-ER_Proyecto!BI10)</f>
        <v>530262493.3</v>
      </c>
    </row>
    <row r="9">
      <c r="A9" s="22" t="s">
        <v>633</v>
      </c>
      <c r="B9" s="49">
        <f>-Flujo_Caja!B8-ER_Proyecto!B26</f>
        <v>1833110849</v>
      </c>
      <c r="C9" s="49">
        <f>B9-Flujo_Caja!C8-ER_Proyecto!C26</f>
        <v>5041054835</v>
      </c>
      <c r="D9" s="49">
        <f>C9-Flujo_Caja!D8-ER_Proyecto!D26</f>
        <v>7515754481</v>
      </c>
      <c r="E9" s="49">
        <f>D9-Flujo_Caja!E8-ER_Proyecto!E26</f>
        <v>9165554245</v>
      </c>
      <c r="F9" s="49">
        <f>E9-Flujo_Caja!F8-ER_Proyecto!F26</f>
        <v>9070434751</v>
      </c>
      <c r="G9" s="49">
        <f>F9-Flujo_Caja!G8-ER_Proyecto!G26</f>
        <v>8975315256</v>
      </c>
      <c r="H9" s="49">
        <f>G9-Flujo_Caja!H8-ER_Proyecto!H26</f>
        <v>8880195761</v>
      </c>
      <c r="I9" s="49">
        <f>H9-Flujo_Caja!I8-ER_Proyecto!I26</f>
        <v>8785076266</v>
      </c>
      <c r="J9" s="49">
        <f>I9-Flujo_Caja!J8-ER_Proyecto!J26</f>
        <v>8689956771</v>
      </c>
      <c r="K9" s="49">
        <f>J9-Flujo_Caja!K8-ER_Proyecto!K26</f>
        <v>8594837276</v>
      </c>
      <c r="L9" s="49">
        <f>K9-Flujo_Caja!L8-ER_Proyecto!L26</f>
        <v>8499717781</v>
      </c>
      <c r="M9" s="49">
        <f>L9-Flujo_Caja!M8-ER_Proyecto!M26</f>
        <v>8404598286</v>
      </c>
      <c r="N9" s="49">
        <f>M9-Flujo_Caja!N8-ER_Proyecto!N26</f>
        <v>8309478791</v>
      </c>
      <c r="O9" s="49">
        <f>N9-Flujo_Caja!O8-ER_Proyecto!O26</f>
        <v>8214359296</v>
      </c>
      <c r="P9" s="49">
        <f>O9-Flujo_Caja!P8-ER_Proyecto!P26</f>
        <v>8119239801</v>
      </c>
      <c r="Q9" s="49">
        <f>P9-Flujo_Caja!Q8-ER_Proyecto!Q26</f>
        <v>8024120307</v>
      </c>
      <c r="R9" s="49">
        <f>Q9-Flujo_Caja!R8-ER_Proyecto!R26</f>
        <v>7929000812</v>
      </c>
      <c r="S9" s="49">
        <f>R9-Flujo_Caja!S8-ER_Proyecto!S26</f>
        <v>7833881317</v>
      </c>
      <c r="T9" s="49">
        <f>S9-Flujo_Caja!T8-ER_Proyecto!T26</f>
        <v>7738761822</v>
      </c>
      <c r="U9" s="49">
        <f>T9-Flujo_Caja!U8-ER_Proyecto!U26</f>
        <v>7643642327</v>
      </c>
      <c r="V9" s="49">
        <f>U9-Flujo_Caja!V8-ER_Proyecto!V26</f>
        <v>7548522832</v>
      </c>
      <c r="W9" s="49">
        <f>V9-Flujo_Caja!W8-ER_Proyecto!W26</f>
        <v>7453403337</v>
      </c>
      <c r="X9" s="49">
        <f>W9-Flujo_Caja!X8-ER_Proyecto!X26</f>
        <v>7358283842</v>
      </c>
      <c r="Y9" s="49">
        <f>X9-Flujo_Caja!Y8-ER_Proyecto!Y26</f>
        <v>7263164347</v>
      </c>
      <c r="Z9" s="49">
        <f>Y9-Flujo_Caja!Z8-ER_Proyecto!Z26</f>
        <v>7168044852</v>
      </c>
      <c r="AA9" s="49">
        <f>Z9-Flujo_Caja!AA8-ER_Proyecto!AA26</f>
        <v>7072925358</v>
      </c>
      <c r="AB9" s="49">
        <f>AA9-Flujo_Caja!AB8-ER_Proyecto!AB26</f>
        <v>6977805863</v>
      </c>
      <c r="AC9" s="49">
        <f>AB9-Flujo_Caja!AC8-ER_Proyecto!AC26</f>
        <v>6882686368</v>
      </c>
      <c r="AD9" s="49">
        <f>AC9-Flujo_Caja!AD8-ER_Proyecto!AD26</f>
        <v>6787566873</v>
      </c>
      <c r="AE9" s="49">
        <f>AD9-Flujo_Caja!AE8-ER_Proyecto!AE26</f>
        <v>6692447378</v>
      </c>
      <c r="AF9" s="49">
        <f>AE9-Flujo_Caja!AF8-ER_Proyecto!AF26</f>
        <v>6597327883</v>
      </c>
      <c r="AG9" s="49">
        <f>AF9-Flujo_Caja!AG8-ER_Proyecto!AG26</f>
        <v>6502208388</v>
      </c>
      <c r="AH9" s="49">
        <f>AG9-Flujo_Caja!AH8-ER_Proyecto!AH26</f>
        <v>6407088893</v>
      </c>
      <c r="AI9" s="49">
        <f>AH9-Flujo_Caja!AI8-ER_Proyecto!AI26</f>
        <v>6311969398</v>
      </c>
      <c r="AJ9" s="49">
        <f>AI9-Flujo_Caja!AJ8-ER_Proyecto!AJ26</f>
        <v>6216849903</v>
      </c>
      <c r="AK9" s="49">
        <f>AJ9-Flujo_Caja!AK8-ER_Proyecto!AK26</f>
        <v>6121730408</v>
      </c>
      <c r="AL9" s="49">
        <f>AK9-Flujo_Caja!AL8-ER_Proyecto!AL26</f>
        <v>6026610914</v>
      </c>
      <c r="AM9" s="49">
        <f>AL9-Flujo_Caja!AM8-ER_Proyecto!AM26</f>
        <v>5931491419</v>
      </c>
      <c r="AN9" s="49">
        <f>AM9-Flujo_Caja!AN8-ER_Proyecto!AN26</f>
        <v>5836371924</v>
      </c>
      <c r="AO9" s="49">
        <f>AN9-Flujo_Caja!AO8-ER_Proyecto!AO26</f>
        <v>5741252429</v>
      </c>
      <c r="AP9" s="49">
        <f>AO9-Flujo_Caja!AP8-ER_Proyecto!AP26</f>
        <v>5646132934</v>
      </c>
      <c r="AQ9" s="49">
        <f>AP9-Flujo_Caja!AQ8-ER_Proyecto!AQ26</f>
        <v>5551013439</v>
      </c>
      <c r="AR9" s="49">
        <f>AQ9-Flujo_Caja!AR8-ER_Proyecto!AR26</f>
        <v>5455893944</v>
      </c>
      <c r="AS9" s="49">
        <f>AR9-Flujo_Caja!AS8-ER_Proyecto!AS26</f>
        <v>5360774449</v>
      </c>
      <c r="AT9" s="49">
        <f>AS9-Flujo_Caja!AT8-ER_Proyecto!AT26</f>
        <v>5265654954</v>
      </c>
      <c r="AU9" s="49">
        <f>AT9-Flujo_Caja!AU8-ER_Proyecto!AU26</f>
        <v>5170535459</v>
      </c>
      <c r="AV9" s="49">
        <f>AU9-Flujo_Caja!AV8-ER_Proyecto!AV26</f>
        <v>5075415965</v>
      </c>
      <c r="AW9" s="49">
        <f>AV9-Flujo_Caja!AW8-ER_Proyecto!AW26</f>
        <v>4980296470</v>
      </c>
      <c r="AX9" s="49">
        <f>AW9-Flujo_Caja!AX8-ER_Proyecto!AX26</f>
        <v>4885176975</v>
      </c>
      <c r="AY9" s="49">
        <f>AX9-Flujo_Caja!AY8-ER_Proyecto!AY26</f>
        <v>4790057480</v>
      </c>
      <c r="AZ9" s="49">
        <f>AY9-Flujo_Caja!AZ8-ER_Proyecto!AZ26</f>
        <v>4694937985</v>
      </c>
      <c r="BA9" s="49">
        <f>AZ9-Flujo_Caja!BA8-ER_Proyecto!BA26</f>
        <v>4599818490</v>
      </c>
      <c r="BB9" s="49">
        <f>BA9-Flujo_Caja!BB8-ER_Proyecto!BB26</f>
        <v>4504698995</v>
      </c>
      <c r="BC9" s="49">
        <f>BB9-Flujo_Caja!BC8-ER_Proyecto!BC26</f>
        <v>4409579500</v>
      </c>
      <c r="BD9" s="49">
        <f>BC9-Flujo_Caja!BD8-ER_Proyecto!BD26</f>
        <v>4314460005</v>
      </c>
      <c r="BE9" s="49">
        <f>BD9-Flujo_Caja!BE8-ER_Proyecto!BE26</f>
        <v>4219340510</v>
      </c>
      <c r="BF9" s="49">
        <f>BE9-Flujo_Caja!BF8-ER_Proyecto!BF26</f>
        <v>4124221015</v>
      </c>
      <c r="BG9" s="49">
        <f>BF9-Flujo_Caja!BG8-ER_Proyecto!BG26</f>
        <v>4029101521</v>
      </c>
      <c r="BH9" s="49">
        <f>BG9-Flujo_Caja!BH8-ER_Proyecto!BH26</f>
        <v>3933982026</v>
      </c>
      <c r="BI9" s="49">
        <f>BH9-Flujo_Caja!BI8-ER_Proyecto!BI26</f>
        <v>3838862531</v>
      </c>
    </row>
    <row r="10">
      <c r="A10" s="24" t="s">
        <v>634</v>
      </c>
      <c r="B10" s="49">
        <f t="shared" ref="B10:BI10" si="1">SUM(B6:B9)</f>
        <v>1833110849</v>
      </c>
      <c r="C10" s="49">
        <f t="shared" si="1"/>
        <v>5041054835</v>
      </c>
      <c r="D10" s="49">
        <f t="shared" si="1"/>
        <v>7515754481</v>
      </c>
      <c r="E10" s="49">
        <f t="shared" si="1"/>
        <v>9165554245</v>
      </c>
      <c r="F10" s="49">
        <f t="shared" si="1"/>
        <v>10304523673</v>
      </c>
      <c r="G10" s="49">
        <f t="shared" si="1"/>
        <v>10775410242</v>
      </c>
      <c r="H10" s="49">
        <f t="shared" si="1"/>
        <v>10715090421</v>
      </c>
      <c r="I10" s="49">
        <f t="shared" si="1"/>
        <v>10719483004</v>
      </c>
      <c r="J10" s="49">
        <f t="shared" si="1"/>
        <v>10942120934</v>
      </c>
      <c r="K10" s="49">
        <f t="shared" si="1"/>
        <v>10445396817</v>
      </c>
      <c r="L10" s="49">
        <f t="shared" si="1"/>
        <v>10212202770</v>
      </c>
      <c r="M10" s="49">
        <f t="shared" si="1"/>
        <v>10323527279</v>
      </c>
      <c r="N10" s="49">
        <f t="shared" si="1"/>
        <v>10043087093</v>
      </c>
      <c r="O10" s="49">
        <f t="shared" si="1"/>
        <v>10001639340</v>
      </c>
      <c r="P10" s="49">
        <f t="shared" si="1"/>
        <v>9976275339</v>
      </c>
      <c r="Q10" s="49">
        <f t="shared" si="1"/>
        <v>9994860962</v>
      </c>
      <c r="R10" s="49">
        <f t="shared" si="1"/>
        <v>9770924577</v>
      </c>
      <c r="S10" s="49">
        <f t="shared" si="1"/>
        <v>9633976303</v>
      </c>
      <c r="T10" s="49">
        <f t="shared" si="1"/>
        <v>9573656482</v>
      </c>
      <c r="U10" s="49">
        <f t="shared" si="1"/>
        <v>9578049065</v>
      </c>
      <c r="V10" s="49">
        <f t="shared" si="1"/>
        <v>9800686995</v>
      </c>
      <c r="W10" s="49">
        <f t="shared" si="1"/>
        <v>9589804078</v>
      </c>
      <c r="X10" s="49">
        <f t="shared" si="1"/>
        <v>9873784524</v>
      </c>
      <c r="Y10" s="49">
        <f t="shared" si="1"/>
        <v>10553854302</v>
      </c>
      <c r="Z10" s="49">
        <f t="shared" si="1"/>
        <v>10794716484</v>
      </c>
      <c r="AA10" s="49">
        <f t="shared" si="1"/>
        <v>11288033952</v>
      </c>
      <c r="AB10" s="49">
        <f t="shared" si="1"/>
        <v>11816624316</v>
      </c>
      <c r="AC10" s="49">
        <f t="shared" si="1"/>
        <v>12418203302</v>
      </c>
      <c r="AD10" s="49">
        <f t="shared" si="1"/>
        <v>12743131993</v>
      </c>
      <c r="AE10" s="49">
        <f t="shared" si="1"/>
        <v>13143886443</v>
      </c>
      <c r="AF10" s="49">
        <f t="shared" si="1"/>
        <v>13632035235</v>
      </c>
      <c r="AG10" s="49">
        <f t="shared" si="1"/>
        <v>14208898744</v>
      </c>
      <c r="AH10" s="49">
        <f t="shared" si="1"/>
        <v>15083493714</v>
      </c>
      <c r="AI10" s="49">
        <f t="shared" si="1"/>
        <v>15138670521</v>
      </c>
      <c r="AJ10" s="49">
        <f t="shared" si="1"/>
        <v>15422650967</v>
      </c>
      <c r="AK10" s="49">
        <f t="shared" si="1"/>
        <v>16102720745</v>
      </c>
      <c r="AL10" s="49">
        <f t="shared" si="1"/>
        <v>16343582926</v>
      </c>
      <c r="AM10" s="49">
        <f t="shared" si="1"/>
        <v>16836900394</v>
      </c>
      <c r="AN10" s="49">
        <f t="shared" si="1"/>
        <v>17365490758</v>
      </c>
      <c r="AO10" s="49">
        <f t="shared" si="1"/>
        <v>17967069745</v>
      </c>
      <c r="AP10" s="49">
        <f t="shared" si="1"/>
        <v>18291998436</v>
      </c>
      <c r="AQ10" s="49">
        <f t="shared" si="1"/>
        <v>18692752886</v>
      </c>
      <c r="AR10" s="49">
        <f t="shared" si="1"/>
        <v>19180901678</v>
      </c>
      <c r="AS10" s="49">
        <f t="shared" si="1"/>
        <v>19757765187</v>
      </c>
      <c r="AT10" s="49">
        <f t="shared" si="1"/>
        <v>20632360157</v>
      </c>
      <c r="AU10" s="49">
        <f t="shared" si="1"/>
        <v>20687536964</v>
      </c>
      <c r="AV10" s="49">
        <f t="shared" si="1"/>
        <v>20971517409</v>
      </c>
      <c r="AW10" s="49">
        <f t="shared" si="1"/>
        <v>21651587188</v>
      </c>
      <c r="AX10" s="49">
        <f t="shared" si="1"/>
        <v>21892449369</v>
      </c>
      <c r="AY10" s="49">
        <f t="shared" si="1"/>
        <v>22385766837</v>
      </c>
      <c r="AZ10" s="49">
        <f t="shared" si="1"/>
        <v>22914357201</v>
      </c>
      <c r="BA10" s="49">
        <f t="shared" si="1"/>
        <v>23515936188</v>
      </c>
      <c r="BB10" s="49">
        <f t="shared" si="1"/>
        <v>23840864879</v>
      </c>
      <c r="BC10" s="49">
        <f t="shared" si="1"/>
        <v>24241619328</v>
      </c>
      <c r="BD10" s="49">
        <f t="shared" si="1"/>
        <v>24729768120</v>
      </c>
      <c r="BE10" s="49">
        <f t="shared" si="1"/>
        <v>25306631630</v>
      </c>
      <c r="BF10" s="49">
        <f t="shared" si="1"/>
        <v>26181226600</v>
      </c>
      <c r="BG10" s="49">
        <f t="shared" si="1"/>
        <v>26236403406</v>
      </c>
      <c r="BH10" s="49">
        <f t="shared" si="1"/>
        <v>26520383852</v>
      </c>
      <c r="BI10" s="49">
        <f t="shared" si="1"/>
        <v>27325450994</v>
      </c>
    </row>
    <row r="11">
      <c r="A11" s="47" t="s">
        <v>635</v>
      </c>
    </row>
    <row r="12">
      <c r="A12" s="22" t="s">
        <v>636</v>
      </c>
      <c r="B12" s="49">
        <f>Parametros!$B$19/30*(ER_Proyecto!B18-ER_Proyecto!B10)</f>
        <v>0</v>
      </c>
      <c r="C12" s="49">
        <f>Parametros!$B$19/30*(ER_Proyecto!C18-ER_Proyecto!C10)</f>
        <v>0</v>
      </c>
      <c r="D12" s="49">
        <f>Parametros!$B$19/30*(ER_Proyecto!D18-ER_Proyecto!D10)</f>
        <v>0</v>
      </c>
      <c r="E12" s="49">
        <f>Parametros!$B$19/30*(ER_Proyecto!E18-ER_Proyecto!E10)</f>
        <v>0</v>
      </c>
      <c r="F12" s="49">
        <f>Parametros!$B$19/30*(ER_Proyecto!F18-ER_Proyecto!F10)</f>
        <v>602123158.8</v>
      </c>
      <c r="G12" s="49">
        <f>Parametros!$B$19/30*(ER_Proyecto!G18-ER_Proyecto!G10)</f>
        <v>878892564.2</v>
      </c>
      <c r="H12" s="49">
        <f>Parametros!$B$19/30*(ER_Proyecto!H18-ER_Proyecto!H10)</f>
        <v>893999678.7</v>
      </c>
      <c r="I12" s="49">
        <f>Parametros!$B$19/30*(ER_Proyecto!I18-ER_Proyecto!I10)</f>
        <v>943456691.8</v>
      </c>
      <c r="J12" s="49">
        <f>Parametros!$B$19/30*(ER_Proyecto!J18-ER_Proyecto!J10)</f>
        <v>1098758132</v>
      </c>
      <c r="K12" s="49">
        <f>Parametros!$B$19/30*(ER_Proyecto!K18-ER_Proyecto!K10)</f>
        <v>902104255.6</v>
      </c>
      <c r="L12" s="49">
        <f>Parametros!$B$19/30*(ER_Proyecto!L18-ER_Proyecto!L10)</f>
        <v>834794335.2</v>
      </c>
      <c r="M12" s="49">
        <f>Parametros!$B$19/30*(ER_Proyecto!M18-ER_Proyecto!M10)</f>
        <v>935757341.2</v>
      </c>
      <c r="N12" s="49">
        <f>Parametros!$B$19/30*(ER_Proyecto!N18-ER_Proyecto!N10)</f>
        <v>846184552.7</v>
      </c>
      <c r="O12" s="49">
        <f>Parametros!$B$19/30*(ER_Proyecto!O18-ER_Proyecto!O10)</f>
        <v>872382045.4</v>
      </c>
      <c r="P12" s="49">
        <f>Parametros!$B$19/30*(ER_Proyecto!P18-ER_Proyecto!P10)</f>
        <v>904869492.7</v>
      </c>
      <c r="Q12" s="49">
        <f>Parametros!$B$19/30*(ER_Proyecto!Q18-ER_Proyecto!Q10)</f>
        <v>959892229.9</v>
      </c>
      <c r="R12" s="49">
        <f>Parametros!$B$19/30*(ER_Proyecto!R18-ER_Proyecto!R10)</f>
        <v>898691281.7</v>
      </c>
      <c r="S12" s="49">
        <f>Parametros!$B$19/30*(ER_Proyecto!S18-ER_Proyecto!S10)</f>
        <v>878892564.2</v>
      </c>
      <c r="T12" s="49">
        <f>Parametros!$B$19/30*(ER_Proyecto!T18-ER_Proyecto!T10)</f>
        <v>893999678.7</v>
      </c>
      <c r="U12" s="49">
        <f>Parametros!$B$19/30*(ER_Proyecto!U18-ER_Proyecto!U10)</f>
        <v>943456691.8</v>
      </c>
      <c r="V12" s="49">
        <f>Parametros!$B$19/30*(ER_Proyecto!V18-ER_Proyecto!V10)</f>
        <v>1098758132</v>
      </c>
      <c r="W12" s="49">
        <f>Parametros!$B$19/30*(ER_Proyecto!W18-ER_Proyecto!W10)</f>
        <v>902104255.6</v>
      </c>
      <c r="X12" s="49">
        <f>Parametros!$B$19/30*(ER_Proyecto!X18-ER_Proyecto!X10)</f>
        <v>834794335.2</v>
      </c>
      <c r="Y12" s="49">
        <f>Parametros!$B$19/30*(ER_Proyecto!Y18-ER_Proyecto!Y10)</f>
        <v>935757341.2</v>
      </c>
      <c r="Z12" s="49">
        <f>Parametros!$B$19/30*(ER_Proyecto!Z18-ER_Proyecto!Z10)</f>
        <v>846184552.7</v>
      </c>
      <c r="AA12" s="49">
        <f>Parametros!$B$19/30*(ER_Proyecto!AA18-ER_Proyecto!AA10)</f>
        <v>872382045.4</v>
      </c>
      <c r="AB12" s="49">
        <f>Parametros!$B$19/30*(ER_Proyecto!AB18-ER_Proyecto!AB10)</f>
        <v>904869492.7</v>
      </c>
      <c r="AC12" s="49">
        <f>Parametros!$B$19/30*(ER_Proyecto!AC18-ER_Proyecto!AC10)</f>
        <v>959892229.9</v>
      </c>
      <c r="AD12" s="49">
        <f>Parametros!$B$19/30*(ER_Proyecto!AD18-ER_Proyecto!AD10)</f>
        <v>898691281.7</v>
      </c>
      <c r="AE12" s="49">
        <f>Parametros!$B$19/30*(ER_Proyecto!AE18-ER_Proyecto!AE10)</f>
        <v>878892564.2</v>
      </c>
      <c r="AF12" s="49">
        <f>Parametros!$B$19/30*(ER_Proyecto!AF18-ER_Proyecto!AF10)</f>
        <v>893999678.7</v>
      </c>
      <c r="AG12" s="49">
        <f>Parametros!$B$19/30*(ER_Proyecto!AG18-ER_Proyecto!AG10)</f>
        <v>943456691.8</v>
      </c>
      <c r="AH12" s="49">
        <f>Parametros!$B$19/30*(ER_Proyecto!AH18-ER_Proyecto!AH10)</f>
        <v>1098758132</v>
      </c>
      <c r="AI12" s="49">
        <f>Parametros!$B$19/30*(ER_Proyecto!AI18-ER_Proyecto!AI10)</f>
        <v>902104255.6</v>
      </c>
      <c r="AJ12" s="49">
        <f>Parametros!$B$19/30*(ER_Proyecto!AJ18-ER_Proyecto!AJ10)</f>
        <v>834794335.2</v>
      </c>
      <c r="AK12" s="49">
        <f>Parametros!$B$19/30*(ER_Proyecto!AK18-ER_Proyecto!AK10)</f>
        <v>935757341.2</v>
      </c>
      <c r="AL12" s="49">
        <f>Parametros!$B$19/30*(ER_Proyecto!AL18-ER_Proyecto!AL10)</f>
        <v>846184552.7</v>
      </c>
      <c r="AM12" s="49">
        <f>Parametros!$B$19/30*(ER_Proyecto!AM18-ER_Proyecto!AM10)</f>
        <v>872382045.4</v>
      </c>
      <c r="AN12" s="49">
        <f>Parametros!$B$19/30*(ER_Proyecto!AN18-ER_Proyecto!AN10)</f>
        <v>904869492.7</v>
      </c>
      <c r="AO12" s="49">
        <f>Parametros!$B$19/30*(ER_Proyecto!AO18-ER_Proyecto!AO10)</f>
        <v>959892229.9</v>
      </c>
      <c r="AP12" s="49">
        <f>Parametros!$B$19/30*(ER_Proyecto!AP18-ER_Proyecto!AP10)</f>
        <v>898691281.7</v>
      </c>
      <c r="AQ12" s="49">
        <f>Parametros!$B$19/30*(ER_Proyecto!AQ18-ER_Proyecto!AQ10)</f>
        <v>878892564.2</v>
      </c>
      <c r="AR12" s="49">
        <f>Parametros!$B$19/30*(ER_Proyecto!AR18-ER_Proyecto!AR10)</f>
        <v>893999678.7</v>
      </c>
      <c r="AS12" s="49">
        <f>Parametros!$B$19/30*(ER_Proyecto!AS18-ER_Proyecto!AS10)</f>
        <v>943456691.8</v>
      </c>
      <c r="AT12" s="49">
        <f>Parametros!$B$19/30*(ER_Proyecto!AT18-ER_Proyecto!AT10)</f>
        <v>1098758132</v>
      </c>
      <c r="AU12" s="49">
        <f>Parametros!$B$19/30*(ER_Proyecto!AU18-ER_Proyecto!AU10)</f>
        <v>902104255.6</v>
      </c>
      <c r="AV12" s="49">
        <f>Parametros!$B$19/30*(ER_Proyecto!AV18-ER_Proyecto!AV10)</f>
        <v>834794335.2</v>
      </c>
      <c r="AW12" s="49">
        <f>Parametros!$B$19/30*(ER_Proyecto!AW18-ER_Proyecto!AW10)</f>
        <v>935757341.2</v>
      </c>
      <c r="AX12" s="49">
        <f>Parametros!$B$19/30*(ER_Proyecto!AX18-ER_Proyecto!AX10)</f>
        <v>846184552.7</v>
      </c>
      <c r="AY12" s="49">
        <f>Parametros!$B$19/30*(ER_Proyecto!AY18-ER_Proyecto!AY10)</f>
        <v>872382045.4</v>
      </c>
      <c r="AZ12" s="49">
        <f>Parametros!$B$19/30*(ER_Proyecto!AZ18-ER_Proyecto!AZ10)</f>
        <v>904869492.7</v>
      </c>
      <c r="BA12" s="49">
        <f>Parametros!$B$19/30*(ER_Proyecto!BA18-ER_Proyecto!BA10)</f>
        <v>959892229.9</v>
      </c>
      <c r="BB12" s="49">
        <f>Parametros!$B$19/30*(ER_Proyecto!BB18-ER_Proyecto!BB10)</f>
        <v>898691281.7</v>
      </c>
      <c r="BC12" s="49">
        <f>Parametros!$B$19/30*(ER_Proyecto!BC18-ER_Proyecto!BC10)</f>
        <v>878892564.2</v>
      </c>
      <c r="BD12" s="49">
        <f>Parametros!$B$19/30*(ER_Proyecto!BD18-ER_Proyecto!BD10)</f>
        <v>893999678.7</v>
      </c>
      <c r="BE12" s="49">
        <f>Parametros!$B$19/30*(ER_Proyecto!BE18-ER_Proyecto!BE10)</f>
        <v>943456691.8</v>
      </c>
      <c r="BF12" s="49">
        <f>Parametros!$B$19/30*(ER_Proyecto!BF18-ER_Proyecto!BF10)</f>
        <v>1098758132</v>
      </c>
      <c r="BG12" s="49">
        <f>Parametros!$B$19/30*(ER_Proyecto!BG18-ER_Proyecto!BG10)</f>
        <v>902104255.6</v>
      </c>
      <c r="BH12" s="49">
        <f>Parametros!$B$19/30*(ER_Proyecto!BH18-ER_Proyecto!BH10)</f>
        <v>834794335.2</v>
      </c>
      <c r="BI12" s="49">
        <f>Parametros!$B$19/30*(ER_Proyecto!BI18-ER_Proyecto!BI10)</f>
        <v>935757341.2</v>
      </c>
    </row>
    <row r="13">
      <c r="A13" s="22" t="s">
        <v>637</v>
      </c>
      <c r="B13" s="49">
        <f>ER_Proyecto!B28</f>
        <v>0</v>
      </c>
      <c r="C13" s="49">
        <f>ER_Proyecto!C28</f>
        <v>0</v>
      </c>
      <c r="D13" s="49">
        <f>ER_Proyecto!D28</f>
        <v>0</v>
      </c>
      <c r="E13" s="49">
        <f>ER_Proyecto!E28</f>
        <v>0</v>
      </c>
      <c r="F13" s="49">
        <f>ER_Proyecto!F28</f>
        <v>149218324.7</v>
      </c>
      <c r="G13" s="49">
        <f>ER_Proyecto!G28</f>
        <v>238314045.9</v>
      </c>
      <c r="H13" s="49">
        <f>ER_Proyecto!H28</f>
        <v>244111063.8</v>
      </c>
      <c r="I13" s="49">
        <f>ER_Proyecto!I28</f>
        <v>257035386.2</v>
      </c>
      <c r="J13" s="49">
        <f>ER_Proyecto!J28</f>
        <v>299835601</v>
      </c>
      <c r="K13" s="49">
        <f>ER_Proyecto!K28</f>
        <v>245959231</v>
      </c>
      <c r="L13" s="49">
        <f>ER_Proyecto!L28</f>
        <v>227260383.3</v>
      </c>
      <c r="M13" s="49">
        <f>ER_Proyecto!M28</f>
        <v>255029263.2</v>
      </c>
      <c r="N13" s="49">
        <f>ER_Proyecto!N28</f>
        <v>229483085</v>
      </c>
      <c r="O13" s="49">
        <f>ER_Proyecto!O28</f>
        <v>236732314.2</v>
      </c>
      <c r="P13" s="49">
        <f>ER_Proyecto!P28</f>
        <v>247064930.2</v>
      </c>
      <c r="Q13" s="49">
        <f>ER_Proyecto!Q28</f>
        <v>262701313.6</v>
      </c>
      <c r="R13" s="49">
        <f>ER_Proyecto!R28</f>
        <v>244324544</v>
      </c>
      <c r="S13" s="49">
        <f>ER_Proyecto!S28</f>
        <v>238314045.9</v>
      </c>
      <c r="T13" s="49">
        <f>ER_Proyecto!T28</f>
        <v>244111063.8</v>
      </c>
      <c r="U13" s="49">
        <f>ER_Proyecto!U28</f>
        <v>257035386.2</v>
      </c>
      <c r="V13" s="49">
        <f>ER_Proyecto!V28</f>
        <v>299835601</v>
      </c>
      <c r="W13" s="49">
        <f>ER_Proyecto!W28</f>
        <v>245959231</v>
      </c>
      <c r="X13" s="49">
        <f>ER_Proyecto!X28</f>
        <v>227260383.3</v>
      </c>
      <c r="Y13" s="49">
        <f>ER_Proyecto!Y28</f>
        <v>255029263.2</v>
      </c>
      <c r="Z13" s="49">
        <f>ER_Proyecto!Z28</f>
        <v>229483085</v>
      </c>
      <c r="AA13" s="49">
        <f>ER_Proyecto!AA28</f>
        <v>236732314.2</v>
      </c>
      <c r="AB13" s="49">
        <f>ER_Proyecto!AB28</f>
        <v>247064930.2</v>
      </c>
      <c r="AC13" s="49">
        <f>ER_Proyecto!AC28</f>
        <v>262701313.6</v>
      </c>
      <c r="AD13" s="49">
        <f>ER_Proyecto!AD28</f>
        <v>244324544</v>
      </c>
      <c r="AE13" s="49">
        <f>ER_Proyecto!AE28</f>
        <v>238314045.9</v>
      </c>
      <c r="AF13" s="49">
        <f>ER_Proyecto!AF28</f>
        <v>244111063.8</v>
      </c>
      <c r="AG13" s="49">
        <f>ER_Proyecto!AG28</f>
        <v>257035386.2</v>
      </c>
      <c r="AH13" s="49">
        <f>ER_Proyecto!AH28</f>
        <v>299835601</v>
      </c>
      <c r="AI13" s="49">
        <f>ER_Proyecto!AI28</f>
        <v>245959231</v>
      </c>
      <c r="AJ13" s="49">
        <f>ER_Proyecto!AJ28</f>
        <v>227260383.3</v>
      </c>
      <c r="AK13" s="49">
        <f>ER_Proyecto!AK28</f>
        <v>255029263.2</v>
      </c>
      <c r="AL13" s="49">
        <f>ER_Proyecto!AL28</f>
        <v>229483085</v>
      </c>
      <c r="AM13" s="49">
        <f>ER_Proyecto!AM28</f>
        <v>236732314.2</v>
      </c>
      <c r="AN13" s="49">
        <f>ER_Proyecto!AN28</f>
        <v>247064930.2</v>
      </c>
      <c r="AO13" s="49">
        <f>ER_Proyecto!AO28</f>
        <v>262701313.6</v>
      </c>
      <c r="AP13" s="49">
        <f>ER_Proyecto!AP28</f>
        <v>244324544</v>
      </c>
      <c r="AQ13" s="49">
        <f>ER_Proyecto!AQ28</f>
        <v>238314045.9</v>
      </c>
      <c r="AR13" s="49">
        <f>ER_Proyecto!AR28</f>
        <v>244111063.8</v>
      </c>
      <c r="AS13" s="49">
        <f>ER_Proyecto!AS28</f>
        <v>257035386.2</v>
      </c>
      <c r="AT13" s="49">
        <f>ER_Proyecto!AT28</f>
        <v>299835601</v>
      </c>
      <c r="AU13" s="49">
        <f>ER_Proyecto!AU28</f>
        <v>245959231</v>
      </c>
      <c r="AV13" s="49">
        <f>ER_Proyecto!AV28</f>
        <v>227260383.3</v>
      </c>
      <c r="AW13" s="49">
        <f>ER_Proyecto!AW28</f>
        <v>255029263.2</v>
      </c>
      <c r="AX13" s="49">
        <f>ER_Proyecto!AX28</f>
        <v>229483085</v>
      </c>
      <c r="AY13" s="49">
        <f>ER_Proyecto!AY28</f>
        <v>236732314.2</v>
      </c>
      <c r="AZ13" s="49">
        <f>ER_Proyecto!AZ28</f>
        <v>247064930.2</v>
      </c>
      <c r="BA13" s="49">
        <f>ER_Proyecto!BA28</f>
        <v>262701313.6</v>
      </c>
      <c r="BB13" s="49">
        <f>ER_Proyecto!BB28</f>
        <v>244324544</v>
      </c>
      <c r="BC13" s="49">
        <f>ER_Proyecto!BC28</f>
        <v>238314045.9</v>
      </c>
      <c r="BD13" s="49">
        <f>ER_Proyecto!BD28</f>
        <v>244111063.8</v>
      </c>
      <c r="BE13" s="49">
        <f>ER_Proyecto!BE28</f>
        <v>257035386.2</v>
      </c>
      <c r="BF13" s="49">
        <f>ER_Proyecto!BF28</f>
        <v>299835601</v>
      </c>
      <c r="BG13" s="49">
        <f>ER_Proyecto!BG28</f>
        <v>245959231</v>
      </c>
      <c r="BH13" s="49">
        <f>ER_Proyecto!BH28</f>
        <v>227260383.3</v>
      </c>
      <c r="BI13" s="49">
        <f>ER_Proyecto!BI28</f>
        <v>255029263.2</v>
      </c>
    </row>
    <row r="14">
      <c r="A14" s="24" t="s">
        <v>638</v>
      </c>
      <c r="B14" s="49">
        <f t="shared" ref="B14:BI14" si="2">B12+B13</f>
        <v>0</v>
      </c>
      <c r="C14" s="49">
        <f t="shared" si="2"/>
        <v>0</v>
      </c>
      <c r="D14" s="49">
        <f t="shared" si="2"/>
        <v>0</v>
      </c>
      <c r="E14" s="49">
        <f t="shared" si="2"/>
        <v>0</v>
      </c>
      <c r="F14" s="49">
        <f t="shared" si="2"/>
        <v>751341483.5</v>
      </c>
      <c r="G14" s="49">
        <f t="shared" si="2"/>
        <v>1117206610</v>
      </c>
      <c r="H14" s="49">
        <f t="shared" si="2"/>
        <v>1138110743</v>
      </c>
      <c r="I14" s="49">
        <f t="shared" si="2"/>
        <v>1200492078</v>
      </c>
      <c r="J14" s="49">
        <f t="shared" si="2"/>
        <v>1398593734</v>
      </c>
      <c r="K14" s="49">
        <f t="shared" si="2"/>
        <v>1148063487</v>
      </c>
      <c r="L14" s="49">
        <f t="shared" si="2"/>
        <v>1062054719</v>
      </c>
      <c r="M14" s="49">
        <f t="shared" si="2"/>
        <v>1190786604</v>
      </c>
      <c r="N14" s="49">
        <f t="shared" si="2"/>
        <v>1075667638</v>
      </c>
      <c r="O14" s="49">
        <f t="shared" si="2"/>
        <v>1109114360</v>
      </c>
      <c r="P14" s="49">
        <f t="shared" si="2"/>
        <v>1151934423</v>
      </c>
      <c r="Q14" s="49">
        <f t="shared" si="2"/>
        <v>1222593543</v>
      </c>
      <c r="R14" s="49">
        <f t="shared" si="2"/>
        <v>1143015826</v>
      </c>
      <c r="S14" s="49">
        <f t="shared" si="2"/>
        <v>1117206610</v>
      </c>
      <c r="T14" s="49">
        <f t="shared" si="2"/>
        <v>1138110743</v>
      </c>
      <c r="U14" s="49">
        <f t="shared" si="2"/>
        <v>1200492078</v>
      </c>
      <c r="V14" s="49">
        <f t="shared" si="2"/>
        <v>1398593734</v>
      </c>
      <c r="W14" s="49">
        <f t="shared" si="2"/>
        <v>1148063487</v>
      </c>
      <c r="X14" s="49">
        <f t="shared" si="2"/>
        <v>1062054719</v>
      </c>
      <c r="Y14" s="49">
        <f t="shared" si="2"/>
        <v>1190786604</v>
      </c>
      <c r="Z14" s="49">
        <f t="shared" si="2"/>
        <v>1075667638</v>
      </c>
      <c r="AA14" s="49">
        <f t="shared" si="2"/>
        <v>1109114360</v>
      </c>
      <c r="AB14" s="49">
        <f t="shared" si="2"/>
        <v>1151934423</v>
      </c>
      <c r="AC14" s="49">
        <f t="shared" si="2"/>
        <v>1222593543</v>
      </c>
      <c r="AD14" s="49">
        <f t="shared" si="2"/>
        <v>1143015826</v>
      </c>
      <c r="AE14" s="49">
        <f t="shared" si="2"/>
        <v>1117206610</v>
      </c>
      <c r="AF14" s="49">
        <f t="shared" si="2"/>
        <v>1138110743</v>
      </c>
      <c r="AG14" s="49">
        <f t="shared" si="2"/>
        <v>1200492078</v>
      </c>
      <c r="AH14" s="49">
        <f t="shared" si="2"/>
        <v>1398593734</v>
      </c>
      <c r="AI14" s="49">
        <f t="shared" si="2"/>
        <v>1148063487</v>
      </c>
      <c r="AJ14" s="49">
        <f t="shared" si="2"/>
        <v>1062054719</v>
      </c>
      <c r="AK14" s="49">
        <f t="shared" si="2"/>
        <v>1190786604</v>
      </c>
      <c r="AL14" s="49">
        <f t="shared" si="2"/>
        <v>1075667638</v>
      </c>
      <c r="AM14" s="49">
        <f t="shared" si="2"/>
        <v>1109114360</v>
      </c>
      <c r="AN14" s="49">
        <f t="shared" si="2"/>
        <v>1151934423</v>
      </c>
      <c r="AO14" s="49">
        <f t="shared" si="2"/>
        <v>1222593543</v>
      </c>
      <c r="AP14" s="49">
        <f t="shared" si="2"/>
        <v>1143015826</v>
      </c>
      <c r="AQ14" s="49">
        <f t="shared" si="2"/>
        <v>1117206610</v>
      </c>
      <c r="AR14" s="49">
        <f t="shared" si="2"/>
        <v>1138110743</v>
      </c>
      <c r="AS14" s="49">
        <f t="shared" si="2"/>
        <v>1200492078</v>
      </c>
      <c r="AT14" s="49">
        <f t="shared" si="2"/>
        <v>1398593734</v>
      </c>
      <c r="AU14" s="49">
        <f t="shared" si="2"/>
        <v>1148063487</v>
      </c>
      <c r="AV14" s="49">
        <f t="shared" si="2"/>
        <v>1062054719</v>
      </c>
      <c r="AW14" s="49">
        <f t="shared" si="2"/>
        <v>1190786604</v>
      </c>
      <c r="AX14" s="49">
        <f t="shared" si="2"/>
        <v>1075667638</v>
      </c>
      <c r="AY14" s="49">
        <f t="shared" si="2"/>
        <v>1109114360</v>
      </c>
      <c r="AZ14" s="49">
        <f t="shared" si="2"/>
        <v>1151934423</v>
      </c>
      <c r="BA14" s="49">
        <f t="shared" si="2"/>
        <v>1222593543</v>
      </c>
      <c r="BB14" s="49">
        <f t="shared" si="2"/>
        <v>1143015826</v>
      </c>
      <c r="BC14" s="49">
        <f t="shared" si="2"/>
        <v>1117206610</v>
      </c>
      <c r="BD14" s="49">
        <f t="shared" si="2"/>
        <v>1138110743</v>
      </c>
      <c r="BE14" s="49">
        <f t="shared" si="2"/>
        <v>1200492078</v>
      </c>
      <c r="BF14" s="49">
        <f t="shared" si="2"/>
        <v>1398593734</v>
      </c>
      <c r="BG14" s="49">
        <f t="shared" si="2"/>
        <v>1148063487</v>
      </c>
      <c r="BH14" s="49">
        <f t="shared" si="2"/>
        <v>1062054719</v>
      </c>
      <c r="BI14" s="49">
        <f t="shared" si="2"/>
        <v>1190786604</v>
      </c>
    </row>
    <row r="15">
      <c r="A15" s="22" t="s">
        <v>639</v>
      </c>
      <c r="B15" s="49">
        <f t="shared" ref="B15:BI15" si="3">B10-B14</f>
        <v>1833110849</v>
      </c>
      <c r="C15" s="49">
        <f t="shared" si="3"/>
        <v>5041054835</v>
      </c>
      <c r="D15" s="49">
        <f t="shared" si="3"/>
        <v>7515754481</v>
      </c>
      <c r="E15" s="49">
        <f t="shared" si="3"/>
        <v>9165554245</v>
      </c>
      <c r="F15" s="49">
        <f t="shared" si="3"/>
        <v>9553182190</v>
      </c>
      <c r="G15" s="49">
        <f t="shared" si="3"/>
        <v>9658203632</v>
      </c>
      <c r="H15" s="49">
        <f t="shared" si="3"/>
        <v>9576979678</v>
      </c>
      <c r="I15" s="49">
        <f t="shared" si="3"/>
        <v>9518990926</v>
      </c>
      <c r="J15" s="49">
        <f t="shared" si="3"/>
        <v>9543527200</v>
      </c>
      <c r="K15" s="49">
        <f t="shared" si="3"/>
        <v>9297333330</v>
      </c>
      <c r="L15" s="49">
        <f t="shared" si="3"/>
        <v>9150148051</v>
      </c>
      <c r="M15" s="49">
        <f t="shared" si="3"/>
        <v>9132740674</v>
      </c>
      <c r="N15" s="49">
        <f t="shared" si="3"/>
        <v>8967419455</v>
      </c>
      <c r="O15" s="49">
        <f t="shared" si="3"/>
        <v>8892524980</v>
      </c>
      <c r="P15" s="49">
        <f t="shared" si="3"/>
        <v>8824340916</v>
      </c>
      <c r="Q15" s="49">
        <f t="shared" si="3"/>
        <v>8772267419</v>
      </c>
      <c r="R15" s="49">
        <f t="shared" si="3"/>
        <v>8627908751</v>
      </c>
      <c r="S15" s="49">
        <f t="shared" si="3"/>
        <v>8516769693</v>
      </c>
      <c r="T15" s="49">
        <f t="shared" si="3"/>
        <v>8435545739</v>
      </c>
      <c r="U15" s="49">
        <f t="shared" si="3"/>
        <v>8377556987</v>
      </c>
      <c r="V15" s="49">
        <f t="shared" si="3"/>
        <v>8402093262</v>
      </c>
      <c r="W15" s="49">
        <f t="shared" si="3"/>
        <v>8441740591</v>
      </c>
      <c r="X15" s="49">
        <f t="shared" si="3"/>
        <v>8811729805</v>
      </c>
      <c r="Y15" s="49">
        <f t="shared" si="3"/>
        <v>9363067698</v>
      </c>
      <c r="Z15" s="49">
        <f t="shared" si="3"/>
        <v>9719048846</v>
      </c>
      <c r="AA15" s="49">
        <f t="shared" si="3"/>
        <v>10178919592</v>
      </c>
      <c r="AB15" s="49">
        <f t="shared" si="3"/>
        <v>10664689893</v>
      </c>
      <c r="AC15" s="49">
        <f t="shared" si="3"/>
        <v>11195609759</v>
      </c>
      <c r="AD15" s="49">
        <f t="shared" si="3"/>
        <v>11600116168</v>
      </c>
      <c r="AE15" s="49">
        <f t="shared" si="3"/>
        <v>12026679833</v>
      </c>
      <c r="AF15" s="49">
        <f t="shared" si="3"/>
        <v>12493924492</v>
      </c>
      <c r="AG15" s="49">
        <f t="shared" si="3"/>
        <v>13008406666</v>
      </c>
      <c r="AH15" s="49">
        <f t="shared" si="3"/>
        <v>13684899981</v>
      </c>
      <c r="AI15" s="49">
        <f t="shared" si="3"/>
        <v>13990607034</v>
      </c>
      <c r="AJ15" s="49">
        <f t="shared" si="3"/>
        <v>14360596248</v>
      </c>
      <c r="AK15" s="49">
        <f t="shared" si="3"/>
        <v>14911934141</v>
      </c>
      <c r="AL15" s="49">
        <f t="shared" si="3"/>
        <v>15267915289</v>
      </c>
      <c r="AM15" s="49">
        <f t="shared" si="3"/>
        <v>15727786035</v>
      </c>
      <c r="AN15" s="49">
        <f t="shared" si="3"/>
        <v>16213556335</v>
      </c>
      <c r="AO15" s="49">
        <f t="shared" si="3"/>
        <v>16744476202</v>
      </c>
      <c r="AP15" s="49">
        <f t="shared" si="3"/>
        <v>17148982610</v>
      </c>
      <c r="AQ15" s="49">
        <f t="shared" si="3"/>
        <v>17575546275</v>
      </c>
      <c r="AR15" s="49">
        <f t="shared" si="3"/>
        <v>18042790935</v>
      </c>
      <c r="AS15" s="49">
        <f t="shared" si="3"/>
        <v>18557273109</v>
      </c>
      <c r="AT15" s="49">
        <f t="shared" si="3"/>
        <v>19233766423</v>
      </c>
      <c r="AU15" s="49">
        <f t="shared" si="3"/>
        <v>19539473477</v>
      </c>
      <c r="AV15" s="49">
        <f t="shared" si="3"/>
        <v>19909462691</v>
      </c>
      <c r="AW15" s="49">
        <f t="shared" si="3"/>
        <v>20460800583</v>
      </c>
      <c r="AX15" s="49">
        <f t="shared" si="3"/>
        <v>20816781732</v>
      </c>
      <c r="AY15" s="49">
        <f t="shared" si="3"/>
        <v>21276652478</v>
      </c>
      <c r="AZ15" s="49">
        <f t="shared" si="3"/>
        <v>21762422778</v>
      </c>
      <c r="BA15" s="49">
        <f t="shared" si="3"/>
        <v>22293342645</v>
      </c>
      <c r="BB15" s="49">
        <f t="shared" si="3"/>
        <v>22697849053</v>
      </c>
      <c r="BC15" s="49">
        <f t="shared" si="3"/>
        <v>23124412718</v>
      </c>
      <c r="BD15" s="49">
        <f t="shared" si="3"/>
        <v>23591657378</v>
      </c>
      <c r="BE15" s="49">
        <f t="shared" si="3"/>
        <v>24106139552</v>
      </c>
      <c r="BF15" s="49">
        <f t="shared" si="3"/>
        <v>24782632866</v>
      </c>
      <c r="BG15" s="49">
        <f t="shared" si="3"/>
        <v>25088339920</v>
      </c>
      <c r="BH15" s="49">
        <f t="shared" si="3"/>
        <v>25458329134</v>
      </c>
      <c r="BI15" s="49">
        <f t="shared" si="3"/>
        <v>26134664389</v>
      </c>
    </row>
    <row r="16">
      <c r="A16" s="24" t="s">
        <v>640</v>
      </c>
      <c r="B16" s="128">
        <f t="shared" ref="B16:BI16" si="4">B10-B14-B15</f>
        <v>0</v>
      </c>
      <c r="C16" s="128">
        <f t="shared" si="4"/>
        <v>0</v>
      </c>
      <c r="D16" s="128">
        <f t="shared" si="4"/>
        <v>0</v>
      </c>
      <c r="E16" s="128">
        <f t="shared" si="4"/>
        <v>0</v>
      </c>
      <c r="F16" s="128">
        <f t="shared" si="4"/>
        <v>0</v>
      </c>
      <c r="G16" s="128">
        <f t="shared" si="4"/>
        <v>0</v>
      </c>
      <c r="H16" s="128">
        <f t="shared" si="4"/>
        <v>0</v>
      </c>
      <c r="I16" s="128">
        <f t="shared" si="4"/>
        <v>0</v>
      </c>
      <c r="J16" s="128">
        <f t="shared" si="4"/>
        <v>0</v>
      </c>
      <c r="K16" s="128">
        <f t="shared" si="4"/>
        <v>0</v>
      </c>
      <c r="L16" s="128">
        <f t="shared" si="4"/>
        <v>0</v>
      </c>
      <c r="M16" s="128">
        <f t="shared" si="4"/>
        <v>0</v>
      </c>
      <c r="N16" s="128">
        <f t="shared" si="4"/>
        <v>0</v>
      </c>
      <c r="O16" s="128">
        <f t="shared" si="4"/>
        <v>0</v>
      </c>
      <c r="P16" s="128">
        <f t="shared" si="4"/>
        <v>0</v>
      </c>
      <c r="Q16" s="128">
        <f t="shared" si="4"/>
        <v>0</v>
      </c>
      <c r="R16" s="128">
        <f t="shared" si="4"/>
        <v>0</v>
      </c>
      <c r="S16" s="128">
        <f t="shared" si="4"/>
        <v>0</v>
      </c>
      <c r="T16" s="128">
        <f t="shared" si="4"/>
        <v>0</v>
      </c>
      <c r="U16" s="128">
        <f t="shared" si="4"/>
        <v>0</v>
      </c>
      <c r="V16" s="128">
        <f t="shared" si="4"/>
        <v>0</v>
      </c>
      <c r="W16" s="128">
        <f t="shared" si="4"/>
        <v>0</v>
      </c>
      <c r="X16" s="128">
        <f t="shared" si="4"/>
        <v>0</v>
      </c>
      <c r="Y16" s="128">
        <f t="shared" si="4"/>
        <v>0</v>
      </c>
      <c r="Z16" s="128">
        <f t="shared" si="4"/>
        <v>0</v>
      </c>
      <c r="AA16" s="128">
        <f t="shared" si="4"/>
        <v>0</v>
      </c>
      <c r="AB16" s="128">
        <f t="shared" si="4"/>
        <v>0</v>
      </c>
      <c r="AC16" s="128">
        <f t="shared" si="4"/>
        <v>0</v>
      </c>
      <c r="AD16" s="128">
        <f t="shared" si="4"/>
        <v>0</v>
      </c>
      <c r="AE16" s="128">
        <f t="shared" si="4"/>
        <v>0</v>
      </c>
      <c r="AF16" s="128">
        <f t="shared" si="4"/>
        <v>0</v>
      </c>
      <c r="AG16" s="128">
        <f t="shared" si="4"/>
        <v>0</v>
      </c>
      <c r="AH16" s="128">
        <f t="shared" si="4"/>
        <v>0</v>
      </c>
      <c r="AI16" s="128">
        <f t="shared" si="4"/>
        <v>0</v>
      </c>
      <c r="AJ16" s="128">
        <f t="shared" si="4"/>
        <v>0</v>
      </c>
      <c r="AK16" s="128">
        <f t="shared" si="4"/>
        <v>0</v>
      </c>
      <c r="AL16" s="128">
        <f t="shared" si="4"/>
        <v>0</v>
      </c>
      <c r="AM16" s="128">
        <f t="shared" si="4"/>
        <v>0</v>
      </c>
      <c r="AN16" s="128">
        <f t="shared" si="4"/>
        <v>0</v>
      </c>
      <c r="AO16" s="128">
        <f t="shared" si="4"/>
        <v>0</v>
      </c>
      <c r="AP16" s="128">
        <f t="shared" si="4"/>
        <v>0</v>
      </c>
      <c r="AQ16" s="128">
        <f t="shared" si="4"/>
        <v>0</v>
      </c>
      <c r="AR16" s="128">
        <f t="shared" si="4"/>
        <v>0</v>
      </c>
      <c r="AS16" s="128">
        <f t="shared" si="4"/>
        <v>0</v>
      </c>
      <c r="AT16" s="128">
        <f t="shared" si="4"/>
        <v>0</v>
      </c>
      <c r="AU16" s="128">
        <f t="shared" si="4"/>
        <v>0</v>
      </c>
      <c r="AV16" s="128">
        <f t="shared" si="4"/>
        <v>0</v>
      </c>
      <c r="AW16" s="128">
        <f t="shared" si="4"/>
        <v>0</v>
      </c>
      <c r="AX16" s="128">
        <f t="shared" si="4"/>
        <v>0</v>
      </c>
      <c r="AY16" s="128">
        <f t="shared" si="4"/>
        <v>0</v>
      </c>
      <c r="AZ16" s="128">
        <f t="shared" si="4"/>
        <v>0</v>
      </c>
      <c r="BA16" s="128">
        <f t="shared" si="4"/>
        <v>0</v>
      </c>
      <c r="BB16" s="128">
        <f t="shared" si="4"/>
        <v>0</v>
      </c>
      <c r="BC16" s="128">
        <f t="shared" si="4"/>
        <v>0</v>
      </c>
      <c r="BD16" s="128">
        <f t="shared" si="4"/>
        <v>0</v>
      </c>
      <c r="BE16" s="128">
        <f t="shared" si="4"/>
        <v>0</v>
      </c>
      <c r="BF16" s="128">
        <f t="shared" si="4"/>
        <v>0</v>
      </c>
      <c r="BG16" s="128">
        <f t="shared" si="4"/>
        <v>0</v>
      </c>
      <c r="BH16" s="128">
        <f t="shared" si="4"/>
        <v>0</v>
      </c>
      <c r="BI16" s="128">
        <f t="shared" si="4"/>
        <v>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6.0"/>
    <col customWidth="1" min="2" max="61" width="13.43"/>
  </cols>
  <sheetData>
    <row r="1">
      <c r="A1" s="10" t="s">
        <v>641</v>
      </c>
    </row>
    <row r="2">
      <c r="A2" s="11" t="s">
        <v>642</v>
      </c>
    </row>
    <row r="3">
      <c r="A3" s="22" t="s">
        <v>614</v>
      </c>
      <c r="B3" s="123">
        <f>(1+Parametros!$B$7)^(1/12)-1</f>
        <v>0.01388843035</v>
      </c>
    </row>
    <row r="5">
      <c r="A5" s="12" t="s">
        <v>236</v>
      </c>
      <c r="B5" s="12">
        <v>1.0</v>
      </c>
      <c r="C5" s="12">
        <v>2.0</v>
      </c>
      <c r="D5" s="12">
        <v>3.0</v>
      </c>
      <c r="E5" s="12">
        <v>4.0</v>
      </c>
      <c r="F5" s="12">
        <v>5.0</v>
      </c>
      <c r="G5" s="12">
        <v>6.0</v>
      </c>
      <c r="H5" s="12">
        <v>7.0</v>
      </c>
      <c r="I5" s="12">
        <v>8.0</v>
      </c>
      <c r="J5" s="12">
        <v>9.0</v>
      </c>
      <c r="K5" s="12">
        <v>10.0</v>
      </c>
      <c r="L5" s="12">
        <v>11.0</v>
      </c>
      <c r="M5" s="12">
        <v>12.0</v>
      </c>
      <c r="N5" s="12">
        <v>13.0</v>
      </c>
      <c r="O5" s="12">
        <v>14.0</v>
      </c>
      <c r="P5" s="12">
        <v>15.0</v>
      </c>
      <c r="Q5" s="12">
        <v>16.0</v>
      </c>
      <c r="R5" s="12">
        <v>17.0</v>
      </c>
      <c r="S5" s="12">
        <v>18.0</v>
      </c>
      <c r="T5" s="12">
        <v>19.0</v>
      </c>
      <c r="U5" s="12">
        <v>20.0</v>
      </c>
      <c r="V5" s="12">
        <v>21.0</v>
      </c>
      <c r="W5" s="12">
        <v>22.0</v>
      </c>
      <c r="X5" s="12">
        <v>23.0</v>
      </c>
      <c r="Y5" s="12">
        <v>24.0</v>
      </c>
      <c r="Z5" s="12">
        <v>25.0</v>
      </c>
      <c r="AA5" s="12">
        <v>26.0</v>
      </c>
      <c r="AB5" s="12">
        <v>27.0</v>
      </c>
      <c r="AC5" s="12">
        <v>28.0</v>
      </c>
      <c r="AD5" s="12">
        <v>29.0</v>
      </c>
      <c r="AE5" s="12">
        <v>30.0</v>
      </c>
      <c r="AF5" s="12">
        <v>31.0</v>
      </c>
      <c r="AG5" s="12">
        <v>32.0</v>
      </c>
      <c r="AH5" s="12">
        <v>33.0</v>
      </c>
      <c r="AI5" s="12">
        <v>34.0</v>
      </c>
      <c r="AJ5" s="12">
        <v>35.0</v>
      </c>
      <c r="AK5" s="12">
        <v>36.0</v>
      </c>
      <c r="AL5" s="12">
        <v>37.0</v>
      </c>
      <c r="AM5" s="12">
        <v>38.0</v>
      </c>
      <c r="AN5" s="12">
        <v>39.0</v>
      </c>
      <c r="AO5" s="12">
        <v>40.0</v>
      </c>
      <c r="AP5" s="12">
        <v>41.0</v>
      </c>
      <c r="AQ5" s="12">
        <v>42.0</v>
      </c>
      <c r="AR5" s="12">
        <v>43.0</v>
      </c>
      <c r="AS5" s="12">
        <v>44.0</v>
      </c>
      <c r="AT5" s="12">
        <v>45.0</v>
      </c>
      <c r="AU5" s="12">
        <v>46.0</v>
      </c>
      <c r="AV5" s="12">
        <v>47.0</v>
      </c>
      <c r="AW5" s="12">
        <v>48.0</v>
      </c>
      <c r="AX5" s="12">
        <v>49.0</v>
      </c>
      <c r="AY5" s="12">
        <v>50.0</v>
      </c>
      <c r="AZ5" s="12">
        <v>51.0</v>
      </c>
      <c r="BA5" s="12">
        <v>52.0</v>
      </c>
      <c r="BB5" s="12">
        <v>53.0</v>
      </c>
      <c r="BC5" s="12">
        <v>54.0</v>
      </c>
      <c r="BD5" s="12">
        <v>55.0</v>
      </c>
      <c r="BE5" s="12">
        <v>56.0</v>
      </c>
      <c r="BF5" s="12">
        <v>57.0</v>
      </c>
      <c r="BG5" s="12">
        <v>58.0</v>
      </c>
      <c r="BH5" s="12">
        <v>59.0</v>
      </c>
      <c r="BI5" s="12">
        <v>60.0</v>
      </c>
    </row>
    <row r="6">
      <c r="A6" s="22" t="s">
        <v>643</v>
      </c>
      <c r="B6" s="129" t="str">
        <f>DemandaEscenario!A5</f>
        <v>Paro nacional / choque logistico</v>
      </c>
    </row>
    <row r="7">
      <c r="A7" s="22" t="s">
        <v>644</v>
      </c>
      <c r="B7" s="48">
        <f>DemandaEscenario!$D$5+DemandaEscenario!$E$5+DemandaEscenario!$F$5</f>
        <v>18622143</v>
      </c>
      <c r="C7" s="48">
        <f>DemandaEscenario!$D$6+DemandaEscenario!$E$6+DemandaEscenario!$F$6</f>
        <v>19198679</v>
      </c>
      <c r="D7" s="48">
        <f>DemandaEscenario!$D$7+DemandaEscenario!$E$7+DemandaEscenario!$F$7</f>
        <v>20142578</v>
      </c>
      <c r="E7" s="48">
        <f>DemandaEscenario!$D$8+DemandaEscenario!$E$8+DemandaEscenario!$F$8</f>
        <v>21420752</v>
      </c>
      <c r="F7" s="48">
        <f>DemandaEscenario!$D$9+DemandaEscenario!$E$9+DemandaEscenario!$F$9</f>
        <v>16259193</v>
      </c>
      <c r="G7" s="48">
        <f>DemandaEscenario!$D$10+DemandaEscenario!$E$10+DemandaEscenario!$F$10</f>
        <v>19302102</v>
      </c>
      <c r="H7" s="48">
        <f>DemandaEscenario!$D$11+DemandaEscenario!$E$11+DemandaEscenario!$F$11</f>
        <v>20712213</v>
      </c>
      <c r="I7" s="48">
        <f>DemandaEscenario!$D$12+DemandaEscenario!$E$12+DemandaEscenario!$F$12</f>
        <v>20875025</v>
      </c>
      <c r="J7" s="48">
        <f>DemandaEscenario!$D$13+DemandaEscenario!$E$13+DemandaEscenario!$F$13</f>
        <v>24266987</v>
      </c>
      <c r="K7" s="48">
        <f>DemandaEscenario!$D$14+DemandaEscenario!$E$14+DemandaEscenario!$F$14</f>
        <v>20022727</v>
      </c>
      <c r="L7" s="48">
        <f>DemandaEscenario!$D$15+DemandaEscenario!$E$15+DemandaEscenario!$F$15</f>
        <v>18528248</v>
      </c>
      <c r="M7" s="48">
        <f>DemandaEscenario!$D$16+DemandaEscenario!$E$16+DemandaEscenario!$F$16</f>
        <v>20722501</v>
      </c>
      <c r="N7" s="48">
        <f>DemandaEscenario!$D$5*(1+Parametros!$B$10)^1+DemandaEscenario!$E$5*(1+Parametros!$B$10)^1+DemandaEscenario!$F$5*(1+Parametros!$B$10)^1</f>
        <v>18622143</v>
      </c>
      <c r="O7" s="48">
        <f>DemandaEscenario!$D$6*(1+Parametros!$B$10)^1+DemandaEscenario!$E$6*(1+Parametros!$B$10)^1+DemandaEscenario!$F$6*(1+Parametros!$B$10)^1</f>
        <v>19198679</v>
      </c>
      <c r="P7" s="48">
        <f>DemandaEscenario!$D$7*(1+Parametros!$B$10)^1+DemandaEscenario!$E$7*(1+Parametros!$B$10)^1+DemandaEscenario!$F$7*(1+Parametros!$B$10)^1</f>
        <v>20142578</v>
      </c>
      <c r="Q7" s="48">
        <f>DemandaEscenario!$D$8*(1+Parametros!$B$10)^1+DemandaEscenario!$E$8*(1+Parametros!$B$10)^1+DemandaEscenario!$F$8*(1+Parametros!$B$10)^1</f>
        <v>21420752</v>
      </c>
      <c r="R7" s="48">
        <f>DemandaEscenario!$D$9*(1+Parametros!$B$10)^1+DemandaEscenario!$E$9*(1+Parametros!$B$10)^1+DemandaEscenario!$F$9*(1+Parametros!$B$10)^1</f>
        <v>16259193</v>
      </c>
      <c r="S7" s="48">
        <f>DemandaEscenario!$D$10*(1+Parametros!$B$10)^1+DemandaEscenario!$E$10*(1+Parametros!$B$10)^1+DemandaEscenario!$F$10*(1+Parametros!$B$10)^1</f>
        <v>19302102</v>
      </c>
      <c r="T7" s="48">
        <f>DemandaEscenario!$D$11*(1+Parametros!$B$10)^1+DemandaEscenario!$E$11*(1+Parametros!$B$10)^1+DemandaEscenario!$F$11*(1+Parametros!$B$10)^1</f>
        <v>20712213</v>
      </c>
      <c r="U7" s="48">
        <f>DemandaEscenario!$D$12*(1+Parametros!$B$10)^1+DemandaEscenario!$E$12*(1+Parametros!$B$10)^1+DemandaEscenario!$F$12*(1+Parametros!$B$10)^1</f>
        <v>20875025</v>
      </c>
      <c r="V7" s="48">
        <f>DemandaEscenario!$D$13*(1+Parametros!$B$10)^1+DemandaEscenario!$E$13*(1+Parametros!$B$10)^1+DemandaEscenario!$F$13*(1+Parametros!$B$10)^1</f>
        <v>24266987</v>
      </c>
      <c r="W7" s="48">
        <f>DemandaEscenario!$D$14*(1+Parametros!$B$10)^1+DemandaEscenario!$E$14*(1+Parametros!$B$10)^1+DemandaEscenario!$F$14*(1+Parametros!$B$10)^1</f>
        <v>20022727</v>
      </c>
      <c r="X7" s="48">
        <f>DemandaEscenario!$D$15*(1+Parametros!$B$10)^1+DemandaEscenario!$E$15*(1+Parametros!$B$10)^1+DemandaEscenario!$F$15*(1+Parametros!$B$10)^1</f>
        <v>18528248</v>
      </c>
      <c r="Y7" s="48">
        <f>DemandaEscenario!$D$16*(1+Parametros!$B$10)^1+DemandaEscenario!$E$16*(1+Parametros!$B$10)^1+DemandaEscenario!$F$16*(1+Parametros!$B$10)^1</f>
        <v>20722501</v>
      </c>
      <c r="Z7" s="48">
        <f>DemandaEscenario!$D$5*(1+Parametros!$B$10)^2+DemandaEscenario!$E$5*(1+Parametros!$B$10)^2+DemandaEscenario!$F$5*(1+Parametros!$B$10)^2</f>
        <v>18622143</v>
      </c>
      <c r="AA7" s="48">
        <f>DemandaEscenario!$D$6*(1+Parametros!$B$10)^2+DemandaEscenario!$E$6*(1+Parametros!$B$10)^2+DemandaEscenario!$F$6*(1+Parametros!$B$10)^2</f>
        <v>19198679</v>
      </c>
      <c r="AB7" s="48">
        <f>DemandaEscenario!$D$7*(1+Parametros!$B$10)^2+DemandaEscenario!$E$7*(1+Parametros!$B$10)^2+DemandaEscenario!$F$7*(1+Parametros!$B$10)^2</f>
        <v>20142578</v>
      </c>
      <c r="AC7" s="48">
        <f>DemandaEscenario!$D$8*(1+Parametros!$B$10)^2+DemandaEscenario!$E$8*(1+Parametros!$B$10)^2+DemandaEscenario!$F$8*(1+Parametros!$B$10)^2</f>
        <v>21420752</v>
      </c>
      <c r="AD7" s="48">
        <f>DemandaEscenario!$D$9*(1+Parametros!$B$10)^2+DemandaEscenario!$E$9*(1+Parametros!$B$10)^2+DemandaEscenario!$F$9*(1+Parametros!$B$10)^2</f>
        <v>16259193</v>
      </c>
      <c r="AE7" s="48">
        <f>DemandaEscenario!$D$10*(1+Parametros!$B$10)^2+DemandaEscenario!$E$10*(1+Parametros!$B$10)^2+DemandaEscenario!$F$10*(1+Parametros!$B$10)^2</f>
        <v>19302102</v>
      </c>
      <c r="AF7" s="48">
        <f>DemandaEscenario!$D$11*(1+Parametros!$B$10)^2+DemandaEscenario!$E$11*(1+Parametros!$B$10)^2+DemandaEscenario!$F$11*(1+Parametros!$B$10)^2</f>
        <v>20712213</v>
      </c>
      <c r="AG7" s="48">
        <f>DemandaEscenario!$D$12*(1+Parametros!$B$10)^2+DemandaEscenario!$E$12*(1+Parametros!$B$10)^2+DemandaEscenario!$F$12*(1+Parametros!$B$10)^2</f>
        <v>20875025</v>
      </c>
      <c r="AH7" s="48">
        <f>DemandaEscenario!$D$13*(1+Parametros!$B$10)^2+DemandaEscenario!$E$13*(1+Parametros!$B$10)^2+DemandaEscenario!$F$13*(1+Parametros!$B$10)^2</f>
        <v>24266987</v>
      </c>
      <c r="AI7" s="48">
        <f>DemandaEscenario!$D$14*(1+Parametros!$B$10)^2+DemandaEscenario!$E$14*(1+Parametros!$B$10)^2+DemandaEscenario!$F$14*(1+Parametros!$B$10)^2</f>
        <v>20022727</v>
      </c>
      <c r="AJ7" s="48">
        <f>DemandaEscenario!$D$15*(1+Parametros!$B$10)^2+DemandaEscenario!$E$15*(1+Parametros!$B$10)^2+DemandaEscenario!$F$15*(1+Parametros!$B$10)^2</f>
        <v>18528248</v>
      </c>
      <c r="AK7" s="48">
        <f>DemandaEscenario!$D$16*(1+Parametros!$B$10)^2+DemandaEscenario!$E$16*(1+Parametros!$B$10)^2+DemandaEscenario!$F$16*(1+Parametros!$B$10)^2</f>
        <v>20722501</v>
      </c>
      <c r="AL7" s="48">
        <f>DemandaEscenario!$D$5*(1+Parametros!$B$10)^3+DemandaEscenario!$E$5*(1+Parametros!$B$10)^3+DemandaEscenario!$F$5*(1+Parametros!$B$10)^3</f>
        <v>18622143</v>
      </c>
      <c r="AM7" s="48">
        <f>DemandaEscenario!$D$6*(1+Parametros!$B$10)^3+DemandaEscenario!$E$6*(1+Parametros!$B$10)^3+DemandaEscenario!$F$6*(1+Parametros!$B$10)^3</f>
        <v>19198679</v>
      </c>
      <c r="AN7" s="48">
        <f>DemandaEscenario!$D$7*(1+Parametros!$B$10)^3+DemandaEscenario!$E$7*(1+Parametros!$B$10)^3+DemandaEscenario!$F$7*(1+Parametros!$B$10)^3</f>
        <v>20142578</v>
      </c>
      <c r="AO7" s="48">
        <f>DemandaEscenario!$D$8*(1+Parametros!$B$10)^3+DemandaEscenario!$E$8*(1+Parametros!$B$10)^3+DemandaEscenario!$F$8*(1+Parametros!$B$10)^3</f>
        <v>21420752</v>
      </c>
      <c r="AP7" s="48">
        <f>DemandaEscenario!$D$9*(1+Parametros!$B$10)^3+DemandaEscenario!$E$9*(1+Parametros!$B$10)^3+DemandaEscenario!$F$9*(1+Parametros!$B$10)^3</f>
        <v>16259193</v>
      </c>
      <c r="AQ7" s="48">
        <f>DemandaEscenario!$D$10*(1+Parametros!$B$10)^3+DemandaEscenario!$E$10*(1+Parametros!$B$10)^3+DemandaEscenario!$F$10*(1+Parametros!$B$10)^3</f>
        <v>19302102</v>
      </c>
      <c r="AR7" s="48">
        <f>DemandaEscenario!$D$11*(1+Parametros!$B$10)^3+DemandaEscenario!$E$11*(1+Parametros!$B$10)^3+DemandaEscenario!$F$11*(1+Parametros!$B$10)^3</f>
        <v>20712213</v>
      </c>
      <c r="AS7" s="48">
        <f>DemandaEscenario!$D$12*(1+Parametros!$B$10)^3+DemandaEscenario!$E$12*(1+Parametros!$B$10)^3+DemandaEscenario!$F$12*(1+Parametros!$B$10)^3</f>
        <v>20875025</v>
      </c>
      <c r="AT7" s="48">
        <f>DemandaEscenario!$D$13*(1+Parametros!$B$10)^3+DemandaEscenario!$E$13*(1+Parametros!$B$10)^3+DemandaEscenario!$F$13*(1+Parametros!$B$10)^3</f>
        <v>24266987</v>
      </c>
      <c r="AU7" s="48">
        <f>DemandaEscenario!$D$14*(1+Parametros!$B$10)^3+DemandaEscenario!$E$14*(1+Parametros!$B$10)^3+DemandaEscenario!$F$14*(1+Parametros!$B$10)^3</f>
        <v>20022727</v>
      </c>
      <c r="AV7" s="48">
        <f>DemandaEscenario!$D$15*(1+Parametros!$B$10)^3+DemandaEscenario!$E$15*(1+Parametros!$B$10)^3+DemandaEscenario!$F$15*(1+Parametros!$B$10)^3</f>
        <v>18528248</v>
      </c>
      <c r="AW7" s="48">
        <f>DemandaEscenario!$D$16*(1+Parametros!$B$10)^3+DemandaEscenario!$E$16*(1+Parametros!$B$10)^3+DemandaEscenario!$F$16*(1+Parametros!$B$10)^3</f>
        <v>20722501</v>
      </c>
      <c r="AX7" s="48">
        <f>DemandaEscenario!$D$5*(1+Parametros!$B$10)^4+DemandaEscenario!$E$5*(1+Parametros!$B$10)^4+DemandaEscenario!$F$5*(1+Parametros!$B$10)^4</f>
        <v>18622143</v>
      </c>
      <c r="AY7" s="48">
        <f>DemandaEscenario!$D$6*(1+Parametros!$B$10)^4+DemandaEscenario!$E$6*(1+Parametros!$B$10)^4+DemandaEscenario!$F$6*(1+Parametros!$B$10)^4</f>
        <v>19198679</v>
      </c>
      <c r="AZ7" s="48">
        <f>DemandaEscenario!$D$7*(1+Parametros!$B$10)^4+DemandaEscenario!$E$7*(1+Parametros!$B$10)^4+DemandaEscenario!$F$7*(1+Parametros!$B$10)^4</f>
        <v>20142578</v>
      </c>
      <c r="BA7" s="48">
        <f>DemandaEscenario!$D$8*(1+Parametros!$B$10)^4+DemandaEscenario!$E$8*(1+Parametros!$B$10)^4+DemandaEscenario!$F$8*(1+Parametros!$B$10)^4</f>
        <v>21420752</v>
      </c>
      <c r="BB7" s="48">
        <f>DemandaEscenario!$D$9*(1+Parametros!$B$10)^4+DemandaEscenario!$E$9*(1+Parametros!$B$10)^4+DemandaEscenario!$F$9*(1+Parametros!$B$10)^4</f>
        <v>16259193</v>
      </c>
      <c r="BC7" s="48">
        <f>DemandaEscenario!$D$10*(1+Parametros!$B$10)^4+DemandaEscenario!$E$10*(1+Parametros!$B$10)^4+DemandaEscenario!$F$10*(1+Parametros!$B$10)^4</f>
        <v>19302102</v>
      </c>
      <c r="BD7" s="48">
        <f>DemandaEscenario!$D$11*(1+Parametros!$B$10)^4+DemandaEscenario!$E$11*(1+Parametros!$B$10)^4+DemandaEscenario!$F$11*(1+Parametros!$B$10)^4</f>
        <v>20712213</v>
      </c>
      <c r="BE7" s="48">
        <f>DemandaEscenario!$D$12*(1+Parametros!$B$10)^4+DemandaEscenario!$E$12*(1+Parametros!$B$10)^4+DemandaEscenario!$F$12*(1+Parametros!$B$10)^4</f>
        <v>20875025</v>
      </c>
      <c r="BF7" s="48">
        <f>DemandaEscenario!$D$13*(1+Parametros!$B$10)^4+DemandaEscenario!$E$13*(1+Parametros!$B$10)^4+DemandaEscenario!$F$13*(1+Parametros!$B$10)^4</f>
        <v>24266987</v>
      </c>
      <c r="BG7" s="48">
        <f>DemandaEscenario!$D$14*(1+Parametros!$B$10)^4+DemandaEscenario!$E$14*(1+Parametros!$B$10)^4+DemandaEscenario!$F$14*(1+Parametros!$B$10)^4</f>
        <v>20022727</v>
      </c>
      <c r="BH7" s="48">
        <f>DemandaEscenario!$D$15*(1+Parametros!$B$10)^4+DemandaEscenario!$E$15*(1+Parametros!$B$10)^4+DemandaEscenario!$F$15*(1+Parametros!$B$10)^4</f>
        <v>18528248</v>
      </c>
      <c r="BI7" s="48">
        <f>DemandaEscenario!$D$16*(1+Parametros!$B$10)^4+DemandaEscenario!$E$16*(1+Parametros!$B$10)^4+DemandaEscenario!$F$16*(1+Parametros!$B$10)^4</f>
        <v>20722501</v>
      </c>
    </row>
    <row r="8">
      <c r="A8" s="22" t="s">
        <v>645</v>
      </c>
      <c r="B8" s="49">
        <f>DemandaEscenario!$D$5*Parametros!$B$20+DemandaEscenario!$E$5*Parametros!$B$21+DemandaEscenario!$F$5*Parametros!$B$22</f>
        <v>44132568350</v>
      </c>
      <c r="C8" s="49">
        <f>DemandaEscenario!$D$6*Parametros!$B$20+DemandaEscenario!$E$6*Parametros!$B$21+DemandaEscenario!$F$6*Parametros!$B$22</f>
        <v>45498896650</v>
      </c>
      <c r="D8" s="49">
        <f>DemandaEscenario!$D$7*Parametros!$B$20+DemandaEscenario!$E$7*Parametros!$B$21+DemandaEscenario!$F$7*Parametros!$B$22</f>
        <v>47305779900</v>
      </c>
      <c r="E8" s="49">
        <f>DemandaEscenario!$D$8*Parametros!$B$20+DemandaEscenario!$E$8*Parametros!$B$21+DemandaEscenario!$F$8*Parametros!$B$22</f>
        <v>50210008150</v>
      </c>
      <c r="F8" s="49">
        <f>DemandaEscenario!$D$9*Parametros!$B$20+DemandaEscenario!$E$9*Parametros!$B$21+DemandaEscenario!$F$9*Parametros!$B$22</f>
        <v>38455780700</v>
      </c>
      <c r="G8" s="49">
        <f>DemandaEscenario!$D$10*Parametros!$B$20+DemandaEscenario!$E$10*Parametros!$B$21+DemandaEscenario!$F$10*Parametros!$B$22</f>
        <v>45820124550</v>
      </c>
      <c r="H8" s="49">
        <f>DemandaEscenario!$D$11*Parametros!$B$20+DemandaEscenario!$E$11*Parametros!$B$21+DemandaEscenario!$F$11*Parametros!$B$22</f>
        <v>48613238450</v>
      </c>
      <c r="I8" s="49">
        <f>DemandaEscenario!$D$12*Parametros!$B$20+DemandaEscenario!$E$12*Parametros!$B$21+DemandaEscenario!$F$12*Parametros!$B$22</f>
        <v>49259134250</v>
      </c>
      <c r="J8" s="49">
        <f>DemandaEscenario!$D$13*Parametros!$B$20+DemandaEscenario!$E$13*Parametros!$B$21+DemandaEscenario!$F$13*Parametros!$B$22</f>
        <v>57344293500</v>
      </c>
      <c r="K8" s="49">
        <f>DemandaEscenario!$D$14*Parametros!$B$20+DemandaEscenario!$E$14*Parametros!$B$21+DemandaEscenario!$F$14*Parametros!$B$22</f>
        <v>47133099100</v>
      </c>
      <c r="L8" s="49">
        <f>DemandaEscenario!$D$15*Parametros!$B$20+DemandaEscenario!$E$15*Parametros!$B$21+DemandaEscenario!$F$15*Parametros!$B$22</f>
        <v>43616428950</v>
      </c>
      <c r="M8" s="49">
        <f>DemandaEscenario!$D$16*Parametros!$B$20+DemandaEscenario!$E$16*Parametros!$B$21+DemandaEscenario!$F$16*Parametros!$B$22</f>
        <v>48867980250</v>
      </c>
      <c r="N8" s="49">
        <f>DemandaEscenario!$D$5*(1+Parametros!$B$10)^1*Parametros!$B$20+DemandaEscenario!$E$5*(1+Parametros!$B$10)^1*Parametros!$B$21+DemandaEscenario!$F$5*(1+Parametros!$B$10)^1*Parametros!$B$22</f>
        <v>44132568350</v>
      </c>
      <c r="O8" s="49">
        <f>DemandaEscenario!$D$6*(1+Parametros!$B$10)^1*Parametros!$B$20+DemandaEscenario!$E$6*(1+Parametros!$B$10)^1*Parametros!$B$21+DemandaEscenario!$F$6*(1+Parametros!$B$10)^1*Parametros!$B$22</f>
        <v>45498896650</v>
      </c>
      <c r="P8" s="49">
        <f>DemandaEscenario!$D$7*(1+Parametros!$B$10)^1*Parametros!$B$20+DemandaEscenario!$E$7*(1+Parametros!$B$10)^1*Parametros!$B$21+DemandaEscenario!$F$7*(1+Parametros!$B$10)^1*Parametros!$B$22</f>
        <v>47305779900</v>
      </c>
      <c r="Q8" s="49">
        <f>DemandaEscenario!$D$8*(1+Parametros!$B$10)^1*Parametros!$B$20+DemandaEscenario!$E$8*(1+Parametros!$B$10)^1*Parametros!$B$21+DemandaEscenario!$F$8*(1+Parametros!$B$10)^1*Parametros!$B$22</f>
        <v>50210008150</v>
      </c>
      <c r="R8" s="49">
        <f>DemandaEscenario!$D$9*(1+Parametros!$B$10)^1*Parametros!$B$20+DemandaEscenario!$E$9*(1+Parametros!$B$10)^1*Parametros!$B$21+DemandaEscenario!$F$9*(1+Parametros!$B$10)^1*Parametros!$B$22</f>
        <v>38455780700</v>
      </c>
      <c r="S8" s="49">
        <f>DemandaEscenario!$D$10*(1+Parametros!$B$10)^1*Parametros!$B$20+DemandaEscenario!$E$10*(1+Parametros!$B$10)^1*Parametros!$B$21+DemandaEscenario!$F$10*(1+Parametros!$B$10)^1*Parametros!$B$22</f>
        <v>45820124550</v>
      </c>
      <c r="T8" s="49">
        <f>DemandaEscenario!$D$11*(1+Parametros!$B$10)^1*Parametros!$B$20+DemandaEscenario!$E$11*(1+Parametros!$B$10)^1*Parametros!$B$21+DemandaEscenario!$F$11*(1+Parametros!$B$10)^1*Parametros!$B$22</f>
        <v>48613238450</v>
      </c>
      <c r="U8" s="49">
        <f>DemandaEscenario!$D$12*(1+Parametros!$B$10)^1*Parametros!$B$20+DemandaEscenario!$E$12*(1+Parametros!$B$10)^1*Parametros!$B$21+DemandaEscenario!$F$12*(1+Parametros!$B$10)^1*Parametros!$B$22</f>
        <v>49259134250</v>
      </c>
      <c r="V8" s="49">
        <f>DemandaEscenario!$D$13*(1+Parametros!$B$10)^1*Parametros!$B$20+DemandaEscenario!$E$13*(1+Parametros!$B$10)^1*Parametros!$B$21+DemandaEscenario!$F$13*(1+Parametros!$B$10)^1*Parametros!$B$22</f>
        <v>57344293500</v>
      </c>
      <c r="W8" s="49">
        <f>DemandaEscenario!$D$14*(1+Parametros!$B$10)^1*Parametros!$B$20+DemandaEscenario!$E$14*(1+Parametros!$B$10)^1*Parametros!$B$21+DemandaEscenario!$F$14*(1+Parametros!$B$10)^1*Parametros!$B$22</f>
        <v>47133099100</v>
      </c>
      <c r="X8" s="49">
        <f>DemandaEscenario!$D$15*(1+Parametros!$B$10)^1*Parametros!$B$20+DemandaEscenario!$E$15*(1+Parametros!$B$10)^1*Parametros!$B$21+DemandaEscenario!$F$15*(1+Parametros!$B$10)^1*Parametros!$B$22</f>
        <v>43616428950</v>
      </c>
      <c r="Y8" s="49">
        <f>DemandaEscenario!$D$16*(1+Parametros!$B$10)^1*Parametros!$B$20+DemandaEscenario!$E$16*(1+Parametros!$B$10)^1*Parametros!$B$21+DemandaEscenario!$F$16*(1+Parametros!$B$10)^1*Parametros!$B$22</f>
        <v>48867980250</v>
      </c>
      <c r="Z8" s="49">
        <f>DemandaEscenario!$D$5*(1+Parametros!$B$10)^2*Parametros!$B$20+DemandaEscenario!$E$5*(1+Parametros!$B$10)^2*Parametros!$B$21+DemandaEscenario!$F$5*(1+Parametros!$B$10)^2*Parametros!$B$22</f>
        <v>44132568350</v>
      </c>
      <c r="AA8" s="49">
        <f>DemandaEscenario!$D$6*(1+Parametros!$B$10)^2*Parametros!$B$20+DemandaEscenario!$E$6*(1+Parametros!$B$10)^2*Parametros!$B$21+DemandaEscenario!$F$6*(1+Parametros!$B$10)^2*Parametros!$B$22</f>
        <v>45498896650</v>
      </c>
      <c r="AB8" s="49">
        <f>DemandaEscenario!$D$7*(1+Parametros!$B$10)^2*Parametros!$B$20+DemandaEscenario!$E$7*(1+Parametros!$B$10)^2*Parametros!$B$21+DemandaEscenario!$F$7*(1+Parametros!$B$10)^2*Parametros!$B$22</f>
        <v>47305779900</v>
      </c>
      <c r="AC8" s="49">
        <f>DemandaEscenario!$D$8*(1+Parametros!$B$10)^2*Parametros!$B$20+DemandaEscenario!$E$8*(1+Parametros!$B$10)^2*Parametros!$B$21+DemandaEscenario!$F$8*(1+Parametros!$B$10)^2*Parametros!$B$22</f>
        <v>50210008150</v>
      </c>
      <c r="AD8" s="49">
        <f>DemandaEscenario!$D$9*(1+Parametros!$B$10)^2*Parametros!$B$20+DemandaEscenario!$E$9*(1+Parametros!$B$10)^2*Parametros!$B$21+DemandaEscenario!$F$9*(1+Parametros!$B$10)^2*Parametros!$B$22</f>
        <v>38455780700</v>
      </c>
      <c r="AE8" s="49">
        <f>DemandaEscenario!$D$10*(1+Parametros!$B$10)^2*Parametros!$B$20+DemandaEscenario!$E$10*(1+Parametros!$B$10)^2*Parametros!$B$21+DemandaEscenario!$F$10*(1+Parametros!$B$10)^2*Parametros!$B$22</f>
        <v>45820124550</v>
      </c>
      <c r="AF8" s="49">
        <f>DemandaEscenario!$D$11*(1+Parametros!$B$10)^2*Parametros!$B$20+DemandaEscenario!$E$11*(1+Parametros!$B$10)^2*Parametros!$B$21+DemandaEscenario!$F$11*(1+Parametros!$B$10)^2*Parametros!$B$22</f>
        <v>48613238450</v>
      </c>
      <c r="AG8" s="49">
        <f>DemandaEscenario!$D$12*(1+Parametros!$B$10)^2*Parametros!$B$20+DemandaEscenario!$E$12*(1+Parametros!$B$10)^2*Parametros!$B$21+DemandaEscenario!$F$12*(1+Parametros!$B$10)^2*Parametros!$B$22</f>
        <v>49259134250</v>
      </c>
      <c r="AH8" s="49">
        <f>DemandaEscenario!$D$13*(1+Parametros!$B$10)^2*Parametros!$B$20+DemandaEscenario!$E$13*(1+Parametros!$B$10)^2*Parametros!$B$21+DemandaEscenario!$F$13*(1+Parametros!$B$10)^2*Parametros!$B$22</f>
        <v>57344293500</v>
      </c>
      <c r="AI8" s="49">
        <f>DemandaEscenario!$D$14*(1+Parametros!$B$10)^2*Parametros!$B$20+DemandaEscenario!$E$14*(1+Parametros!$B$10)^2*Parametros!$B$21+DemandaEscenario!$F$14*(1+Parametros!$B$10)^2*Parametros!$B$22</f>
        <v>47133099100</v>
      </c>
      <c r="AJ8" s="49">
        <f>DemandaEscenario!$D$15*(1+Parametros!$B$10)^2*Parametros!$B$20+DemandaEscenario!$E$15*(1+Parametros!$B$10)^2*Parametros!$B$21+DemandaEscenario!$F$15*(1+Parametros!$B$10)^2*Parametros!$B$22</f>
        <v>43616428950</v>
      </c>
      <c r="AK8" s="49">
        <f>DemandaEscenario!$D$16*(1+Parametros!$B$10)^2*Parametros!$B$20+DemandaEscenario!$E$16*(1+Parametros!$B$10)^2*Parametros!$B$21+DemandaEscenario!$F$16*(1+Parametros!$B$10)^2*Parametros!$B$22</f>
        <v>48867980250</v>
      </c>
      <c r="AL8" s="49">
        <f>DemandaEscenario!$D$5*(1+Parametros!$B$10)^3*Parametros!$B$20+DemandaEscenario!$E$5*(1+Parametros!$B$10)^3*Parametros!$B$21+DemandaEscenario!$F$5*(1+Parametros!$B$10)^3*Parametros!$B$22</f>
        <v>44132568350</v>
      </c>
      <c r="AM8" s="49">
        <f>DemandaEscenario!$D$6*(1+Parametros!$B$10)^3*Parametros!$B$20+DemandaEscenario!$E$6*(1+Parametros!$B$10)^3*Parametros!$B$21+DemandaEscenario!$F$6*(1+Parametros!$B$10)^3*Parametros!$B$22</f>
        <v>45498896650</v>
      </c>
      <c r="AN8" s="49">
        <f>DemandaEscenario!$D$7*(1+Parametros!$B$10)^3*Parametros!$B$20+DemandaEscenario!$E$7*(1+Parametros!$B$10)^3*Parametros!$B$21+DemandaEscenario!$F$7*(1+Parametros!$B$10)^3*Parametros!$B$22</f>
        <v>47305779900</v>
      </c>
      <c r="AO8" s="49">
        <f>DemandaEscenario!$D$8*(1+Parametros!$B$10)^3*Parametros!$B$20+DemandaEscenario!$E$8*(1+Parametros!$B$10)^3*Parametros!$B$21+DemandaEscenario!$F$8*(1+Parametros!$B$10)^3*Parametros!$B$22</f>
        <v>50210008150</v>
      </c>
      <c r="AP8" s="49">
        <f>DemandaEscenario!$D$9*(1+Parametros!$B$10)^3*Parametros!$B$20+DemandaEscenario!$E$9*(1+Parametros!$B$10)^3*Parametros!$B$21+DemandaEscenario!$F$9*(1+Parametros!$B$10)^3*Parametros!$B$22</f>
        <v>38455780700</v>
      </c>
      <c r="AQ8" s="49">
        <f>DemandaEscenario!$D$10*(1+Parametros!$B$10)^3*Parametros!$B$20+DemandaEscenario!$E$10*(1+Parametros!$B$10)^3*Parametros!$B$21+DemandaEscenario!$F$10*(1+Parametros!$B$10)^3*Parametros!$B$22</f>
        <v>45820124550</v>
      </c>
      <c r="AR8" s="49">
        <f>DemandaEscenario!$D$11*(1+Parametros!$B$10)^3*Parametros!$B$20+DemandaEscenario!$E$11*(1+Parametros!$B$10)^3*Parametros!$B$21+DemandaEscenario!$F$11*(1+Parametros!$B$10)^3*Parametros!$B$22</f>
        <v>48613238450</v>
      </c>
      <c r="AS8" s="49">
        <f>DemandaEscenario!$D$12*(1+Parametros!$B$10)^3*Parametros!$B$20+DemandaEscenario!$E$12*(1+Parametros!$B$10)^3*Parametros!$B$21+DemandaEscenario!$F$12*(1+Parametros!$B$10)^3*Parametros!$B$22</f>
        <v>49259134250</v>
      </c>
      <c r="AT8" s="49">
        <f>DemandaEscenario!$D$13*(1+Parametros!$B$10)^3*Parametros!$B$20+DemandaEscenario!$E$13*(1+Parametros!$B$10)^3*Parametros!$B$21+DemandaEscenario!$F$13*(1+Parametros!$B$10)^3*Parametros!$B$22</f>
        <v>57344293500</v>
      </c>
      <c r="AU8" s="49">
        <f>DemandaEscenario!$D$14*(1+Parametros!$B$10)^3*Parametros!$B$20+DemandaEscenario!$E$14*(1+Parametros!$B$10)^3*Parametros!$B$21+DemandaEscenario!$F$14*(1+Parametros!$B$10)^3*Parametros!$B$22</f>
        <v>47133099100</v>
      </c>
      <c r="AV8" s="49">
        <f>DemandaEscenario!$D$15*(1+Parametros!$B$10)^3*Parametros!$B$20+DemandaEscenario!$E$15*(1+Parametros!$B$10)^3*Parametros!$B$21+DemandaEscenario!$F$15*(1+Parametros!$B$10)^3*Parametros!$B$22</f>
        <v>43616428950</v>
      </c>
      <c r="AW8" s="49">
        <f>DemandaEscenario!$D$16*(1+Parametros!$B$10)^3*Parametros!$B$20+DemandaEscenario!$E$16*(1+Parametros!$B$10)^3*Parametros!$B$21+DemandaEscenario!$F$16*(1+Parametros!$B$10)^3*Parametros!$B$22</f>
        <v>48867980250</v>
      </c>
      <c r="AX8" s="49">
        <f>DemandaEscenario!$D$5*(1+Parametros!$B$10)^4*Parametros!$B$20+DemandaEscenario!$E$5*(1+Parametros!$B$10)^4*Parametros!$B$21+DemandaEscenario!$F$5*(1+Parametros!$B$10)^4*Parametros!$B$22</f>
        <v>44132568350</v>
      </c>
      <c r="AY8" s="49">
        <f>DemandaEscenario!$D$6*(1+Parametros!$B$10)^4*Parametros!$B$20+DemandaEscenario!$E$6*(1+Parametros!$B$10)^4*Parametros!$B$21+DemandaEscenario!$F$6*(1+Parametros!$B$10)^4*Parametros!$B$22</f>
        <v>45498896650</v>
      </c>
      <c r="AZ8" s="49">
        <f>DemandaEscenario!$D$7*(1+Parametros!$B$10)^4*Parametros!$B$20+DemandaEscenario!$E$7*(1+Parametros!$B$10)^4*Parametros!$B$21+DemandaEscenario!$F$7*(1+Parametros!$B$10)^4*Parametros!$B$22</f>
        <v>47305779900</v>
      </c>
      <c r="BA8" s="49">
        <f>DemandaEscenario!$D$8*(1+Parametros!$B$10)^4*Parametros!$B$20+DemandaEscenario!$E$8*(1+Parametros!$B$10)^4*Parametros!$B$21+DemandaEscenario!$F$8*(1+Parametros!$B$10)^4*Parametros!$B$22</f>
        <v>50210008150</v>
      </c>
      <c r="BB8" s="49">
        <f>DemandaEscenario!$D$9*(1+Parametros!$B$10)^4*Parametros!$B$20+DemandaEscenario!$E$9*(1+Parametros!$B$10)^4*Parametros!$B$21+DemandaEscenario!$F$9*(1+Parametros!$B$10)^4*Parametros!$B$22</f>
        <v>38455780700</v>
      </c>
      <c r="BC8" s="49">
        <f>DemandaEscenario!$D$10*(1+Parametros!$B$10)^4*Parametros!$B$20+DemandaEscenario!$E$10*(1+Parametros!$B$10)^4*Parametros!$B$21+DemandaEscenario!$F$10*(1+Parametros!$B$10)^4*Parametros!$B$22</f>
        <v>45820124550</v>
      </c>
      <c r="BD8" s="49">
        <f>DemandaEscenario!$D$11*(1+Parametros!$B$10)^4*Parametros!$B$20+DemandaEscenario!$E$11*(1+Parametros!$B$10)^4*Parametros!$B$21+DemandaEscenario!$F$11*(1+Parametros!$B$10)^4*Parametros!$B$22</f>
        <v>48613238450</v>
      </c>
      <c r="BE8" s="49">
        <f>DemandaEscenario!$D$12*(1+Parametros!$B$10)^4*Parametros!$B$20+DemandaEscenario!$E$12*(1+Parametros!$B$10)^4*Parametros!$B$21+DemandaEscenario!$F$12*(1+Parametros!$B$10)^4*Parametros!$B$22</f>
        <v>49259134250</v>
      </c>
      <c r="BF8" s="49">
        <f>DemandaEscenario!$D$13*(1+Parametros!$B$10)^4*Parametros!$B$20+DemandaEscenario!$E$13*(1+Parametros!$B$10)^4*Parametros!$B$21+DemandaEscenario!$F$13*(1+Parametros!$B$10)^4*Parametros!$B$22</f>
        <v>57344293500</v>
      </c>
      <c r="BG8" s="49">
        <f>DemandaEscenario!$D$14*(1+Parametros!$B$10)^4*Parametros!$B$20+DemandaEscenario!$E$14*(1+Parametros!$B$10)^4*Parametros!$B$21+DemandaEscenario!$F$14*(1+Parametros!$B$10)^4*Parametros!$B$22</f>
        <v>47133099100</v>
      </c>
      <c r="BH8" s="49">
        <f>DemandaEscenario!$D$15*(1+Parametros!$B$10)^4*Parametros!$B$20+DemandaEscenario!$E$15*(1+Parametros!$B$10)^4*Parametros!$B$21+DemandaEscenario!$F$15*(1+Parametros!$B$10)^4*Parametros!$B$22</f>
        <v>43616428950</v>
      </c>
      <c r="BI8" s="49">
        <f>DemandaEscenario!$D$16*(1+Parametros!$B$10)^4*Parametros!$B$20+DemandaEscenario!$E$16*(1+Parametros!$B$10)^4*Parametros!$B$21+DemandaEscenario!$F$16*(1+Parametros!$B$10)^4*Parametros!$B$22</f>
        <v>48867980250</v>
      </c>
    </row>
    <row r="9">
      <c r="A9" s="22" t="s">
        <v>646</v>
      </c>
      <c r="B9" s="49">
        <f>DemandaEscenario!$D$5*Costos_Lote!$B$18+DemandaEscenario!$E$5*Costos_Lote!$B$33+DemandaEscenario!$F$5*Costos_Lote!$B$46</f>
        <v>24814730439</v>
      </c>
      <c r="C9" s="49">
        <f>DemandaEscenario!$D$6*Costos_Lote!$B$18+DemandaEscenario!$E$6*Costos_Lote!$B$33+DemandaEscenario!$F$6*Costos_Lote!$B$46</f>
        <v>25582985355</v>
      </c>
      <c r="D9" s="49">
        <f>DemandaEscenario!$D$7*Costos_Lote!$B$18+DemandaEscenario!$E$7*Costos_Lote!$B$33+DemandaEscenario!$F$7*Costos_Lote!$B$46</f>
        <v>26535689477</v>
      </c>
      <c r="E9" s="49">
        <f>DemandaEscenario!$D$8*Costos_Lote!$B$18+DemandaEscenario!$E$8*Costos_Lote!$B$33+DemandaEscenario!$F$8*Costos_Lote!$B$46</f>
        <v>28149319436</v>
      </c>
      <c r="F9" s="49">
        <f>DemandaEscenario!$D$9*Costos_Lote!$B$18+DemandaEscenario!$E$9*Costos_Lote!$B$33+DemandaEscenario!$F$9*Costos_Lote!$B$46</f>
        <v>21610748347</v>
      </c>
      <c r="G9" s="49">
        <f>DemandaEscenario!$D$10*Costos_Lote!$B$18+DemandaEscenario!$E$10*Costos_Lote!$B$33+DemandaEscenario!$F$10*Costos_Lote!$B$46</f>
        <v>25773962673</v>
      </c>
      <c r="H9" s="49">
        <f>DemandaEscenario!$D$11*Costos_Lote!$B$18+DemandaEscenario!$E$11*Costos_Lote!$B$33+DemandaEscenario!$F$11*Costos_Lote!$B$46</f>
        <v>27265671160</v>
      </c>
      <c r="I9" s="49">
        <f>DemandaEscenario!$D$12*Costos_Lote!$B$18+DemandaEscenario!$E$12*Costos_Lote!$B$33+DemandaEscenario!$F$12*Costos_Lote!$B$46</f>
        <v>27667334573</v>
      </c>
      <c r="J9" s="49">
        <f>DemandaEscenario!$D$13*Costos_Lote!$B$18+DemandaEscenario!$E$13*Costos_Lote!$B$33+DemandaEscenario!$F$13*Costos_Lote!$B$46</f>
        <v>32221629023</v>
      </c>
      <c r="K9" s="49">
        <f>DemandaEscenario!$D$14*Costos_Lote!$B$18+DemandaEscenario!$E$14*Costos_Lote!$B$33+DemandaEscenario!$F$14*Costos_Lote!$B$46</f>
        <v>26454639275</v>
      </c>
      <c r="L9" s="49">
        <f>DemandaEscenario!$D$15*Costos_Lote!$B$18+DemandaEscenario!$E$15*Costos_Lote!$B$33+DemandaEscenario!$F$15*Costos_Lote!$B$46</f>
        <v>24480745588</v>
      </c>
      <c r="M9" s="49">
        <f>DemandaEscenario!$D$16*Costos_Lote!$B$18+DemandaEscenario!$E$16*Costos_Lote!$B$33+DemandaEscenario!$F$16*Costos_Lote!$B$46</f>
        <v>27441536624</v>
      </c>
      <c r="N9" s="49">
        <f>DemandaEscenario!$D$5*(1+Parametros!$B$10)^1*Costos_Lote!$B$18+DemandaEscenario!$E$5*(1+Parametros!$B$10)^1*Costos_Lote!$B$33+DemandaEscenario!$F$5*(1+Parametros!$B$10)^1*Costos_Lote!$B$46</f>
        <v>24814730439</v>
      </c>
      <c r="O9" s="49">
        <f>DemandaEscenario!$D$6*(1+Parametros!$B$10)^1*Costos_Lote!$B$18+DemandaEscenario!$E$6*(1+Parametros!$B$10)^1*Costos_Lote!$B$33+DemandaEscenario!$F$6*(1+Parametros!$B$10)^1*Costos_Lote!$B$46</f>
        <v>25582985355</v>
      </c>
      <c r="P9" s="49">
        <f>DemandaEscenario!$D$7*(1+Parametros!$B$10)^1*Costos_Lote!$B$18+DemandaEscenario!$E$7*(1+Parametros!$B$10)^1*Costos_Lote!$B$33+DemandaEscenario!$F$7*(1+Parametros!$B$10)^1*Costos_Lote!$B$46</f>
        <v>26535689477</v>
      </c>
      <c r="Q9" s="49">
        <f>DemandaEscenario!$D$8*(1+Parametros!$B$10)^1*Costos_Lote!$B$18+DemandaEscenario!$E$8*(1+Parametros!$B$10)^1*Costos_Lote!$B$33+DemandaEscenario!$F$8*(1+Parametros!$B$10)^1*Costos_Lote!$B$46</f>
        <v>28149319436</v>
      </c>
      <c r="R9" s="49">
        <f>DemandaEscenario!$D$9*(1+Parametros!$B$10)^1*Costos_Lote!$B$18+DemandaEscenario!$E$9*(1+Parametros!$B$10)^1*Costos_Lote!$B$33+DemandaEscenario!$F$9*(1+Parametros!$B$10)^1*Costos_Lote!$B$46</f>
        <v>21610748347</v>
      </c>
      <c r="S9" s="49">
        <f>DemandaEscenario!$D$10*(1+Parametros!$B$10)^1*Costos_Lote!$B$18+DemandaEscenario!$E$10*(1+Parametros!$B$10)^1*Costos_Lote!$B$33+DemandaEscenario!$F$10*(1+Parametros!$B$10)^1*Costos_Lote!$B$46</f>
        <v>25773962673</v>
      </c>
      <c r="T9" s="49">
        <f>DemandaEscenario!$D$11*(1+Parametros!$B$10)^1*Costos_Lote!$B$18+DemandaEscenario!$E$11*(1+Parametros!$B$10)^1*Costos_Lote!$B$33+DemandaEscenario!$F$11*(1+Parametros!$B$10)^1*Costos_Lote!$B$46</f>
        <v>27265671160</v>
      </c>
      <c r="U9" s="49">
        <f>DemandaEscenario!$D$12*(1+Parametros!$B$10)^1*Costos_Lote!$B$18+DemandaEscenario!$E$12*(1+Parametros!$B$10)^1*Costos_Lote!$B$33+DemandaEscenario!$F$12*(1+Parametros!$B$10)^1*Costos_Lote!$B$46</f>
        <v>27667334573</v>
      </c>
      <c r="V9" s="49">
        <f>DemandaEscenario!$D$13*(1+Parametros!$B$10)^1*Costos_Lote!$B$18+DemandaEscenario!$E$13*(1+Parametros!$B$10)^1*Costos_Lote!$B$33+DemandaEscenario!$F$13*(1+Parametros!$B$10)^1*Costos_Lote!$B$46</f>
        <v>32221629023</v>
      </c>
      <c r="W9" s="49">
        <f>DemandaEscenario!$D$14*(1+Parametros!$B$10)^1*Costos_Lote!$B$18+DemandaEscenario!$E$14*(1+Parametros!$B$10)^1*Costos_Lote!$B$33+DemandaEscenario!$F$14*(1+Parametros!$B$10)^1*Costos_Lote!$B$46</f>
        <v>26454639275</v>
      </c>
      <c r="X9" s="49">
        <f>DemandaEscenario!$D$15*(1+Parametros!$B$10)^1*Costos_Lote!$B$18+DemandaEscenario!$E$15*(1+Parametros!$B$10)^1*Costos_Lote!$B$33+DemandaEscenario!$F$15*(1+Parametros!$B$10)^1*Costos_Lote!$B$46</f>
        <v>24480745588</v>
      </c>
      <c r="Y9" s="49">
        <f>DemandaEscenario!$D$16*(1+Parametros!$B$10)^1*Costos_Lote!$B$18+DemandaEscenario!$E$16*(1+Parametros!$B$10)^1*Costos_Lote!$B$33+DemandaEscenario!$F$16*(1+Parametros!$B$10)^1*Costos_Lote!$B$46</f>
        <v>27441536624</v>
      </c>
      <c r="Z9" s="49">
        <f>DemandaEscenario!$D$5*(1+Parametros!$B$10)^2*Costos_Lote!$B$18+DemandaEscenario!$E$5*(1+Parametros!$B$10)^2*Costos_Lote!$B$33+DemandaEscenario!$F$5*(1+Parametros!$B$10)^2*Costos_Lote!$B$46</f>
        <v>24814730439</v>
      </c>
      <c r="AA9" s="49">
        <f>DemandaEscenario!$D$6*(1+Parametros!$B$10)^2*Costos_Lote!$B$18+DemandaEscenario!$E$6*(1+Parametros!$B$10)^2*Costos_Lote!$B$33+DemandaEscenario!$F$6*(1+Parametros!$B$10)^2*Costos_Lote!$B$46</f>
        <v>25582985355</v>
      </c>
      <c r="AB9" s="49">
        <f>DemandaEscenario!$D$7*(1+Parametros!$B$10)^2*Costos_Lote!$B$18+DemandaEscenario!$E$7*(1+Parametros!$B$10)^2*Costos_Lote!$B$33+DemandaEscenario!$F$7*(1+Parametros!$B$10)^2*Costos_Lote!$B$46</f>
        <v>26535689477</v>
      </c>
      <c r="AC9" s="49">
        <f>DemandaEscenario!$D$8*(1+Parametros!$B$10)^2*Costos_Lote!$B$18+DemandaEscenario!$E$8*(1+Parametros!$B$10)^2*Costos_Lote!$B$33+DemandaEscenario!$F$8*(1+Parametros!$B$10)^2*Costos_Lote!$B$46</f>
        <v>28149319436</v>
      </c>
      <c r="AD9" s="49">
        <f>DemandaEscenario!$D$9*(1+Parametros!$B$10)^2*Costos_Lote!$B$18+DemandaEscenario!$E$9*(1+Parametros!$B$10)^2*Costos_Lote!$B$33+DemandaEscenario!$F$9*(1+Parametros!$B$10)^2*Costos_Lote!$B$46</f>
        <v>21610748347</v>
      </c>
      <c r="AE9" s="49">
        <f>DemandaEscenario!$D$10*(1+Parametros!$B$10)^2*Costos_Lote!$B$18+DemandaEscenario!$E$10*(1+Parametros!$B$10)^2*Costos_Lote!$B$33+DemandaEscenario!$F$10*(1+Parametros!$B$10)^2*Costos_Lote!$B$46</f>
        <v>25773962673</v>
      </c>
      <c r="AF9" s="49">
        <f>DemandaEscenario!$D$11*(1+Parametros!$B$10)^2*Costos_Lote!$B$18+DemandaEscenario!$E$11*(1+Parametros!$B$10)^2*Costos_Lote!$B$33+DemandaEscenario!$F$11*(1+Parametros!$B$10)^2*Costos_Lote!$B$46</f>
        <v>27265671160</v>
      </c>
      <c r="AG9" s="49">
        <f>DemandaEscenario!$D$12*(1+Parametros!$B$10)^2*Costos_Lote!$B$18+DemandaEscenario!$E$12*(1+Parametros!$B$10)^2*Costos_Lote!$B$33+DemandaEscenario!$F$12*(1+Parametros!$B$10)^2*Costos_Lote!$B$46</f>
        <v>27667334573</v>
      </c>
      <c r="AH9" s="49">
        <f>DemandaEscenario!$D$13*(1+Parametros!$B$10)^2*Costos_Lote!$B$18+DemandaEscenario!$E$13*(1+Parametros!$B$10)^2*Costos_Lote!$B$33+DemandaEscenario!$F$13*(1+Parametros!$B$10)^2*Costos_Lote!$B$46</f>
        <v>32221629023</v>
      </c>
      <c r="AI9" s="49">
        <f>DemandaEscenario!$D$14*(1+Parametros!$B$10)^2*Costos_Lote!$B$18+DemandaEscenario!$E$14*(1+Parametros!$B$10)^2*Costos_Lote!$B$33+DemandaEscenario!$F$14*(1+Parametros!$B$10)^2*Costos_Lote!$B$46</f>
        <v>26454639275</v>
      </c>
      <c r="AJ9" s="49">
        <f>DemandaEscenario!$D$15*(1+Parametros!$B$10)^2*Costos_Lote!$B$18+DemandaEscenario!$E$15*(1+Parametros!$B$10)^2*Costos_Lote!$B$33+DemandaEscenario!$F$15*(1+Parametros!$B$10)^2*Costos_Lote!$B$46</f>
        <v>24480745588</v>
      </c>
      <c r="AK9" s="49">
        <f>DemandaEscenario!$D$16*(1+Parametros!$B$10)^2*Costos_Lote!$B$18+DemandaEscenario!$E$16*(1+Parametros!$B$10)^2*Costos_Lote!$B$33+DemandaEscenario!$F$16*(1+Parametros!$B$10)^2*Costos_Lote!$B$46</f>
        <v>27441536624</v>
      </c>
      <c r="AL9" s="49">
        <f>DemandaEscenario!$D$5*(1+Parametros!$B$10)^3*Costos_Lote!$B$18+DemandaEscenario!$E$5*(1+Parametros!$B$10)^3*Costos_Lote!$B$33+DemandaEscenario!$F$5*(1+Parametros!$B$10)^3*Costos_Lote!$B$46</f>
        <v>24814730439</v>
      </c>
      <c r="AM9" s="49">
        <f>DemandaEscenario!$D$6*(1+Parametros!$B$10)^3*Costos_Lote!$B$18+DemandaEscenario!$E$6*(1+Parametros!$B$10)^3*Costos_Lote!$B$33+DemandaEscenario!$F$6*(1+Parametros!$B$10)^3*Costos_Lote!$B$46</f>
        <v>25582985355</v>
      </c>
      <c r="AN9" s="49">
        <f>DemandaEscenario!$D$7*(1+Parametros!$B$10)^3*Costos_Lote!$B$18+DemandaEscenario!$E$7*(1+Parametros!$B$10)^3*Costos_Lote!$B$33+DemandaEscenario!$F$7*(1+Parametros!$B$10)^3*Costos_Lote!$B$46</f>
        <v>26535689477</v>
      </c>
      <c r="AO9" s="49">
        <f>DemandaEscenario!$D$8*(1+Parametros!$B$10)^3*Costos_Lote!$B$18+DemandaEscenario!$E$8*(1+Parametros!$B$10)^3*Costos_Lote!$B$33+DemandaEscenario!$F$8*(1+Parametros!$B$10)^3*Costos_Lote!$B$46</f>
        <v>28149319436</v>
      </c>
      <c r="AP9" s="49">
        <f>DemandaEscenario!$D$9*(1+Parametros!$B$10)^3*Costos_Lote!$B$18+DemandaEscenario!$E$9*(1+Parametros!$B$10)^3*Costos_Lote!$B$33+DemandaEscenario!$F$9*(1+Parametros!$B$10)^3*Costos_Lote!$B$46</f>
        <v>21610748347</v>
      </c>
      <c r="AQ9" s="49">
        <f>DemandaEscenario!$D$10*(1+Parametros!$B$10)^3*Costos_Lote!$B$18+DemandaEscenario!$E$10*(1+Parametros!$B$10)^3*Costos_Lote!$B$33+DemandaEscenario!$F$10*(1+Parametros!$B$10)^3*Costos_Lote!$B$46</f>
        <v>25773962673</v>
      </c>
      <c r="AR9" s="49">
        <f>DemandaEscenario!$D$11*(1+Parametros!$B$10)^3*Costos_Lote!$B$18+DemandaEscenario!$E$11*(1+Parametros!$B$10)^3*Costos_Lote!$B$33+DemandaEscenario!$F$11*(1+Parametros!$B$10)^3*Costos_Lote!$B$46</f>
        <v>27265671160</v>
      </c>
      <c r="AS9" s="49">
        <f>DemandaEscenario!$D$12*(1+Parametros!$B$10)^3*Costos_Lote!$B$18+DemandaEscenario!$E$12*(1+Parametros!$B$10)^3*Costos_Lote!$B$33+DemandaEscenario!$F$12*(1+Parametros!$B$10)^3*Costos_Lote!$B$46</f>
        <v>27667334573</v>
      </c>
      <c r="AT9" s="49">
        <f>DemandaEscenario!$D$13*(1+Parametros!$B$10)^3*Costos_Lote!$B$18+DemandaEscenario!$E$13*(1+Parametros!$B$10)^3*Costos_Lote!$B$33+DemandaEscenario!$F$13*(1+Parametros!$B$10)^3*Costos_Lote!$B$46</f>
        <v>32221629023</v>
      </c>
      <c r="AU9" s="49">
        <f>DemandaEscenario!$D$14*(1+Parametros!$B$10)^3*Costos_Lote!$B$18+DemandaEscenario!$E$14*(1+Parametros!$B$10)^3*Costos_Lote!$B$33+DemandaEscenario!$F$14*(1+Parametros!$B$10)^3*Costos_Lote!$B$46</f>
        <v>26454639275</v>
      </c>
      <c r="AV9" s="49">
        <f>DemandaEscenario!$D$15*(1+Parametros!$B$10)^3*Costos_Lote!$B$18+DemandaEscenario!$E$15*(1+Parametros!$B$10)^3*Costos_Lote!$B$33+DemandaEscenario!$F$15*(1+Parametros!$B$10)^3*Costos_Lote!$B$46</f>
        <v>24480745588</v>
      </c>
      <c r="AW9" s="49">
        <f>DemandaEscenario!$D$16*(1+Parametros!$B$10)^3*Costos_Lote!$B$18+DemandaEscenario!$E$16*(1+Parametros!$B$10)^3*Costos_Lote!$B$33+DemandaEscenario!$F$16*(1+Parametros!$B$10)^3*Costos_Lote!$B$46</f>
        <v>27441536624</v>
      </c>
      <c r="AX9" s="49">
        <f>DemandaEscenario!$D$5*(1+Parametros!$B$10)^4*Costos_Lote!$B$18+DemandaEscenario!$E$5*(1+Parametros!$B$10)^4*Costos_Lote!$B$33+DemandaEscenario!$F$5*(1+Parametros!$B$10)^4*Costos_Lote!$B$46</f>
        <v>24814730439</v>
      </c>
      <c r="AY9" s="49">
        <f>DemandaEscenario!$D$6*(1+Parametros!$B$10)^4*Costos_Lote!$B$18+DemandaEscenario!$E$6*(1+Parametros!$B$10)^4*Costos_Lote!$B$33+DemandaEscenario!$F$6*(1+Parametros!$B$10)^4*Costos_Lote!$B$46</f>
        <v>25582985355</v>
      </c>
      <c r="AZ9" s="49">
        <f>DemandaEscenario!$D$7*(1+Parametros!$B$10)^4*Costos_Lote!$B$18+DemandaEscenario!$E$7*(1+Parametros!$B$10)^4*Costos_Lote!$B$33+DemandaEscenario!$F$7*(1+Parametros!$B$10)^4*Costos_Lote!$B$46</f>
        <v>26535689477</v>
      </c>
      <c r="BA9" s="49">
        <f>DemandaEscenario!$D$8*(1+Parametros!$B$10)^4*Costos_Lote!$B$18+DemandaEscenario!$E$8*(1+Parametros!$B$10)^4*Costos_Lote!$B$33+DemandaEscenario!$F$8*(1+Parametros!$B$10)^4*Costos_Lote!$B$46</f>
        <v>28149319436</v>
      </c>
      <c r="BB9" s="49">
        <f>DemandaEscenario!$D$9*(1+Parametros!$B$10)^4*Costos_Lote!$B$18+DemandaEscenario!$E$9*(1+Parametros!$B$10)^4*Costos_Lote!$B$33+DemandaEscenario!$F$9*(1+Parametros!$B$10)^4*Costos_Lote!$B$46</f>
        <v>21610748347</v>
      </c>
      <c r="BC9" s="49">
        <f>DemandaEscenario!$D$10*(1+Parametros!$B$10)^4*Costos_Lote!$B$18+DemandaEscenario!$E$10*(1+Parametros!$B$10)^4*Costos_Lote!$B$33+DemandaEscenario!$F$10*(1+Parametros!$B$10)^4*Costos_Lote!$B$46</f>
        <v>25773962673</v>
      </c>
      <c r="BD9" s="49">
        <f>DemandaEscenario!$D$11*(1+Parametros!$B$10)^4*Costos_Lote!$B$18+DemandaEscenario!$E$11*(1+Parametros!$B$10)^4*Costos_Lote!$B$33+DemandaEscenario!$F$11*(1+Parametros!$B$10)^4*Costos_Lote!$B$46</f>
        <v>27265671160</v>
      </c>
      <c r="BE9" s="49">
        <f>DemandaEscenario!$D$12*(1+Parametros!$B$10)^4*Costos_Lote!$B$18+DemandaEscenario!$E$12*(1+Parametros!$B$10)^4*Costos_Lote!$B$33+DemandaEscenario!$F$12*(1+Parametros!$B$10)^4*Costos_Lote!$B$46</f>
        <v>27667334573</v>
      </c>
      <c r="BF9" s="49">
        <f>DemandaEscenario!$D$13*(1+Parametros!$B$10)^4*Costos_Lote!$B$18+DemandaEscenario!$E$13*(1+Parametros!$B$10)^4*Costos_Lote!$B$33+DemandaEscenario!$F$13*(1+Parametros!$B$10)^4*Costos_Lote!$B$46</f>
        <v>32221629023</v>
      </c>
      <c r="BG9" s="49">
        <f>DemandaEscenario!$D$14*(1+Parametros!$B$10)^4*Costos_Lote!$B$18+DemandaEscenario!$E$14*(1+Parametros!$B$10)^4*Costos_Lote!$B$33+DemandaEscenario!$F$14*(1+Parametros!$B$10)^4*Costos_Lote!$B$46</f>
        <v>26454639275</v>
      </c>
      <c r="BH9" s="49">
        <f>DemandaEscenario!$D$15*(1+Parametros!$B$10)^4*Costos_Lote!$B$18+DemandaEscenario!$E$15*(1+Parametros!$B$10)^4*Costos_Lote!$B$33+DemandaEscenario!$F$15*(1+Parametros!$B$10)^4*Costos_Lote!$B$46</f>
        <v>24480745588</v>
      </c>
      <c r="BI9" s="49">
        <f>DemandaEscenario!$D$16*(1+Parametros!$B$10)^4*Costos_Lote!$B$18+DemandaEscenario!$E$16*(1+Parametros!$B$10)^4*Costos_Lote!$B$33+DemandaEscenario!$F$16*(1+Parametros!$B$10)^4*Costos_Lote!$B$46</f>
        <v>27441536624</v>
      </c>
    </row>
    <row r="10">
      <c r="A10" s="22" t="s">
        <v>248</v>
      </c>
      <c r="B10" s="50">
        <f t="shared" ref="B10:E10" si="1">1</f>
        <v>1</v>
      </c>
      <c r="C10" s="50">
        <f t="shared" si="1"/>
        <v>1</v>
      </c>
      <c r="D10" s="50">
        <f t="shared" si="1"/>
        <v>1</v>
      </c>
      <c r="E10" s="50">
        <f t="shared" si="1"/>
        <v>1</v>
      </c>
      <c r="F10" s="50">
        <f>1+Parametros!$B$13*Parametros!$B$11*Parametros!$B$12</f>
        <v>1.022847</v>
      </c>
      <c r="G10" s="50">
        <f>1+Parametros!$B$11*Parametros!$B$12</f>
        <v>1.0341</v>
      </c>
      <c r="H10" s="50">
        <f>1+Parametros!$B$11*Parametros!$B$12</f>
        <v>1.0341</v>
      </c>
      <c r="I10" s="50">
        <f>1+Parametros!$B$11*Parametros!$B$12</f>
        <v>1.0341</v>
      </c>
      <c r="J10" s="50">
        <f>1+Parametros!$B$11*Parametros!$B$12</f>
        <v>1.0341</v>
      </c>
      <c r="K10" s="50">
        <f>1+Parametros!$B$11*Parametros!$B$12</f>
        <v>1.0341</v>
      </c>
      <c r="L10" s="50">
        <f>1+Parametros!$B$11*Parametros!$B$12</f>
        <v>1.0341</v>
      </c>
      <c r="M10" s="50">
        <f>1+Parametros!$B$11*Parametros!$B$12</f>
        <v>1.0341</v>
      </c>
      <c r="N10" s="50">
        <f>1+Parametros!$B$11*Parametros!$B$12</f>
        <v>1.0341</v>
      </c>
      <c r="O10" s="50">
        <f>1+Parametros!$B$11*Parametros!$B$12</f>
        <v>1.0341</v>
      </c>
      <c r="P10" s="50">
        <f>1+Parametros!$B$11*Parametros!$B$12</f>
        <v>1.0341</v>
      </c>
      <c r="Q10" s="50">
        <f>1+Parametros!$B$11*Parametros!$B$12</f>
        <v>1.0341</v>
      </c>
      <c r="R10" s="50">
        <f>1+Parametros!$B$11*Parametros!$B$12</f>
        <v>1.0341</v>
      </c>
      <c r="S10" s="50">
        <f>1+Parametros!$B$11*Parametros!$B$12</f>
        <v>1.0341</v>
      </c>
      <c r="T10" s="50">
        <f>1+Parametros!$B$11*Parametros!$B$12</f>
        <v>1.0341</v>
      </c>
      <c r="U10" s="50">
        <f>1+Parametros!$B$11*Parametros!$B$12</f>
        <v>1.0341</v>
      </c>
      <c r="V10" s="50">
        <f>1+Parametros!$B$11*Parametros!$B$12</f>
        <v>1.0341</v>
      </c>
      <c r="W10" s="50">
        <f>1+Parametros!$B$11*Parametros!$B$12</f>
        <v>1.0341</v>
      </c>
      <c r="X10" s="50">
        <f>1+Parametros!$B$11*Parametros!$B$12</f>
        <v>1.0341</v>
      </c>
      <c r="Y10" s="50">
        <f>1+Parametros!$B$11*Parametros!$B$12</f>
        <v>1.0341</v>
      </c>
      <c r="Z10" s="50">
        <f>1+Parametros!$B$11*Parametros!$B$12</f>
        <v>1.0341</v>
      </c>
      <c r="AA10" s="50">
        <f>1+Parametros!$B$11*Parametros!$B$12</f>
        <v>1.0341</v>
      </c>
      <c r="AB10" s="50">
        <f>1+Parametros!$B$11*Parametros!$B$12</f>
        <v>1.0341</v>
      </c>
      <c r="AC10" s="50">
        <f>1+Parametros!$B$11*Parametros!$B$12</f>
        <v>1.0341</v>
      </c>
      <c r="AD10" s="50">
        <f>1+Parametros!$B$11*Parametros!$B$12</f>
        <v>1.0341</v>
      </c>
      <c r="AE10" s="50">
        <f>1+Parametros!$B$11*Parametros!$B$12</f>
        <v>1.0341</v>
      </c>
      <c r="AF10" s="50">
        <f>1+Parametros!$B$11*Parametros!$B$12</f>
        <v>1.0341</v>
      </c>
      <c r="AG10" s="50">
        <f>1+Parametros!$B$11*Parametros!$B$12</f>
        <v>1.0341</v>
      </c>
      <c r="AH10" s="50">
        <f>1+Parametros!$B$11*Parametros!$B$12</f>
        <v>1.0341</v>
      </c>
      <c r="AI10" s="50">
        <f>1+Parametros!$B$11*Parametros!$B$12</f>
        <v>1.0341</v>
      </c>
      <c r="AJ10" s="50">
        <f>1+Parametros!$B$11*Parametros!$B$12</f>
        <v>1.0341</v>
      </c>
      <c r="AK10" s="50">
        <f>1+Parametros!$B$11*Parametros!$B$12</f>
        <v>1.0341</v>
      </c>
      <c r="AL10" s="50">
        <f>1+Parametros!$B$11*Parametros!$B$12</f>
        <v>1.0341</v>
      </c>
      <c r="AM10" s="50">
        <f>1+Parametros!$B$11*Parametros!$B$12</f>
        <v>1.0341</v>
      </c>
      <c r="AN10" s="50">
        <f>1+Parametros!$B$11*Parametros!$B$12</f>
        <v>1.0341</v>
      </c>
      <c r="AO10" s="50">
        <f>1+Parametros!$B$11*Parametros!$B$12</f>
        <v>1.0341</v>
      </c>
      <c r="AP10" s="50">
        <f>1+Parametros!$B$11*Parametros!$B$12</f>
        <v>1.0341</v>
      </c>
      <c r="AQ10" s="50">
        <f>1+Parametros!$B$11*Parametros!$B$12</f>
        <v>1.0341</v>
      </c>
      <c r="AR10" s="50">
        <f>1+Parametros!$B$11*Parametros!$B$12</f>
        <v>1.0341</v>
      </c>
      <c r="AS10" s="50">
        <f>1+Parametros!$B$11*Parametros!$B$12</f>
        <v>1.0341</v>
      </c>
      <c r="AT10" s="50">
        <f>1+Parametros!$B$11*Parametros!$B$12</f>
        <v>1.0341</v>
      </c>
      <c r="AU10" s="50">
        <f>1+Parametros!$B$11*Parametros!$B$12</f>
        <v>1.0341</v>
      </c>
      <c r="AV10" s="50">
        <f>1+Parametros!$B$11*Parametros!$B$12</f>
        <v>1.0341</v>
      </c>
      <c r="AW10" s="50">
        <f>1+Parametros!$B$11*Parametros!$B$12</f>
        <v>1.0341</v>
      </c>
      <c r="AX10" s="50">
        <f>1+Parametros!$B$11*Parametros!$B$12</f>
        <v>1.0341</v>
      </c>
      <c r="AY10" s="50">
        <f>1+Parametros!$B$11*Parametros!$B$12</f>
        <v>1.0341</v>
      </c>
      <c r="AZ10" s="50">
        <f>1+Parametros!$B$11*Parametros!$B$12</f>
        <v>1.0341</v>
      </c>
      <c r="BA10" s="50">
        <f>1+Parametros!$B$11*Parametros!$B$12</f>
        <v>1.0341</v>
      </c>
      <c r="BB10" s="50">
        <f>1+Parametros!$B$11*Parametros!$B$12</f>
        <v>1.0341</v>
      </c>
      <c r="BC10" s="50">
        <f>1+Parametros!$B$11*Parametros!$B$12</f>
        <v>1.0341</v>
      </c>
      <c r="BD10" s="50">
        <f>1+Parametros!$B$11*Parametros!$B$12</f>
        <v>1.0341</v>
      </c>
      <c r="BE10" s="50">
        <f>1+Parametros!$B$11*Parametros!$B$12</f>
        <v>1.0341</v>
      </c>
      <c r="BF10" s="50">
        <f>1+Parametros!$B$11*Parametros!$B$12</f>
        <v>1.0341</v>
      </c>
      <c r="BG10" s="50">
        <f>1+Parametros!$B$11*Parametros!$B$12</f>
        <v>1.0341</v>
      </c>
      <c r="BH10" s="50">
        <f>1+Parametros!$B$11*Parametros!$B$12</f>
        <v>1.0341</v>
      </c>
      <c r="BI10" s="50">
        <f>1+Parametros!$B$11*Parametros!$B$12</f>
        <v>1.0341</v>
      </c>
    </row>
    <row r="11">
      <c r="A11" s="24" t="s">
        <v>647</v>
      </c>
      <c r="B11" s="49">
        <f t="array" ref="B11">(B8-B9)*(B10-1)+B9*B10*Parametros!$B$14*0+Parametros!$B$15*0-Licencias!$H$14+INDEX(Parametros!$B:$B,MATCH("ahorro_laboral_monetizable_mes",Parametros!$A:$A,0))*IF(1&lt;=4,0,IF(1=5,Parametros!$B$13,1))</f>
        <v>0</v>
      </c>
      <c r="C11" s="49">
        <f t="array" ref="C11">(C8-C9)*(C10-1)+C9*C10*Parametros!$B$14*0+Parametros!$B$15*0-Licencias!$H$14+INDEX(Parametros!$B:$B,MATCH("ahorro_laboral_monetizable_mes",Parametros!$A:$A,0))*IF(2&lt;=4,0,IF(2=5,Parametros!$B$13,1))</f>
        <v>0</v>
      </c>
      <c r="D11" s="49">
        <f t="array" ref="D11">(D8-D9)*(D10-1)+D9*D10*Parametros!$B$14*0+Parametros!$B$15*0-Licencias!$H$14+INDEX(Parametros!$B:$B,MATCH("ahorro_laboral_monetizable_mes",Parametros!$A:$A,0))*IF(3&lt;=4,0,IF(3=5,Parametros!$B$13,1))</f>
        <v>0</v>
      </c>
      <c r="E11" s="49">
        <f t="array" ref="E11">(E8-E9)*(E10-1)+E9*E10*Parametros!$B$14*0+Parametros!$B$15*0-Licencias!$H$14+INDEX(Parametros!$B:$B,MATCH("ahorro_laboral_monetizable_mes",Parametros!$A:$A,0))*IF(4&lt;=4,0,IF(4=5,Parametros!$B$13,1))</f>
        <v>0</v>
      </c>
      <c r="F11" s="49">
        <f t="array" ref="F11">(F8-F9)*(F10-1)+F9*F10*Parametros!$B$14*Parametros!$B$13+Parametros!$B$15*Parametros!$B$13-(Parametros!$B$26-Parametros!$B$25)-Licencias!$H$14+INDEX(Parametros!$B:$B,MATCH("ahorro_laboral_monetizable_mes",Parametros!$A:$A,0))*IF(5&lt;=4,0,IF(5=5,Parametros!$B$13,1))</f>
        <v>435675825.1</v>
      </c>
      <c r="G11" s="49">
        <f t="array" ref="G11">(G8-G9)*(G10-1)+G9*G10*Parametros!$B$14*1+Parametros!$B$15*1-(Parametros!$B$26-Parametros!$B$25)-Licencias!$H$14+INDEX(Parametros!$B:$B,MATCH("ahorro_laboral_monetizable_mes",Parametros!$A:$A,0))*IF(6&lt;=4,0,IF(6=5,Parametros!$B$13,1))</f>
        <v>776016407.9</v>
      </c>
      <c r="H11" s="49">
        <f t="array" ref="H11">(H8-H9)*(H10-1)+H9*H10*Parametros!$B$14*1+Parametros!$B$15*1-(Parametros!$B$26-Parametros!$B$25)-Licencias!$H$14+INDEX(Parametros!$B:$B,MATCH("ahorro_laboral_monetizable_mes",Parametros!$A:$A,0))*IF(7&lt;=4,0,IF(7=5,Parametros!$B$13,1))</f>
        <v>821011362.8</v>
      </c>
      <c r="I11" s="49">
        <f t="array" ref="I11">(I8-I9)*(I10-1)+I9*I10*Parametros!$B$14*1+Parametros!$B$15*1-(Parametros!$B$26-Parametros!$B$25)-Licencias!$H$14+INDEX(Parametros!$B:$B,MATCH("ahorro_laboral_monetizable_mes",Parametros!$A:$A,0))*IF(8&lt;=4,0,IF(8=5,Parametros!$B$13,1))</f>
        <v>829505831.3</v>
      </c>
      <c r="J11" s="49">
        <f t="array" ref="J11">(J8-J9)*(J10-1)+J9*J10*Parametros!$B$14*1+Parametros!$B$15*1-(Parametros!$B$26-Parametros!$B$25)-Licencias!$H$14+INDEX(Parametros!$B:$B,MATCH("ahorro_laboral_monetizable_mes",Parametros!$A:$A,0))*IF(9&lt;=4,0,IF(9=5,Parametros!$B$13,1))</f>
        <v>951792159.3</v>
      </c>
      <c r="K11" s="49">
        <f t="array" ref="K11">(K8-K9)*(K10-1)+K9*K10*Parametros!$B$14*1+Parametros!$B$15*1-(Parametros!$B$26-Parametros!$B$25)-Licencias!$H$14+INDEX(Parametros!$B:$B,MATCH("ahorro_laboral_monetizable_mes",Parametros!$A:$A,0))*IF(10&lt;=4,0,IF(10=5,Parametros!$B$13,1))</f>
        <v>797859323</v>
      </c>
      <c r="L11" s="49">
        <f t="array" ref="L11">(L8-L9)*(L10-1)+L9*L10*Parametros!$B$14*1+Parametros!$B$15*1-(Parametros!$B$26-Parametros!$B$25)-Licencias!$H$14+INDEX(Parametros!$B:$B,MATCH("ahorro_laboral_monetizable_mes",Parametros!$A:$A,0))*IF(11&lt;=4,0,IF(11=5,Parametros!$B$13,1))</f>
        <v>744434164.2</v>
      </c>
      <c r="M11" s="49">
        <f t="array" ref="M11">(M8-M9)*(M10-1)+M9*M10*Parametros!$B$14*1+Parametros!$B$15*1-(Parametros!$B$26-Parametros!$B$25)-Licencias!$H$14+INDEX(Parametros!$B:$B,MATCH("ahorro_laboral_monetizable_mes",Parametros!$A:$A,0))*IF(12&lt;=4,0,IF(12=5,Parametros!$B$13,1))</f>
        <v>823773790.9</v>
      </c>
      <c r="N11" s="49">
        <f t="array" ref="N11">(N8-N9)*(N10-1)+N9*N10*Parametros!$B$14*1+Parametros!$B$15*1-(Parametros!$B$26-Parametros!$B$25)-Licencias!$H$14+INDEX(Parametros!$B:$B,MATCH("ahorro_laboral_monetizable_mes",Parametros!$A:$A,0))*IF(13&lt;=4,0,IF(13=5,Parametros!$B$13,1))</f>
        <v>750783783.9</v>
      </c>
      <c r="O11" s="49">
        <f t="array" ref="O11">(O8-O9)*(O10-1)+O9*O10*Parametros!$B$14*1+Parametros!$B$15*1-(Parametros!$B$26-Parametros!$B$25)-Licencias!$H$14+INDEX(Parametros!$B:$B,MATCH("ahorro_laboral_monetizable_mes",Parametros!$A:$A,0))*IF(14&lt;=4,0,IF(14=5,Parametros!$B$13,1))</f>
        <v>771495867.2</v>
      </c>
      <c r="P11" s="49">
        <f t="array" ref="P11">(P8-P9)*(P10-1)+P9*P10*Parametros!$B$14*1+Parametros!$B$15*1-(Parametros!$B$26-Parametros!$B$25)-Licencias!$H$14+INDEX(Parametros!$B:$B,MATCH("ahorro_laboral_monetizable_mes",Parametros!$A:$A,0))*IF(15&lt;=4,0,IF(15=5,Parametros!$B$13,1))</f>
        <v>801017452</v>
      </c>
      <c r="Q11" s="49">
        <f t="array" ref="Q11">(Q8-Q9)*(Q10-1)+Q9*Q10*Parametros!$B$14*1+Parametros!$B$15*1-(Parametros!$B$26-Parametros!$B$25)-Licencias!$H$14+INDEX(Parametros!$B:$B,MATCH("ahorro_laboral_monetizable_mes",Parametros!$A:$A,0))*IF(16&lt;=4,0,IF(16=5,Parametros!$B$13,1))</f>
        <v>845694315.6</v>
      </c>
      <c r="R11" s="49">
        <f t="array" ref="R11">(R8-R9)*(R10-1)+R9*R10*Parametros!$B$14*1+Parametros!$B$15*1-(Parametros!$B$26-Parametros!$B$25)-Licencias!$H$14+INDEX(Parametros!$B:$B,MATCH("ahorro_laboral_monetizable_mes",Parametros!$A:$A,0))*IF(17&lt;=4,0,IF(17=5,Parametros!$B$13,1))</f>
        <v>665135819.2</v>
      </c>
      <c r="S11" s="49">
        <f t="array" ref="S11">(S8-S9)*(S10-1)+S9*S10*Parametros!$B$14*1+Parametros!$B$15*1-(Parametros!$B$26-Parametros!$B$25)-Licencias!$H$14+INDEX(Parametros!$B:$B,MATCH("ahorro_laboral_monetizable_mes",Parametros!$A:$A,0))*IF(18&lt;=4,0,IF(18=5,Parametros!$B$13,1))</f>
        <v>776016407.9</v>
      </c>
      <c r="T11" s="49">
        <f t="array" ref="T11">(T8-T9)*(T10-1)+T9*T10*Parametros!$B$14*1+Parametros!$B$15*1-(Parametros!$B$26-Parametros!$B$25)-Licencias!$H$14+INDEX(Parametros!$B:$B,MATCH("ahorro_laboral_monetizable_mes",Parametros!$A:$A,0))*IF(19&lt;=4,0,IF(19=5,Parametros!$B$13,1))</f>
        <v>821011362.8</v>
      </c>
      <c r="U11" s="49">
        <f t="array" ref="U11">(U8-U9)*(U10-1)+U9*U10*Parametros!$B$14*1+Parametros!$B$15*1-(Parametros!$B$26-Parametros!$B$25)-Licencias!$H$14+INDEX(Parametros!$B:$B,MATCH("ahorro_laboral_monetizable_mes",Parametros!$A:$A,0))*IF(20&lt;=4,0,IF(20=5,Parametros!$B$13,1))</f>
        <v>829505831.3</v>
      </c>
      <c r="V11" s="49">
        <f t="array" ref="V11">(V8-V9)*(V10-1)+V9*V10*Parametros!$B$14*1+Parametros!$B$15*1-(Parametros!$B$26-Parametros!$B$25)-Licencias!$H$14+INDEX(Parametros!$B:$B,MATCH("ahorro_laboral_monetizable_mes",Parametros!$A:$A,0))*IF(21&lt;=4,0,IF(21=5,Parametros!$B$13,1))</f>
        <v>951792159.3</v>
      </c>
      <c r="W11" s="49">
        <f t="array" ref="W11">(W8-W9)*(W10-1)+W9*W10*Parametros!$B$14*1+Parametros!$B$15*1-(Parametros!$B$26-Parametros!$B$25)-Licencias!$H$14+INDEX(Parametros!$B:$B,MATCH("ahorro_laboral_monetizable_mes",Parametros!$A:$A,0))*IF(22&lt;=4,0,IF(22=5,Parametros!$B$13,1))</f>
        <v>797859323</v>
      </c>
      <c r="X11" s="49">
        <f t="array" ref="X11">(X8-X9)*(X10-1)+X9*X10*Parametros!$B$14*1+Parametros!$B$15*1-(Parametros!$B$26-Parametros!$B$25)-Licencias!$H$14+INDEX(Parametros!$B:$B,MATCH("ahorro_laboral_monetizable_mes",Parametros!$A:$A,0))*IF(23&lt;=4,0,IF(23=5,Parametros!$B$13,1))</f>
        <v>744434164.2</v>
      </c>
      <c r="Y11" s="49">
        <f t="array" ref="Y11">(Y8-Y9)*(Y10-1)+Y9*Y10*Parametros!$B$14*1+Parametros!$B$15*1-(Parametros!$B$26-Parametros!$B$25)-Licencias!$H$14+INDEX(Parametros!$B:$B,MATCH("ahorro_laboral_monetizable_mes",Parametros!$A:$A,0))*IF(24&lt;=4,0,IF(24=5,Parametros!$B$13,1))</f>
        <v>823773790.9</v>
      </c>
      <c r="Z11" s="49">
        <f t="array" ref="Z11">(Z8-Z9)*(Z10-1)+Z9*Z10*Parametros!$B$14*1+Parametros!$B$15*1-(Parametros!$B$26-Parametros!$B$25)-Licencias!$H$14+INDEX(Parametros!$B:$B,MATCH("ahorro_laboral_monetizable_mes",Parametros!$A:$A,0))*IF(25&lt;=4,0,IF(25=5,Parametros!$B$13,1))</f>
        <v>750783783.9</v>
      </c>
      <c r="AA11" s="49">
        <f t="array" ref="AA11">(AA8-AA9)*(AA10-1)+AA9*AA10*Parametros!$B$14*1+Parametros!$B$15*1-(Parametros!$B$26-Parametros!$B$25)-Licencias!$H$14+INDEX(Parametros!$B:$B,MATCH("ahorro_laboral_monetizable_mes",Parametros!$A:$A,0))*IF(26&lt;=4,0,IF(26=5,Parametros!$B$13,1))</f>
        <v>771495867.2</v>
      </c>
      <c r="AB11" s="49">
        <f t="array" ref="AB11">(AB8-AB9)*(AB10-1)+AB9*AB10*Parametros!$B$14*1+Parametros!$B$15*1-(Parametros!$B$26-Parametros!$B$25)-Licencias!$H$14+INDEX(Parametros!$B:$B,MATCH("ahorro_laboral_monetizable_mes",Parametros!$A:$A,0))*IF(27&lt;=4,0,IF(27=5,Parametros!$B$13,1))</f>
        <v>801017452</v>
      </c>
      <c r="AC11" s="49">
        <f t="array" ref="AC11">(AC8-AC9)*(AC10-1)+AC9*AC10*Parametros!$B$14*1+Parametros!$B$15*1-(Parametros!$B$26-Parametros!$B$25)-Licencias!$H$14+INDEX(Parametros!$B:$B,MATCH("ahorro_laboral_monetizable_mes",Parametros!$A:$A,0))*IF(28&lt;=4,0,IF(28=5,Parametros!$B$13,1))</f>
        <v>845694315.6</v>
      </c>
      <c r="AD11" s="49">
        <f t="array" ref="AD11">(AD8-AD9)*(AD10-1)+AD9*AD10*Parametros!$B$14*1+Parametros!$B$15*1-(Parametros!$B$26-Parametros!$B$25)-Licencias!$H$14+INDEX(Parametros!$B:$B,MATCH("ahorro_laboral_monetizable_mes",Parametros!$A:$A,0))*IF(29&lt;=4,0,IF(29=5,Parametros!$B$13,1))</f>
        <v>665135819.2</v>
      </c>
      <c r="AE11" s="49">
        <f t="array" ref="AE11">(AE8-AE9)*(AE10-1)+AE9*AE10*Parametros!$B$14*1+Parametros!$B$15*1-(Parametros!$B$26-Parametros!$B$25)-Licencias!$H$14+INDEX(Parametros!$B:$B,MATCH("ahorro_laboral_monetizable_mes",Parametros!$A:$A,0))*IF(30&lt;=4,0,IF(30=5,Parametros!$B$13,1))</f>
        <v>776016407.9</v>
      </c>
      <c r="AF11" s="49">
        <f t="array" ref="AF11">(AF8-AF9)*(AF10-1)+AF9*AF10*Parametros!$B$14*1+Parametros!$B$15*1-(Parametros!$B$26-Parametros!$B$25)-Licencias!$H$14+INDEX(Parametros!$B:$B,MATCH("ahorro_laboral_monetizable_mes",Parametros!$A:$A,0))*IF(31&lt;=4,0,IF(31=5,Parametros!$B$13,1))</f>
        <v>821011362.8</v>
      </c>
      <c r="AG11" s="49">
        <f t="array" ref="AG11">(AG8-AG9)*(AG10-1)+AG9*AG10*Parametros!$B$14*1+Parametros!$B$15*1-(Parametros!$B$26-Parametros!$B$25)-Licencias!$H$14+INDEX(Parametros!$B:$B,MATCH("ahorro_laboral_monetizable_mes",Parametros!$A:$A,0))*IF(32&lt;=4,0,IF(32=5,Parametros!$B$13,1))</f>
        <v>829505831.3</v>
      </c>
      <c r="AH11" s="49">
        <f t="array" ref="AH11">(AH8-AH9)*(AH10-1)+AH9*AH10*Parametros!$B$14*1+Parametros!$B$15*1-(Parametros!$B$26-Parametros!$B$25)-Licencias!$H$14+INDEX(Parametros!$B:$B,MATCH("ahorro_laboral_monetizable_mes",Parametros!$A:$A,0))*IF(33&lt;=4,0,IF(33=5,Parametros!$B$13,1))</f>
        <v>951792159.3</v>
      </c>
      <c r="AI11" s="49">
        <f t="array" ref="AI11">(AI8-AI9)*(AI10-1)+AI9*AI10*Parametros!$B$14*1+Parametros!$B$15*1-(Parametros!$B$26-Parametros!$B$25)-Licencias!$H$14+INDEX(Parametros!$B:$B,MATCH("ahorro_laboral_monetizable_mes",Parametros!$A:$A,0))*IF(34&lt;=4,0,IF(34=5,Parametros!$B$13,1))</f>
        <v>797859323</v>
      </c>
      <c r="AJ11" s="49">
        <f t="array" ref="AJ11">(AJ8-AJ9)*(AJ10-1)+AJ9*AJ10*Parametros!$B$14*1+Parametros!$B$15*1-(Parametros!$B$26-Parametros!$B$25)-Licencias!$H$14+INDEX(Parametros!$B:$B,MATCH("ahorro_laboral_monetizable_mes",Parametros!$A:$A,0))*IF(35&lt;=4,0,IF(35=5,Parametros!$B$13,1))</f>
        <v>744434164.2</v>
      </c>
      <c r="AK11" s="49">
        <f t="array" ref="AK11">(AK8-AK9)*(AK10-1)+AK9*AK10*Parametros!$B$14*1+Parametros!$B$15*1-(Parametros!$B$26-Parametros!$B$25)-Licencias!$H$14+INDEX(Parametros!$B:$B,MATCH("ahorro_laboral_monetizable_mes",Parametros!$A:$A,0))*IF(36&lt;=4,0,IF(36=5,Parametros!$B$13,1))</f>
        <v>823773790.9</v>
      </c>
      <c r="AL11" s="49">
        <f t="array" ref="AL11">(AL8-AL9)*(AL10-1)+AL9*AL10*Parametros!$B$14*1+Parametros!$B$15*1-(Parametros!$B$26-Parametros!$B$25)-Licencias!$H$14+INDEX(Parametros!$B:$B,MATCH("ahorro_laboral_monetizable_mes",Parametros!$A:$A,0))*IF(37&lt;=4,0,IF(37=5,Parametros!$B$13,1))</f>
        <v>750783783.9</v>
      </c>
      <c r="AM11" s="49">
        <f t="array" ref="AM11">(AM8-AM9)*(AM10-1)+AM9*AM10*Parametros!$B$14*1+Parametros!$B$15*1-(Parametros!$B$26-Parametros!$B$25)-Licencias!$H$14+INDEX(Parametros!$B:$B,MATCH("ahorro_laboral_monetizable_mes",Parametros!$A:$A,0))*IF(38&lt;=4,0,IF(38=5,Parametros!$B$13,1))</f>
        <v>771495867.2</v>
      </c>
      <c r="AN11" s="49">
        <f t="array" ref="AN11">(AN8-AN9)*(AN10-1)+AN9*AN10*Parametros!$B$14*1+Parametros!$B$15*1-(Parametros!$B$26-Parametros!$B$25)-Licencias!$H$14+INDEX(Parametros!$B:$B,MATCH("ahorro_laboral_monetizable_mes",Parametros!$A:$A,0))*IF(39&lt;=4,0,IF(39=5,Parametros!$B$13,1))</f>
        <v>801017452</v>
      </c>
      <c r="AO11" s="49">
        <f t="array" ref="AO11">(AO8-AO9)*(AO10-1)+AO9*AO10*Parametros!$B$14*1+Parametros!$B$15*1-(Parametros!$B$26-Parametros!$B$25)-Licencias!$H$14+INDEX(Parametros!$B:$B,MATCH("ahorro_laboral_monetizable_mes",Parametros!$A:$A,0))*IF(40&lt;=4,0,IF(40=5,Parametros!$B$13,1))</f>
        <v>845694315.6</v>
      </c>
      <c r="AP11" s="49">
        <f t="array" ref="AP11">(AP8-AP9)*(AP10-1)+AP9*AP10*Parametros!$B$14*1+Parametros!$B$15*1-(Parametros!$B$26-Parametros!$B$25)-Licencias!$H$14+INDEX(Parametros!$B:$B,MATCH("ahorro_laboral_monetizable_mes",Parametros!$A:$A,0))*IF(41&lt;=4,0,IF(41=5,Parametros!$B$13,1))</f>
        <v>665135819.2</v>
      </c>
      <c r="AQ11" s="49">
        <f t="array" ref="AQ11">(AQ8-AQ9)*(AQ10-1)+AQ9*AQ10*Parametros!$B$14*1+Parametros!$B$15*1-(Parametros!$B$26-Parametros!$B$25)-Licencias!$H$14+INDEX(Parametros!$B:$B,MATCH("ahorro_laboral_monetizable_mes",Parametros!$A:$A,0))*IF(42&lt;=4,0,IF(42=5,Parametros!$B$13,1))</f>
        <v>776016407.9</v>
      </c>
      <c r="AR11" s="49">
        <f t="array" ref="AR11">(AR8-AR9)*(AR10-1)+AR9*AR10*Parametros!$B$14*1+Parametros!$B$15*1-(Parametros!$B$26-Parametros!$B$25)-Licencias!$H$14+INDEX(Parametros!$B:$B,MATCH("ahorro_laboral_monetizable_mes",Parametros!$A:$A,0))*IF(43&lt;=4,0,IF(43=5,Parametros!$B$13,1))</f>
        <v>821011362.8</v>
      </c>
      <c r="AS11" s="49">
        <f t="array" ref="AS11">(AS8-AS9)*(AS10-1)+AS9*AS10*Parametros!$B$14*1+Parametros!$B$15*1-(Parametros!$B$26-Parametros!$B$25)-Licencias!$H$14+INDEX(Parametros!$B:$B,MATCH("ahorro_laboral_monetizable_mes",Parametros!$A:$A,0))*IF(44&lt;=4,0,IF(44=5,Parametros!$B$13,1))</f>
        <v>829505831.3</v>
      </c>
      <c r="AT11" s="49">
        <f t="array" ref="AT11">(AT8-AT9)*(AT10-1)+AT9*AT10*Parametros!$B$14*1+Parametros!$B$15*1-(Parametros!$B$26-Parametros!$B$25)-Licencias!$H$14+INDEX(Parametros!$B:$B,MATCH("ahorro_laboral_monetizable_mes",Parametros!$A:$A,0))*IF(45&lt;=4,0,IF(45=5,Parametros!$B$13,1))</f>
        <v>951792159.3</v>
      </c>
      <c r="AU11" s="49">
        <f t="array" ref="AU11">(AU8-AU9)*(AU10-1)+AU9*AU10*Parametros!$B$14*1+Parametros!$B$15*1-(Parametros!$B$26-Parametros!$B$25)-Licencias!$H$14+INDEX(Parametros!$B:$B,MATCH("ahorro_laboral_monetizable_mes",Parametros!$A:$A,0))*IF(46&lt;=4,0,IF(46=5,Parametros!$B$13,1))</f>
        <v>797859323</v>
      </c>
      <c r="AV11" s="49">
        <f t="array" ref="AV11">(AV8-AV9)*(AV10-1)+AV9*AV10*Parametros!$B$14*1+Parametros!$B$15*1-(Parametros!$B$26-Parametros!$B$25)-Licencias!$H$14+INDEX(Parametros!$B:$B,MATCH("ahorro_laboral_monetizable_mes",Parametros!$A:$A,0))*IF(47&lt;=4,0,IF(47=5,Parametros!$B$13,1))</f>
        <v>744434164.2</v>
      </c>
      <c r="AW11" s="49">
        <f t="array" ref="AW11">(AW8-AW9)*(AW10-1)+AW9*AW10*Parametros!$B$14*1+Parametros!$B$15*1-(Parametros!$B$26-Parametros!$B$25)-Licencias!$H$14+INDEX(Parametros!$B:$B,MATCH("ahorro_laboral_monetizable_mes",Parametros!$A:$A,0))*IF(48&lt;=4,0,IF(48=5,Parametros!$B$13,1))</f>
        <v>823773790.9</v>
      </c>
      <c r="AX11" s="49">
        <f t="array" ref="AX11">(AX8-AX9)*(AX10-1)+AX9*AX10*Parametros!$B$14*1+Parametros!$B$15*1-(Parametros!$B$26-Parametros!$B$25)-Licencias!$H$14+INDEX(Parametros!$B:$B,MATCH("ahorro_laboral_monetizable_mes",Parametros!$A:$A,0))*IF(49&lt;=4,0,IF(49=5,Parametros!$B$13,1))</f>
        <v>750783783.9</v>
      </c>
      <c r="AY11" s="49">
        <f t="array" ref="AY11">(AY8-AY9)*(AY10-1)+AY9*AY10*Parametros!$B$14*1+Parametros!$B$15*1-(Parametros!$B$26-Parametros!$B$25)-Licencias!$H$14+INDEX(Parametros!$B:$B,MATCH("ahorro_laboral_monetizable_mes",Parametros!$A:$A,0))*IF(50&lt;=4,0,IF(50=5,Parametros!$B$13,1))</f>
        <v>771495867.2</v>
      </c>
      <c r="AZ11" s="49">
        <f t="array" ref="AZ11">(AZ8-AZ9)*(AZ10-1)+AZ9*AZ10*Parametros!$B$14*1+Parametros!$B$15*1-(Parametros!$B$26-Parametros!$B$25)-Licencias!$H$14+INDEX(Parametros!$B:$B,MATCH("ahorro_laboral_monetizable_mes",Parametros!$A:$A,0))*IF(51&lt;=4,0,IF(51=5,Parametros!$B$13,1))</f>
        <v>801017452</v>
      </c>
      <c r="BA11" s="49">
        <f t="array" ref="BA11">(BA8-BA9)*(BA10-1)+BA9*BA10*Parametros!$B$14*1+Parametros!$B$15*1-(Parametros!$B$26-Parametros!$B$25)-Licencias!$H$14+INDEX(Parametros!$B:$B,MATCH("ahorro_laboral_monetizable_mes",Parametros!$A:$A,0))*IF(52&lt;=4,0,IF(52=5,Parametros!$B$13,1))</f>
        <v>845694315.6</v>
      </c>
      <c r="BB11" s="49">
        <f t="array" ref="BB11">(BB8-BB9)*(BB10-1)+BB9*BB10*Parametros!$B$14*1+Parametros!$B$15*1-(Parametros!$B$26-Parametros!$B$25)-Licencias!$H$14+INDEX(Parametros!$B:$B,MATCH("ahorro_laboral_monetizable_mes",Parametros!$A:$A,0))*IF(53&lt;=4,0,IF(53=5,Parametros!$B$13,1))</f>
        <v>665135819.2</v>
      </c>
      <c r="BC11" s="49">
        <f t="array" ref="BC11">(BC8-BC9)*(BC10-1)+BC9*BC10*Parametros!$B$14*1+Parametros!$B$15*1-(Parametros!$B$26-Parametros!$B$25)-Licencias!$H$14+INDEX(Parametros!$B:$B,MATCH("ahorro_laboral_monetizable_mes",Parametros!$A:$A,0))*IF(54&lt;=4,0,IF(54=5,Parametros!$B$13,1))</f>
        <v>776016407.9</v>
      </c>
      <c r="BD11" s="49">
        <f t="array" ref="BD11">(BD8-BD9)*(BD10-1)+BD9*BD10*Parametros!$B$14*1+Parametros!$B$15*1-(Parametros!$B$26-Parametros!$B$25)-Licencias!$H$14+INDEX(Parametros!$B:$B,MATCH("ahorro_laboral_monetizable_mes",Parametros!$A:$A,0))*IF(55&lt;=4,0,IF(55=5,Parametros!$B$13,1))</f>
        <v>821011362.8</v>
      </c>
      <c r="BE11" s="49">
        <f t="array" ref="BE11">(BE8-BE9)*(BE10-1)+BE9*BE10*Parametros!$B$14*1+Parametros!$B$15*1-(Parametros!$B$26-Parametros!$B$25)-Licencias!$H$14+INDEX(Parametros!$B:$B,MATCH("ahorro_laboral_monetizable_mes",Parametros!$A:$A,0))*IF(56&lt;=4,0,IF(56=5,Parametros!$B$13,1))</f>
        <v>829505831.3</v>
      </c>
      <c r="BF11" s="49">
        <f t="array" ref="BF11">(BF8-BF9)*(BF10-1)+BF9*BF10*Parametros!$B$14*1+Parametros!$B$15*1-(Parametros!$B$26-Parametros!$B$25)-Licencias!$H$14+INDEX(Parametros!$B:$B,MATCH("ahorro_laboral_monetizable_mes",Parametros!$A:$A,0))*IF(57&lt;=4,0,IF(57=5,Parametros!$B$13,1))</f>
        <v>951792159.3</v>
      </c>
      <c r="BG11" s="49">
        <f t="array" ref="BG11">(BG8-BG9)*(BG10-1)+BG9*BG10*Parametros!$B$14*1+Parametros!$B$15*1-(Parametros!$B$26-Parametros!$B$25)-Licencias!$H$14+INDEX(Parametros!$B:$B,MATCH("ahorro_laboral_monetizable_mes",Parametros!$A:$A,0))*IF(58&lt;=4,0,IF(58=5,Parametros!$B$13,1))</f>
        <v>797859323</v>
      </c>
      <c r="BH11" s="49">
        <f t="array" ref="BH11">(BH8-BH9)*(BH10-1)+BH9*BH10*Parametros!$B$14*1+Parametros!$B$15*1-(Parametros!$B$26-Parametros!$B$25)-Licencias!$H$14+INDEX(Parametros!$B:$B,MATCH("ahorro_laboral_monetizable_mes",Parametros!$A:$A,0))*IF(59&lt;=4,0,IF(59=5,Parametros!$B$13,1))</f>
        <v>744434164.2</v>
      </c>
      <c r="BI11" s="49">
        <f t="array" ref="BI11">(BI8-BI9)*(BI10-1)+BI9*BI10*Parametros!$B$14*1+Parametros!$B$15*1-(Parametros!$B$26-Parametros!$B$25)-Licencias!$H$14+INDEX(Parametros!$B:$B,MATCH("ahorro_laboral_monetizable_mes",Parametros!$A:$A,0))*IF(60&lt;=4,0,IF(60=5,Parametros!$B$13,1))</f>
        <v>823773790.9</v>
      </c>
    </row>
    <row r="12">
      <c r="A12" s="22" t="s">
        <v>648</v>
      </c>
      <c r="B12" s="49">
        <f t="shared" ref="B12:E12" si="2">0</f>
        <v>0</v>
      </c>
      <c r="C12" s="49">
        <f t="shared" si="2"/>
        <v>0</v>
      </c>
      <c r="D12" s="49">
        <f t="shared" si="2"/>
        <v>0</v>
      </c>
      <c r="E12" s="49">
        <f t="shared" si="2"/>
        <v>0</v>
      </c>
      <c r="F12" s="49">
        <f>Dep_Amort!$D$10</f>
        <v>95119494.91</v>
      </c>
      <c r="G12" s="49">
        <f>Dep_Amort!$D$10</f>
        <v>95119494.91</v>
      </c>
      <c r="H12" s="49">
        <f>Dep_Amort!$D$10</f>
        <v>95119494.91</v>
      </c>
      <c r="I12" s="49">
        <f>Dep_Amort!$D$10</f>
        <v>95119494.91</v>
      </c>
      <c r="J12" s="49">
        <f>Dep_Amort!$D$10</f>
        <v>95119494.91</v>
      </c>
      <c r="K12" s="49">
        <f>Dep_Amort!$D$10</f>
        <v>95119494.91</v>
      </c>
      <c r="L12" s="49">
        <f>Dep_Amort!$D$10</f>
        <v>95119494.91</v>
      </c>
      <c r="M12" s="49">
        <f>Dep_Amort!$D$10</f>
        <v>95119494.91</v>
      </c>
      <c r="N12" s="49">
        <f>Dep_Amort!$D$10</f>
        <v>95119494.91</v>
      </c>
      <c r="O12" s="49">
        <f>Dep_Amort!$D$10</f>
        <v>95119494.91</v>
      </c>
      <c r="P12" s="49">
        <f>Dep_Amort!$D$10</f>
        <v>95119494.91</v>
      </c>
      <c r="Q12" s="49">
        <f>Dep_Amort!$D$10</f>
        <v>95119494.91</v>
      </c>
      <c r="R12" s="49">
        <f>Dep_Amort!$D$10</f>
        <v>95119494.91</v>
      </c>
      <c r="S12" s="49">
        <f>Dep_Amort!$D$10</f>
        <v>95119494.91</v>
      </c>
      <c r="T12" s="49">
        <f>Dep_Amort!$D$10</f>
        <v>95119494.91</v>
      </c>
      <c r="U12" s="49">
        <f>Dep_Amort!$D$10</f>
        <v>95119494.91</v>
      </c>
      <c r="V12" s="49">
        <f>Dep_Amort!$D$10</f>
        <v>95119494.91</v>
      </c>
      <c r="W12" s="49">
        <f>Dep_Amort!$D$10</f>
        <v>95119494.91</v>
      </c>
      <c r="X12" s="49">
        <f>Dep_Amort!$D$10</f>
        <v>95119494.91</v>
      </c>
      <c r="Y12" s="49">
        <f>Dep_Amort!$D$10</f>
        <v>95119494.91</v>
      </c>
      <c r="Z12" s="49">
        <f>Dep_Amort!$D$10</f>
        <v>95119494.91</v>
      </c>
      <c r="AA12" s="49">
        <f>Dep_Amort!$D$10</f>
        <v>95119494.91</v>
      </c>
      <c r="AB12" s="49">
        <f>Dep_Amort!$D$10</f>
        <v>95119494.91</v>
      </c>
      <c r="AC12" s="49">
        <f>Dep_Amort!$D$10</f>
        <v>95119494.91</v>
      </c>
      <c r="AD12" s="49">
        <f>Dep_Amort!$D$10</f>
        <v>95119494.91</v>
      </c>
      <c r="AE12" s="49">
        <f>Dep_Amort!$D$10</f>
        <v>95119494.91</v>
      </c>
      <c r="AF12" s="49">
        <f>Dep_Amort!$D$10</f>
        <v>95119494.91</v>
      </c>
      <c r="AG12" s="49">
        <f>Dep_Amort!$D$10</f>
        <v>95119494.91</v>
      </c>
      <c r="AH12" s="49">
        <f>Dep_Amort!$D$10</f>
        <v>95119494.91</v>
      </c>
      <c r="AI12" s="49">
        <f>Dep_Amort!$D$10</f>
        <v>95119494.91</v>
      </c>
      <c r="AJ12" s="49">
        <f>Dep_Amort!$D$10</f>
        <v>95119494.91</v>
      </c>
      <c r="AK12" s="49">
        <f>Dep_Amort!$D$10</f>
        <v>95119494.91</v>
      </c>
      <c r="AL12" s="49">
        <f>Dep_Amort!$D$10</f>
        <v>95119494.91</v>
      </c>
      <c r="AM12" s="49">
        <f>Dep_Amort!$D$10</f>
        <v>95119494.91</v>
      </c>
      <c r="AN12" s="49">
        <f>Dep_Amort!$D$10</f>
        <v>95119494.91</v>
      </c>
      <c r="AO12" s="49">
        <f>Dep_Amort!$D$10</f>
        <v>95119494.91</v>
      </c>
      <c r="AP12" s="49">
        <f>Dep_Amort!$D$10</f>
        <v>95119494.91</v>
      </c>
      <c r="AQ12" s="49">
        <f>Dep_Amort!$D$10</f>
        <v>95119494.91</v>
      </c>
      <c r="AR12" s="49">
        <f>Dep_Amort!$D$10</f>
        <v>95119494.91</v>
      </c>
      <c r="AS12" s="49">
        <f>Dep_Amort!$D$10</f>
        <v>95119494.91</v>
      </c>
      <c r="AT12" s="49">
        <f>Dep_Amort!$D$10</f>
        <v>95119494.91</v>
      </c>
      <c r="AU12" s="49">
        <f>Dep_Amort!$D$10</f>
        <v>95119494.91</v>
      </c>
      <c r="AV12" s="49">
        <f>Dep_Amort!$D$10</f>
        <v>95119494.91</v>
      </c>
      <c r="AW12" s="49">
        <f>Dep_Amort!$D$10</f>
        <v>95119494.91</v>
      </c>
      <c r="AX12" s="49">
        <f>Dep_Amort!$D$10</f>
        <v>95119494.91</v>
      </c>
      <c r="AY12" s="49">
        <f>Dep_Amort!$D$10</f>
        <v>95119494.91</v>
      </c>
      <c r="AZ12" s="49">
        <f>Dep_Amort!$D$10</f>
        <v>95119494.91</v>
      </c>
      <c r="BA12" s="49">
        <f>Dep_Amort!$D$10</f>
        <v>95119494.91</v>
      </c>
      <c r="BB12" s="49">
        <f>Dep_Amort!$D$10</f>
        <v>95119494.91</v>
      </c>
      <c r="BC12" s="49">
        <f>Dep_Amort!$D$10</f>
        <v>95119494.91</v>
      </c>
      <c r="BD12" s="49">
        <f>Dep_Amort!$D$10</f>
        <v>95119494.91</v>
      </c>
      <c r="BE12" s="49">
        <f>Dep_Amort!$D$10</f>
        <v>95119494.91</v>
      </c>
      <c r="BF12" s="49">
        <f>Dep_Amort!$D$10</f>
        <v>95119494.91</v>
      </c>
      <c r="BG12" s="49">
        <f>Dep_Amort!$D$10</f>
        <v>95119494.91</v>
      </c>
      <c r="BH12" s="49">
        <f>Dep_Amort!$D$10</f>
        <v>95119494.91</v>
      </c>
      <c r="BI12" s="49">
        <f>Dep_Amort!$D$10</f>
        <v>95119494.91</v>
      </c>
    </row>
    <row r="13">
      <c r="A13" s="22" t="s">
        <v>649</v>
      </c>
      <c r="B13" s="49">
        <f>MAX(0,B11-B12)*Parametros!$B$8</f>
        <v>0</v>
      </c>
      <c r="C13" s="49">
        <f>MAX(0,C11-C12)*Parametros!$B$8</f>
        <v>0</v>
      </c>
      <c r="D13" s="49">
        <f>MAX(0,D11-D12)*Parametros!$B$8</f>
        <v>0</v>
      </c>
      <c r="E13" s="49">
        <f>MAX(0,E11-E12)*Parametros!$B$8</f>
        <v>0</v>
      </c>
      <c r="F13" s="49">
        <f>MAX(0,F11-F12)*Parametros!$B$8</f>
        <v>119194715.6</v>
      </c>
      <c r="G13" s="49">
        <f>MAX(0,G11-G12)*Parametros!$B$8</f>
        <v>238313919.6</v>
      </c>
      <c r="H13" s="49">
        <f>MAX(0,H11-H12)*Parametros!$B$8</f>
        <v>254062153.8</v>
      </c>
      <c r="I13" s="49">
        <f>MAX(0,I11-I12)*Parametros!$B$8</f>
        <v>257035217.7</v>
      </c>
      <c r="J13" s="49">
        <f>MAX(0,J11-J12)*Parametros!$B$8</f>
        <v>299835432.5</v>
      </c>
      <c r="K13" s="49">
        <f>MAX(0,K11-K12)*Parametros!$B$8</f>
        <v>245958939.8</v>
      </c>
      <c r="L13" s="49">
        <f>MAX(0,L11-L12)*Parametros!$B$8</f>
        <v>227260134.3</v>
      </c>
      <c r="M13" s="49">
        <f>MAX(0,M11-M12)*Parametros!$B$8</f>
        <v>255029003.6</v>
      </c>
      <c r="N13" s="49">
        <f>MAX(0,N11-N12)*Parametros!$B$8</f>
        <v>229482501.1</v>
      </c>
      <c r="O13" s="49">
        <f>MAX(0,O11-O12)*Parametros!$B$8</f>
        <v>236731730.3</v>
      </c>
      <c r="P13" s="49">
        <f>MAX(0,P11-P12)*Parametros!$B$8</f>
        <v>247064285</v>
      </c>
      <c r="Q13" s="49">
        <f>MAX(0,Q11-Q12)*Parametros!$B$8</f>
        <v>262701187.3</v>
      </c>
      <c r="R13" s="49">
        <f>MAX(0,R11-R12)*Parametros!$B$8</f>
        <v>199505713.5</v>
      </c>
      <c r="S13" s="49">
        <f>MAX(0,S11-S12)*Parametros!$B$8</f>
        <v>238313919.6</v>
      </c>
      <c r="T13" s="49">
        <f>MAX(0,T11-T12)*Parametros!$B$8</f>
        <v>254062153.8</v>
      </c>
      <c r="U13" s="49">
        <f>MAX(0,U11-U12)*Parametros!$B$8</f>
        <v>257035217.7</v>
      </c>
      <c r="V13" s="49">
        <f>MAX(0,V11-V12)*Parametros!$B$8</f>
        <v>299835432.5</v>
      </c>
      <c r="W13" s="49">
        <f>MAX(0,W11-W12)*Parametros!$B$8</f>
        <v>245958939.8</v>
      </c>
      <c r="X13" s="49">
        <f>MAX(0,X11-X12)*Parametros!$B$8</f>
        <v>227260134.3</v>
      </c>
      <c r="Y13" s="49">
        <f>MAX(0,Y11-Y12)*Parametros!$B$8</f>
        <v>255029003.6</v>
      </c>
      <c r="Z13" s="49">
        <f>MAX(0,Z11-Z12)*Parametros!$B$8</f>
        <v>229482501.1</v>
      </c>
      <c r="AA13" s="49">
        <f>MAX(0,AA11-AA12)*Parametros!$B$8</f>
        <v>236731730.3</v>
      </c>
      <c r="AB13" s="49">
        <f>MAX(0,AB11-AB12)*Parametros!$B$8</f>
        <v>247064285</v>
      </c>
      <c r="AC13" s="49">
        <f>MAX(0,AC11-AC12)*Parametros!$B$8</f>
        <v>262701187.3</v>
      </c>
      <c r="AD13" s="49">
        <f>MAX(0,AD11-AD12)*Parametros!$B$8</f>
        <v>199505713.5</v>
      </c>
      <c r="AE13" s="49">
        <f>MAX(0,AE11-AE12)*Parametros!$B$8</f>
        <v>238313919.6</v>
      </c>
      <c r="AF13" s="49">
        <f>MAX(0,AF11-AF12)*Parametros!$B$8</f>
        <v>254062153.8</v>
      </c>
      <c r="AG13" s="49">
        <f>MAX(0,AG11-AG12)*Parametros!$B$8</f>
        <v>257035217.7</v>
      </c>
      <c r="AH13" s="49">
        <f>MAX(0,AH11-AH12)*Parametros!$B$8</f>
        <v>299835432.5</v>
      </c>
      <c r="AI13" s="49">
        <f>MAX(0,AI11-AI12)*Parametros!$B$8</f>
        <v>245958939.8</v>
      </c>
      <c r="AJ13" s="49">
        <f>MAX(0,AJ11-AJ12)*Parametros!$B$8</f>
        <v>227260134.3</v>
      </c>
      <c r="AK13" s="49">
        <f>MAX(0,AK11-AK12)*Parametros!$B$8</f>
        <v>255029003.6</v>
      </c>
      <c r="AL13" s="49">
        <f>MAX(0,AL11-AL12)*Parametros!$B$8</f>
        <v>229482501.1</v>
      </c>
      <c r="AM13" s="49">
        <f>MAX(0,AM11-AM12)*Parametros!$B$8</f>
        <v>236731730.3</v>
      </c>
      <c r="AN13" s="49">
        <f>MAX(0,AN11-AN12)*Parametros!$B$8</f>
        <v>247064285</v>
      </c>
      <c r="AO13" s="49">
        <f>MAX(0,AO11-AO12)*Parametros!$B$8</f>
        <v>262701187.3</v>
      </c>
      <c r="AP13" s="49">
        <f>MAX(0,AP11-AP12)*Parametros!$B$8</f>
        <v>199505713.5</v>
      </c>
      <c r="AQ13" s="49">
        <f>MAX(0,AQ11-AQ12)*Parametros!$B$8</f>
        <v>238313919.6</v>
      </c>
      <c r="AR13" s="49">
        <f>MAX(0,AR11-AR12)*Parametros!$B$8</f>
        <v>254062153.8</v>
      </c>
      <c r="AS13" s="49">
        <f>MAX(0,AS11-AS12)*Parametros!$B$8</f>
        <v>257035217.7</v>
      </c>
      <c r="AT13" s="49">
        <f>MAX(0,AT11-AT12)*Parametros!$B$8</f>
        <v>299835432.5</v>
      </c>
      <c r="AU13" s="49">
        <f>MAX(0,AU11-AU12)*Parametros!$B$8</f>
        <v>245958939.8</v>
      </c>
      <c r="AV13" s="49">
        <f>MAX(0,AV11-AV12)*Parametros!$B$8</f>
        <v>227260134.3</v>
      </c>
      <c r="AW13" s="49">
        <f>MAX(0,AW11-AW12)*Parametros!$B$8</f>
        <v>255029003.6</v>
      </c>
      <c r="AX13" s="49">
        <f>MAX(0,AX11-AX12)*Parametros!$B$8</f>
        <v>229482501.1</v>
      </c>
      <c r="AY13" s="49">
        <f>MAX(0,AY11-AY12)*Parametros!$B$8</f>
        <v>236731730.3</v>
      </c>
      <c r="AZ13" s="49">
        <f>MAX(0,AZ11-AZ12)*Parametros!$B$8</f>
        <v>247064285</v>
      </c>
      <c r="BA13" s="49">
        <f>MAX(0,BA11-BA12)*Parametros!$B$8</f>
        <v>262701187.3</v>
      </c>
      <c r="BB13" s="49">
        <f>MAX(0,BB11-BB12)*Parametros!$B$8</f>
        <v>199505713.5</v>
      </c>
      <c r="BC13" s="49">
        <f>MAX(0,BC11-BC12)*Parametros!$B$8</f>
        <v>238313919.6</v>
      </c>
      <c r="BD13" s="49">
        <f>MAX(0,BD11-BD12)*Parametros!$B$8</f>
        <v>254062153.8</v>
      </c>
      <c r="BE13" s="49">
        <f>MAX(0,BE11-BE12)*Parametros!$B$8</f>
        <v>257035217.7</v>
      </c>
      <c r="BF13" s="49">
        <f>MAX(0,BF11-BF12)*Parametros!$B$8</f>
        <v>299835432.5</v>
      </c>
      <c r="BG13" s="49">
        <f>MAX(0,BG11-BG12)*Parametros!$B$8</f>
        <v>245958939.8</v>
      </c>
      <c r="BH13" s="49">
        <f>MAX(0,BH11-BH12)*Parametros!$B$8</f>
        <v>227260134.3</v>
      </c>
      <c r="BI13" s="49">
        <f>MAX(0,BI11-BI12)*Parametros!$B$8</f>
        <v>255029003.6</v>
      </c>
    </row>
    <row r="14">
      <c r="A14" s="24" t="s">
        <v>650</v>
      </c>
      <c r="B14" s="49">
        <f t="array" ref="B14">B11-B13-INDEX(CAPEX!$G:$G,MATCH("CAPEX TOTAL (con contingencia)",CAPEX!$C:$C,0))*Parametros!$B$28-INDEX(RRHH!$E:$E,MATCH("Costo mensual IMPLEMENTACION (→ pre-op)",RRHH!$A:$A,0))</f>
        <v>-1920272609</v>
      </c>
      <c r="C14" s="49">
        <f t="array" ref="C14">C11-C13-INDEX(CAPEX!$G:$G,MATCH("CAPEX TOTAL (con contingencia)",CAPEX!$C:$C,0))*Parametros!$B$29-INDEX(RRHH!$E:$E,MATCH("Costo mensual IMPLEMENTACION (→ pre-op)",RRHH!$A:$A,0))</f>
        <v>-3295105746</v>
      </c>
      <c r="D14" s="49">
        <f t="array" ref="D14">D11-D13-INDEX(CAPEX!$G:$G,MATCH("CAPEX TOTAL (con contingencia)",CAPEX!$C:$C,0))*Parametros!$B$30-INDEX(RRHH!$E:$E,MATCH("Costo mensual IMPLEMENTACION (→ pre-op)",RRHH!$A:$A,0))</f>
        <v>-2561861406</v>
      </c>
      <c r="E14" s="49">
        <f t="array" ref="E14">E11-E13-INDEX(CAPEX!$G:$G,MATCH("CAPEX TOTAL (con contingencia)",CAPEX!$C:$C,0))*Parametros!$B$31-INDEX(RRHH!$E:$E,MATCH("Costo mensual IMPLEMENTACION (→ pre-op)",RRHH!$A:$A,0))</f>
        <v>-1736961524</v>
      </c>
      <c r="F14" s="49">
        <f>F11-F13-Parametros!$B$16*($G$8*($G$10-1))</f>
        <v>191483809.7</v>
      </c>
      <c r="G14" s="49">
        <f t="shared" ref="G14:BH14" si="3">G11-G13</f>
        <v>537702488.4</v>
      </c>
      <c r="H14" s="49">
        <f t="shared" si="3"/>
        <v>566949209.1</v>
      </c>
      <c r="I14" s="49">
        <f t="shared" si="3"/>
        <v>572470613.5</v>
      </c>
      <c r="J14" s="49">
        <f t="shared" si="3"/>
        <v>651956726.8</v>
      </c>
      <c r="K14" s="49">
        <f t="shared" si="3"/>
        <v>551900383.2</v>
      </c>
      <c r="L14" s="49">
        <f t="shared" si="3"/>
        <v>517174030</v>
      </c>
      <c r="M14" s="49">
        <f t="shared" si="3"/>
        <v>568744787.3</v>
      </c>
      <c r="N14" s="49">
        <f t="shared" si="3"/>
        <v>521301282.7</v>
      </c>
      <c r="O14" s="49">
        <f t="shared" si="3"/>
        <v>534764136.9</v>
      </c>
      <c r="P14" s="49">
        <f t="shared" si="3"/>
        <v>553953167</v>
      </c>
      <c r="Q14" s="49">
        <f t="shared" si="3"/>
        <v>582993128.4</v>
      </c>
      <c r="R14" s="49">
        <f t="shared" si="3"/>
        <v>465630105.7</v>
      </c>
      <c r="S14" s="49">
        <f t="shared" si="3"/>
        <v>537702488.4</v>
      </c>
      <c r="T14" s="49">
        <f t="shared" si="3"/>
        <v>566949209.1</v>
      </c>
      <c r="U14" s="49">
        <f t="shared" si="3"/>
        <v>572470613.5</v>
      </c>
      <c r="V14" s="49">
        <f t="shared" si="3"/>
        <v>651956726.8</v>
      </c>
      <c r="W14" s="49">
        <f t="shared" si="3"/>
        <v>551900383.2</v>
      </c>
      <c r="X14" s="49">
        <f t="shared" si="3"/>
        <v>517174030</v>
      </c>
      <c r="Y14" s="49">
        <f t="shared" si="3"/>
        <v>568744787.3</v>
      </c>
      <c r="Z14" s="49">
        <f t="shared" si="3"/>
        <v>521301282.7</v>
      </c>
      <c r="AA14" s="49">
        <f t="shared" si="3"/>
        <v>534764136.9</v>
      </c>
      <c r="AB14" s="49">
        <f t="shared" si="3"/>
        <v>553953167</v>
      </c>
      <c r="AC14" s="49">
        <f t="shared" si="3"/>
        <v>582993128.4</v>
      </c>
      <c r="AD14" s="49">
        <f t="shared" si="3"/>
        <v>465630105.7</v>
      </c>
      <c r="AE14" s="49">
        <f t="shared" si="3"/>
        <v>537702488.4</v>
      </c>
      <c r="AF14" s="49">
        <f t="shared" si="3"/>
        <v>566949209.1</v>
      </c>
      <c r="AG14" s="49">
        <f t="shared" si="3"/>
        <v>572470613.5</v>
      </c>
      <c r="AH14" s="49">
        <f t="shared" si="3"/>
        <v>651956726.8</v>
      </c>
      <c r="AI14" s="49">
        <f t="shared" si="3"/>
        <v>551900383.2</v>
      </c>
      <c r="AJ14" s="49">
        <f t="shared" si="3"/>
        <v>517174030</v>
      </c>
      <c r="AK14" s="49">
        <f t="shared" si="3"/>
        <v>568744787.3</v>
      </c>
      <c r="AL14" s="49">
        <f t="shared" si="3"/>
        <v>521301282.7</v>
      </c>
      <c r="AM14" s="49">
        <f t="shared" si="3"/>
        <v>534764136.9</v>
      </c>
      <c r="AN14" s="49">
        <f t="shared" si="3"/>
        <v>553953167</v>
      </c>
      <c r="AO14" s="49">
        <f t="shared" si="3"/>
        <v>582993128.4</v>
      </c>
      <c r="AP14" s="49">
        <f t="shared" si="3"/>
        <v>465630105.7</v>
      </c>
      <c r="AQ14" s="49">
        <f t="shared" si="3"/>
        <v>537702488.4</v>
      </c>
      <c r="AR14" s="49">
        <f t="shared" si="3"/>
        <v>566949209.1</v>
      </c>
      <c r="AS14" s="49">
        <f t="shared" si="3"/>
        <v>572470613.5</v>
      </c>
      <c r="AT14" s="49">
        <f t="shared" si="3"/>
        <v>651956726.8</v>
      </c>
      <c r="AU14" s="49">
        <f t="shared" si="3"/>
        <v>551900383.2</v>
      </c>
      <c r="AV14" s="49">
        <f t="shared" si="3"/>
        <v>517174030</v>
      </c>
      <c r="AW14" s="49">
        <f t="shared" si="3"/>
        <v>568744787.3</v>
      </c>
      <c r="AX14" s="49">
        <f t="shared" si="3"/>
        <v>521301282.7</v>
      </c>
      <c r="AY14" s="49">
        <f t="shared" si="3"/>
        <v>534764136.9</v>
      </c>
      <c r="AZ14" s="49">
        <f t="shared" si="3"/>
        <v>553953167</v>
      </c>
      <c r="BA14" s="49">
        <f t="shared" si="3"/>
        <v>582993128.4</v>
      </c>
      <c r="BB14" s="49">
        <f t="shared" si="3"/>
        <v>465630105.7</v>
      </c>
      <c r="BC14" s="49">
        <f t="shared" si="3"/>
        <v>537702488.4</v>
      </c>
      <c r="BD14" s="49">
        <f t="shared" si="3"/>
        <v>566949209.1</v>
      </c>
      <c r="BE14" s="49">
        <f t="shared" si="3"/>
        <v>572470613.5</v>
      </c>
      <c r="BF14" s="49">
        <f t="shared" si="3"/>
        <v>651956726.8</v>
      </c>
      <c r="BG14" s="49">
        <f t="shared" si="3"/>
        <v>551900383.2</v>
      </c>
      <c r="BH14" s="49">
        <f t="shared" si="3"/>
        <v>517174030</v>
      </c>
      <c r="BI14" s="49">
        <f>BI11-BI13+Parametros!$B$16*($G$8*($G$10-1))</f>
        <v>693742087.1</v>
      </c>
    </row>
    <row r="15">
      <c r="A15" s="22" t="s">
        <v>620</v>
      </c>
      <c r="B15" s="49">
        <f>B14/(1+$B$3)^1</f>
        <v>-1893968361</v>
      </c>
      <c r="C15" s="49">
        <f>C14/(1+$B$3)^2</f>
        <v>-3205450110</v>
      </c>
      <c r="D15" s="49">
        <f>D14/(1+$B$3)^3</f>
        <v>-2458018399</v>
      </c>
      <c r="E15" s="49">
        <f>E14/(1+$B$3)^4</f>
        <v>-1643726396</v>
      </c>
      <c r="F15" s="49">
        <f>F14/(1+$B$3)^5</f>
        <v>178723319.9</v>
      </c>
      <c r="G15" s="49">
        <f>G14/(1+$B$3)^6</f>
        <v>494995262.8</v>
      </c>
      <c r="H15" s="49">
        <f>H14/(1+$B$3)^7</f>
        <v>514769708.3</v>
      </c>
      <c r="I15" s="49">
        <f>I14/(1+$B$3)^8</f>
        <v>512662864.6</v>
      </c>
      <c r="J15" s="49">
        <f>J14/(1+$B$3)^9</f>
        <v>575847207.6</v>
      </c>
      <c r="K15" s="49">
        <f>K14/(1+$B$3)^10</f>
        <v>480793981.8</v>
      </c>
      <c r="L15" s="49">
        <f>L14/(1+$B$3)^11</f>
        <v>444370140.2</v>
      </c>
      <c r="M15" s="49">
        <f>M14/(1+$B$3)^12</f>
        <v>481987107.9</v>
      </c>
      <c r="N15" s="49">
        <f>N14/(1+$B$3)^13</f>
        <v>435729154.1</v>
      </c>
      <c r="O15" s="49">
        <f>O14/(1+$B$3)^14</f>
        <v>440859224.6</v>
      </c>
      <c r="P15" s="49">
        <f>P14/(1+$B$3)^15</f>
        <v>450422981</v>
      </c>
      <c r="Q15" s="49">
        <f>Q14/(1+$B$3)^16</f>
        <v>467542139</v>
      </c>
      <c r="R15" s="49">
        <f>R14/(1+$B$3)^17</f>
        <v>368305503.6</v>
      </c>
      <c r="S15" s="49">
        <f>S14/(1+$B$3)^18</f>
        <v>419487510.8</v>
      </c>
      <c r="T15" s="49">
        <f>T14/(1+$B$3)^19</f>
        <v>436245515.5</v>
      </c>
      <c r="U15" s="49">
        <f>U14/(1+$B$3)^20</f>
        <v>434460054.7</v>
      </c>
      <c r="V15" s="49">
        <f>V14/(1+$B$3)^21</f>
        <v>488006108.1</v>
      </c>
      <c r="W15" s="49">
        <f>W14/(1+$B$3)^22</f>
        <v>407452526.9</v>
      </c>
      <c r="X15" s="49">
        <f>X14/(1+$B$3)^23</f>
        <v>376584864.6</v>
      </c>
      <c r="Y15" s="49">
        <f>Y14/(1+$B$3)^24</f>
        <v>408463650.7</v>
      </c>
      <c r="Z15" s="49">
        <f>Z14/(1+$B$3)^25</f>
        <v>369261995</v>
      </c>
      <c r="AA15" s="49">
        <f>AA14/(1+$B$3)^26</f>
        <v>373609512.4</v>
      </c>
      <c r="AB15" s="49">
        <f>AB14/(1+$B$3)^27</f>
        <v>381714390.7</v>
      </c>
      <c r="AC15" s="49">
        <f>AC14/(1+$B$3)^28</f>
        <v>396222151.7</v>
      </c>
      <c r="AD15" s="49">
        <f>AD14/(1+$B$3)^29</f>
        <v>312123308.1</v>
      </c>
      <c r="AE15" s="49">
        <f>AE14/(1+$B$3)^30</f>
        <v>355497890.5</v>
      </c>
      <c r="AF15" s="49">
        <f>AF14/(1+$B$3)^31</f>
        <v>369699589.4</v>
      </c>
      <c r="AG15" s="49">
        <f>AG14/(1+$B$3)^32</f>
        <v>368186487.1</v>
      </c>
      <c r="AH15" s="49">
        <f>AH14/(1+$B$3)^33</f>
        <v>413564498.4</v>
      </c>
      <c r="AI15" s="49">
        <f>AI14/(1+$B$3)^34</f>
        <v>345298751.6</v>
      </c>
      <c r="AJ15" s="49">
        <f>AJ14/(1+$B$3)^35</f>
        <v>319139715.8</v>
      </c>
      <c r="AK15" s="49">
        <f>AK14/(1+$B$3)^36</f>
        <v>346155636.2</v>
      </c>
      <c r="AL15" s="49">
        <f>AL14/(1+$B$3)^37</f>
        <v>312933894</v>
      </c>
      <c r="AM15" s="49">
        <f>AM14/(1+$B$3)^38</f>
        <v>316618230.8</v>
      </c>
      <c r="AN15" s="49">
        <f>AN14/(1+$B$3)^39</f>
        <v>323486771.8</v>
      </c>
      <c r="AO15" s="49">
        <f>AO14/(1+$B$3)^40</f>
        <v>335781484.5</v>
      </c>
      <c r="AP15" s="49">
        <f>AP14/(1+$B$3)^41</f>
        <v>264511278.1</v>
      </c>
      <c r="AQ15" s="49">
        <f>AQ14/(1+$B$3)^42</f>
        <v>301269398.8</v>
      </c>
      <c r="AR15" s="49">
        <f>AR14/(1+$B$3)^43</f>
        <v>313304736.8</v>
      </c>
      <c r="AS15" s="49">
        <f>AS14/(1+$B$3)^44</f>
        <v>312022446.7</v>
      </c>
      <c r="AT15" s="49">
        <f>AT14/(1+$B$3)^45</f>
        <v>350478388.5</v>
      </c>
      <c r="AU15" s="49">
        <f>AU14/(1+$B$3)^46</f>
        <v>292626060.7</v>
      </c>
      <c r="AV15" s="49">
        <f>AV14/(1+$B$3)^47</f>
        <v>270457386.2</v>
      </c>
      <c r="AW15" s="49">
        <f>AW14/(1+$B$3)^48</f>
        <v>293352234.1</v>
      </c>
      <c r="AX15" s="49">
        <f>AX14/(1+$B$3)^49</f>
        <v>265198215.3</v>
      </c>
      <c r="AY15" s="49">
        <f>AY14/(1+$B$3)^50</f>
        <v>268320534.6</v>
      </c>
      <c r="AZ15" s="49">
        <f>AZ14/(1+$B$3)^51</f>
        <v>274141332</v>
      </c>
      <c r="BA15" s="49">
        <f>BA14/(1+$B$3)^52</f>
        <v>284560580.1</v>
      </c>
      <c r="BB15" s="49">
        <f>BB14/(1+$B$3)^53</f>
        <v>224162100</v>
      </c>
      <c r="BC15" s="49">
        <f>BC14/(1+$B$3)^54</f>
        <v>255313049.8</v>
      </c>
      <c r="BD15" s="49">
        <f>BD14/(1+$B$3)^55</f>
        <v>265512488.8</v>
      </c>
      <c r="BE15" s="49">
        <f>BE14/(1+$B$3)^56</f>
        <v>264425802.3</v>
      </c>
      <c r="BF15" s="49">
        <f>BF14/(1+$B$3)^57</f>
        <v>297015583.5</v>
      </c>
      <c r="BG15" s="49">
        <f>BG14/(1+$B$3)^58</f>
        <v>247988187</v>
      </c>
      <c r="BH15" s="49">
        <f>BH14/(1+$B$3)^59</f>
        <v>229201174.8</v>
      </c>
      <c r="BI15" s="49">
        <f>BI14/(1+$B$3)^60</f>
        <v>303241059.9</v>
      </c>
    </row>
    <row r="16">
      <c r="A16" s="22" t="s">
        <v>621</v>
      </c>
      <c r="B16" s="49">
        <f t="shared" ref="B16:B17" si="5">B14</f>
        <v>-1920272609</v>
      </c>
      <c r="C16" s="49">
        <f t="shared" ref="C16:BI16" si="4">B16+C14</f>
        <v>-5215378355</v>
      </c>
      <c r="D16" s="49">
        <f t="shared" si="4"/>
        <v>-7777239761</v>
      </c>
      <c r="E16" s="49">
        <f t="shared" si="4"/>
        <v>-9514201285</v>
      </c>
      <c r="F16" s="49">
        <f t="shared" si="4"/>
        <v>-9322717476</v>
      </c>
      <c r="G16" s="49">
        <f t="shared" si="4"/>
        <v>-8785014987</v>
      </c>
      <c r="H16" s="49">
        <f t="shared" si="4"/>
        <v>-8218065778</v>
      </c>
      <c r="I16" s="49">
        <f t="shared" si="4"/>
        <v>-7645595165</v>
      </c>
      <c r="J16" s="49">
        <f t="shared" si="4"/>
        <v>-6993638438</v>
      </c>
      <c r="K16" s="49">
        <f t="shared" si="4"/>
        <v>-6441738055</v>
      </c>
      <c r="L16" s="49">
        <f t="shared" si="4"/>
        <v>-5924564025</v>
      </c>
      <c r="M16" s="49">
        <f t="shared" si="4"/>
        <v>-5355819238</v>
      </c>
      <c r="N16" s="49">
        <f t="shared" si="4"/>
        <v>-4834517955</v>
      </c>
      <c r="O16" s="49">
        <f t="shared" si="4"/>
        <v>-4299753818</v>
      </c>
      <c r="P16" s="49">
        <f t="shared" si="4"/>
        <v>-3745800651</v>
      </c>
      <c r="Q16" s="49">
        <f t="shared" si="4"/>
        <v>-3162807522</v>
      </c>
      <c r="R16" s="49">
        <f t="shared" si="4"/>
        <v>-2697177417</v>
      </c>
      <c r="S16" s="49">
        <f t="shared" si="4"/>
        <v>-2159474928</v>
      </c>
      <c r="T16" s="49">
        <f t="shared" si="4"/>
        <v>-1592525719</v>
      </c>
      <c r="U16" s="49">
        <f t="shared" si="4"/>
        <v>-1020055106</v>
      </c>
      <c r="V16" s="49">
        <f t="shared" si="4"/>
        <v>-368098379.1</v>
      </c>
      <c r="W16" s="49">
        <f t="shared" si="4"/>
        <v>183802004.1</v>
      </c>
      <c r="X16" s="49">
        <f t="shared" si="4"/>
        <v>700976034.1</v>
      </c>
      <c r="Y16" s="49">
        <f t="shared" si="4"/>
        <v>1269720821</v>
      </c>
      <c r="Z16" s="49">
        <f t="shared" si="4"/>
        <v>1791022104</v>
      </c>
      <c r="AA16" s="49">
        <f t="shared" si="4"/>
        <v>2325786241</v>
      </c>
      <c r="AB16" s="49">
        <f t="shared" si="4"/>
        <v>2879739408</v>
      </c>
      <c r="AC16" s="49">
        <f t="shared" si="4"/>
        <v>3462732536</v>
      </c>
      <c r="AD16" s="49">
        <f t="shared" si="4"/>
        <v>3928362642</v>
      </c>
      <c r="AE16" s="49">
        <f t="shared" si="4"/>
        <v>4466065130</v>
      </c>
      <c r="AF16" s="49">
        <f t="shared" si="4"/>
        <v>5033014340</v>
      </c>
      <c r="AG16" s="49">
        <f t="shared" si="4"/>
        <v>5605484953</v>
      </c>
      <c r="AH16" s="49">
        <f t="shared" si="4"/>
        <v>6257441680</v>
      </c>
      <c r="AI16" s="49">
        <f t="shared" si="4"/>
        <v>6809342063</v>
      </c>
      <c r="AJ16" s="49">
        <f t="shared" si="4"/>
        <v>7326516093</v>
      </c>
      <c r="AK16" s="49">
        <f t="shared" si="4"/>
        <v>7895260880</v>
      </c>
      <c r="AL16" s="49">
        <f t="shared" si="4"/>
        <v>8416562163</v>
      </c>
      <c r="AM16" s="49">
        <f t="shared" si="4"/>
        <v>8951326300</v>
      </c>
      <c r="AN16" s="49">
        <f t="shared" si="4"/>
        <v>9505279467</v>
      </c>
      <c r="AO16" s="49">
        <f t="shared" si="4"/>
        <v>10088272595</v>
      </c>
      <c r="AP16" s="49">
        <f t="shared" si="4"/>
        <v>10553902701</v>
      </c>
      <c r="AQ16" s="49">
        <f t="shared" si="4"/>
        <v>11091605189</v>
      </c>
      <c r="AR16" s="49">
        <f t="shared" si="4"/>
        <v>11658554398</v>
      </c>
      <c r="AS16" s="49">
        <f t="shared" si="4"/>
        <v>12231025012</v>
      </c>
      <c r="AT16" s="49">
        <f t="shared" si="4"/>
        <v>12882981739</v>
      </c>
      <c r="AU16" s="49">
        <f t="shared" si="4"/>
        <v>13434882122</v>
      </c>
      <c r="AV16" s="49">
        <f t="shared" si="4"/>
        <v>13952056152</v>
      </c>
      <c r="AW16" s="49">
        <f t="shared" si="4"/>
        <v>14520800939</v>
      </c>
      <c r="AX16" s="49">
        <f t="shared" si="4"/>
        <v>15042102222</v>
      </c>
      <c r="AY16" s="49">
        <f t="shared" si="4"/>
        <v>15576866359</v>
      </c>
      <c r="AZ16" s="49">
        <f t="shared" si="4"/>
        <v>16130819526</v>
      </c>
      <c r="BA16" s="49">
        <f t="shared" si="4"/>
        <v>16713812654</v>
      </c>
      <c r="BB16" s="49">
        <f t="shared" si="4"/>
        <v>17179442760</v>
      </c>
      <c r="BC16" s="49">
        <f t="shared" si="4"/>
        <v>17717145248</v>
      </c>
      <c r="BD16" s="49">
        <f t="shared" si="4"/>
        <v>18284094457</v>
      </c>
      <c r="BE16" s="49">
        <f t="shared" si="4"/>
        <v>18856565071</v>
      </c>
      <c r="BF16" s="49">
        <f t="shared" si="4"/>
        <v>19508521798</v>
      </c>
      <c r="BG16" s="49">
        <f t="shared" si="4"/>
        <v>20060422181</v>
      </c>
      <c r="BH16" s="49">
        <f t="shared" si="4"/>
        <v>20577596211</v>
      </c>
      <c r="BI16" s="49">
        <f t="shared" si="4"/>
        <v>21271338298</v>
      </c>
    </row>
    <row r="17">
      <c r="A17" s="22" t="s">
        <v>622</v>
      </c>
      <c r="B17" s="49">
        <f t="shared" si="5"/>
        <v>-1893968361</v>
      </c>
      <c r="C17" s="49">
        <f t="shared" ref="C17:BI17" si="6">B17+C15</f>
        <v>-5099418472</v>
      </c>
      <c r="D17" s="49">
        <f t="shared" si="6"/>
        <v>-7557436871</v>
      </c>
      <c r="E17" s="49">
        <f t="shared" si="6"/>
        <v>-9201163266</v>
      </c>
      <c r="F17" s="49">
        <f t="shared" si="6"/>
        <v>-9022439946</v>
      </c>
      <c r="G17" s="49">
        <f t="shared" si="6"/>
        <v>-8527444684</v>
      </c>
      <c r="H17" s="49">
        <f t="shared" si="6"/>
        <v>-8012674975</v>
      </c>
      <c r="I17" s="49">
        <f t="shared" si="6"/>
        <v>-7500012111</v>
      </c>
      <c r="J17" s="49">
        <f t="shared" si="6"/>
        <v>-6924164903</v>
      </c>
      <c r="K17" s="49">
        <f t="shared" si="6"/>
        <v>-6443370922</v>
      </c>
      <c r="L17" s="49">
        <f t="shared" si="6"/>
        <v>-5999000781</v>
      </c>
      <c r="M17" s="49">
        <f t="shared" si="6"/>
        <v>-5517013673</v>
      </c>
      <c r="N17" s="49">
        <f t="shared" si="6"/>
        <v>-5081284519</v>
      </c>
      <c r="O17" s="49">
        <f t="shared" si="6"/>
        <v>-4640425295</v>
      </c>
      <c r="P17" s="49">
        <f t="shared" si="6"/>
        <v>-4190002314</v>
      </c>
      <c r="Q17" s="49">
        <f t="shared" si="6"/>
        <v>-3722460175</v>
      </c>
      <c r="R17" s="49">
        <f t="shared" si="6"/>
        <v>-3354154671</v>
      </c>
      <c r="S17" s="49">
        <f t="shared" si="6"/>
        <v>-2934667160</v>
      </c>
      <c r="T17" s="49">
        <f t="shared" si="6"/>
        <v>-2498421645</v>
      </c>
      <c r="U17" s="49">
        <f t="shared" si="6"/>
        <v>-2063961590</v>
      </c>
      <c r="V17" s="49">
        <f t="shared" si="6"/>
        <v>-1575955482</v>
      </c>
      <c r="W17" s="49">
        <f t="shared" si="6"/>
        <v>-1168502955</v>
      </c>
      <c r="X17" s="49">
        <f t="shared" si="6"/>
        <v>-791918090.5</v>
      </c>
      <c r="Y17" s="49">
        <f t="shared" si="6"/>
        <v>-383454439.8</v>
      </c>
      <c r="Z17" s="49">
        <f t="shared" si="6"/>
        <v>-14192444.83</v>
      </c>
      <c r="AA17" s="49">
        <f t="shared" si="6"/>
        <v>359417067.5</v>
      </c>
      <c r="AB17" s="49">
        <f t="shared" si="6"/>
        <v>741131458.2</v>
      </c>
      <c r="AC17" s="49">
        <f t="shared" si="6"/>
        <v>1137353610</v>
      </c>
      <c r="AD17" s="49">
        <f t="shared" si="6"/>
        <v>1449476918</v>
      </c>
      <c r="AE17" s="49">
        <f t="shared" si="6"/>
        <v>1804974809</v>
      </c>
      <c r="AF17" s="49">
        <f t="shared" si="6"/>
        <v>2174674398</v>
      </c>
      <c r="AG17" s="49">
        <f t="shared" si="6"/>
        <v>2542860885</v>
      </c>
      <c r="AH17" s="49">
        <f t="shared" si="6"/>
        <v>2956425383</v>
      </c>
      <c r="AI17" s="49">
        <f t="shared" si="6"/>
        <v>3301724135</v>
      </c>
      <c r="AJ17" s="49">
        <f t="shared" si="6"/>
        <v>3620863851</v>
      </c>
      <c r="AK17" s="49">
        <f t="shared" si="6"/>
        <v>3967019487</v>
      </c>
      <c r="AL17" s="49">
        <f t="shared" si="6"/>
        <v>4279953381</v>
      </c>
      <c r="AM17" s="49">
        <f t="shared" si="6"/>
        <v>4596571612</v>
      </c>
      <c r="AN17" s="49">
        <f t="shared" si="6"/>
        <v>4920058384</v>
      </c>
      <c r="AO17" s="49">
        <f t="shared" si="6"/>
        <v>5255839868</v>
      </c>
      <c r="AP17" s="49">
        <f t="shared" si="6"/>
        <v>5520351146</v>
      </c>
      <c r="AQ17" s="49">
        <f t="shared" si="6"/>
        <v>5821620545</v>
      </c>
      <c r="AR17" s="49">
        <f t="shared" si="6"/>
        <v>6134925282</v>
      </c>
      <c r="AS17" s="49">
        <f t="shared" si="6"/>
        <v>6446947728</v>
      </c>
      <c r="AT17" s="49">
        <f t="shared" si="6"/>
        <v>6797426117</v>
      </c>
      <c r="AU17" s="49">
        <f t="shared" si="6"/>
        <v>7090052178</v>
      </c>
      <c r="AV17" s="49">
        <f t="shared" si="6"/>
        <v>7360509564</v>
      </c>
      <c r="AW17" s="49">
        <f t="shared" si="6"/>
        <v>7653861798</v>
      </c>
      <c r="AX17" s="49">
        <f t="shared" si="6"/>
        <v>7919060013</v>
      </c>
      <c r="AY17" s="49">
        <f t="shared" si="6"/>
        <v>8187380548</v>
      </c>
      <c r="AZ17" s="49">
        <f t="shared" si="6"/>
        <v>8461521880</v>
      </c>
      <c r="BA17" s="49">
        <f t="shared" si="6"/>
        <v>8746082460</v>
      </c>
      <c r="BB17" s="49">
        <f t="shared" si="6"/>
        <v>8970244560</v>
      </c>
      <c r="BC17" s="49">
        <f t="shared" si="6"/>
        <v>9225557610</v>
      </c>
      <c r="BD17" s="49">
        <f t="shared" si="6"/>
        <v>9491070098</v>
      </c>
      <c r="BE17" s="49">
        <f t="shared" si="6"/>
        <v>9755495901</v>
      </c>
      <c r="BF17" s="49">
        <f t="shared" si="6"/>
        <v>10052511484</v>
      </c>
      <c r="BG17" s="49">
        <f t="shared" si="6"/>
        <v>10300499671</v>
      </c>
      <c r="BH17" s="49">
        <f t="shared" si="6"/>
        <v>10529700846</v>
      </c>
      <c r="BI17" s="49">
        <f t="shared" si="6"/>
        <v>10832941906</v>
      </c>
    </row>
    <row r="20">
      <c r="A20" s="12" t="s">
        <v>651</v>
      </c>
    </row>
    <row r="21">
      <c r="A21" s="22" t="s">
        <v>652</v>
      </c>
      <c r="B21" s="124">
        <f>SUM(B15:BI15)</f>
        <v>10832941906</v>
      </c>
    </row>
    <row r="22">
      <c r="A22" s="22" t="s">
        <v>653</v>
      </c>
      <c r="B22" s="124">
        <f>B21-Flujo_Caja!B19</f>
        <v>-199127156.7</v>
      </c>
    </row>
    <row r="23">
      <c r="A23" s="22" t="s">
        <v>624</v>
      </c>
      <c r="B23" s="125">
        <f>IRR(B14:BI14,0.02)</f>
        <v>0.0487200895</v>
      </c>
    </row>
    <row r="24">
      <c r="A24" s="22" t="s">
        <v>62</v>
      </c>
      <c r="B24" s="126">
        <f>(1+B23)^12-1</f>
        <v>0.7697627517</v>
      </c>
    </row>
    <row r="25">
      <c r="A25" s="22" t="s">
        <v>25</v>
      </c>
      <c r="B25" s="126">
        <f>SUM(B14:BI14)/(-SUM(B14:E14))</f>
        <v>2.235746087</v>
      </c>
    </row>
    <row r="26">
      <c r="A26" s="22" t="s">
        <v>64</v>
      </c>
      <c r="B26" s="127">
        <f t="shared" ref="B26:B27" si="7">MATCH(TRUE(),INDEX(B16:BI16&gt;0,0),0)</f>
        <v>22</v>
      </c>
    </row>
    <row r="27">
      <c r="A27" s="22" t="s">
        <v>65</v>
      </c>
      <c r="B27" s="127">
        <f t="shared" si="7"/>
        <v>26</v>
      </c>
    </row>
    <row r="28">
      <c r="A28" s="22" t="s">
        <v>66</v>
      </c>
      <c r="B28" s="124">
        <f>SUM(F11:Q11)</f>
        <v>9349060283</v>
      </c>
    </row>
    <row r="29">
      <c r="A29" s="2" t="s">
        <v>654</v>
      </c>
      <c r="B29" s="130">
        <f>(1+B25)^(12/60)-1</f>
        <v>0.2647214575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6" width="18.0"/>
    <col customWidth="1" min="7" max="61" width="8.71"/>
  </cols>
  <sheetData>
    <row r="1">
      <c r="A1" s="10" t="s">
        <v>655</v>
      </c>
    </row>
    <row r="2">
      <c r="A2" s="11" t="s">
        <v>656</v>
      </c>
    </row>
    <row r="4">
      <c r="A4" s="13" t="s">
        <v>83</v>
      </c>
      <c r="B4" s="13" t="s">
        <v>657</v>
      </c>
      <c r="C4" s="13" t="s">
        <v>658</v>
      </c>
      <c r="D4" s="13" t="s">
        <v>659</v>
      </c>
      <c r="E4" s="13" t="s">
        <v>84</v>
      </c>
      <c r="F4" s="13" t="s">
        <v>24</v>
      </c>
    </row>
    <row r="5">
      <c r="A5" s="14" t="s">
        <v>85</v>
      </c>
      <c r="B5" s="32">
        <v>0.95</v>
      </c>
      <c r="C5" s="32">
        <v>1.15</v>
      </c>
      <c r="D5" s="131">
        <v>0.2</v>
      </c>
      <c r="E5" s="124">
        <f>SUM(B11:BI11)</f>
        <v>8014994753</v>
      </c>
      <c r="F5" s="126">
        <f>(1+IRR(B10:BI10,0.02))^12-1</f>
        <v>0.5980615482</v>
      </c>
    </row>
    <row r="6">
      <c r="A6" s="14" t="s">
        <v>86</v>
      </c>
      <c r="B6" s="32">
        <v>1.0</v>
      </c>
      <c r="C6" s="32">
        <v>1.0</v>
      </c>
      <c r="D6" s="131">
        <v>0.18</v>
      </c>
      <c r="E6" s="124">
        <f>SUM(B16:BI16)</f>
        <v>11032069063</v>
      </c>
      <c r="F6" s="126">
        <f>(1+IRR(B15:BI15,0.02))^12-1</f>
        <v>0.7815942755</v>
      </c>
    </row>
    <row r="7">
      <c r="A7" s="14" t="s">
        <v>87</v>
      </c>
      <c r="B7" s="32">
        <v>1.05</v>
      </c>
      <c r="C7" s="32">
        <v>0.9</v>
      </c>
      <c r="D7" s="131">
        <v>0.16</v>
      </c>
      <c r="E7" s="124">
        <f>SUM(B21:BI21)</f>
        <v>13751069360</v>
      </c>
      <c r="F7" s="126">
        <f>(1+IRR(B20:BI20,0.02))^12-1</f>
        <v>0.9588250909</v>
      </c>
    </row>
    <row r="10">
      <c r="A10" s="24" t="s">
        <v>660</v>
      </c>
      <c r="B10" s="49">
        <f t="array" ref="B10">-INDEX(CAPEX!$G:$G,MATCH("CAPEX TOTAL (con contingencia)",CAPEX!$C:$C,0))*$C$5*Parametros!$B$28-INDEX(RRHH!$E:$E,MATCH("Costo mensual IMPLEMENTACION (→ pre-op)",RRHH!$A:$A,0))-Licencias!$H$14</f>
        <v>-2195239236</v>
      </c>
      <c r="C10" s="49">
        <f t="array" ref="C10">-INDEX(CAPEX!$G:$G,MATCH("CAPEX TOTAL (con contingencia)",CAPEX!$C:$C,0))*$C$5*Parametros!$B$29-INDEX(RRHH!$E:$E,MATCH("Costo mensual IMPLEMENTACION (→ pre-op)",RRHH!$A:$A,0))-Licencias!$H$14</f>
        <v>-3776297344</v>
      </c>
      <c r="D10" s="49">
        <f t="array" ref="D10">-INDEX(CAPEX!$G:$G,MATCH("CAPEX TOTAL (con contingencia)",CAPEX!$C:$C,0))*$C$5*Parametros!$B$30-INDEX(RRHH!$E:$E,MATCH("Costo mensual IMPLEMENTACION (→ pre-op)",RRHH!$A:$A,0))-Licencias!$H$14</f>
        <v>-2933066353</v>
      </c>
      <c r="E10" s="49">
        <f t="array" ref="E10">-INDEX(CAPEX!$G:$G,MATCH("CAPEX TOTAL (con contingencia)",CAPEX!$C:$C,0))*$C$5*Parametros!$B$31-INDEX(RRHH!$E:$E,MATCH("Costo mensual IMPLEMENTACION (→ pre-op)",RRHH!$A:$A,0))-Licencias!$H$14</f>
        <v>-1984431489</v>
      </c>
      <c r="F10" s="49">
        <f>ER_Proyecto!F25*$B$5-MAX(0,ER_Proyecto!F25*$B$5-ER_Proyecto!F26)*Parametros!$B$8-Parametros!$B$16*(ER_Proyecto!$G$17-ER_Proyecto!$G$9)*$B$5</f>
        <v>236544374.9</v>
      </c>
      <c r="G10" s="49">
        <f>ER_Proyecto!G25*$B$5-MAX(0,ER_Proyecto!G25*$B$5-ER_Proyecto!G26)*Parametros!$B$8</f>
        <v>512482178</v>
      </c>
      <c r="H10" s="49">
        <f>ER_Proyecto!H25*$B$5-MAX(0,ER_Proyecto!H25*$B$5-ER_Proyecto!H26)*Parametros!$B$8</f>
        <v>522709774</v>
      </c>
      <c r="I10" s="49">
        <f>ER_Proyecto!I25*$B$5-MAX(0,ER_Proyecto!I25*$B$5-ER_Proyecto!I26)*Parametros!$B$8</f>
        <v>545511971.3</v>
      </c>
      <c r="J10" s="49">
        <f>ER_Proyecto!J25*$B$5-MAX(0,ER_Proyecto!J25*$B$5-ER_Proyecto!J26)*Parametros!$B$8</f>
        <v>621023778.8</v>
      </c>
      <c r="K10" s="49">
        <f>ER_Proyecto!K25*$B$5-MAX(0,ER_Proyecto!K25*$B$5-ER_Proyecto!K26)*Parametros!$B$8</f>
        <v>525970468.9</v>
      </c>
      <c r="L10" s="49">
        <f>ER_Proyecto!L25*$B$5-MAX(0,ER_Proyecto!L25*$B$5-ER_Proyecto!L26)*Parametros!$B$8</f>
        <v>492980359.1</v>
      </c>
      <c r="M10" s="49">
        <f>ER_Proyecto!M25*$B$5-MAX(0,ER_Proyecto!M25*$B$5-ER_Proyecto!M26)*Parametros!$B$8</f>
        <v>541972597.1</v>
      </c>
      <c r="N10" s="49">
        <f>ER_Proyecto!N25*$B$5-MAX(0,ER_Proyecto!N25*$B$5-ER_Proyecto!N26)*Parametros!$B$8</f>
        <v>496901839.8</v>
      </c>
      <c r="O10" s="49">
        <f>ER_Proyecto!O25*$B$5-MAX(0,ER_Proyecto!O25*$B$5-ER_Proyecto!O26)*Parametros!$B$8</f>
        <v>509691551.3</v>
      </c>
      <c r="P10" s="49">
        <f>ER_Proyecto!P25*$B$5-MAX(0,ER_Proyecto!P25*$B$5-ER_Proyecto!P26)*Parametros!$B$8</f>
        <v>527921238.2</v>
      </c>
      <c r="Q10" s="49">
        <f>ER_Proyecto!Q25*$B$5-MAX(0,ER_Proyecto!Q25*$B$5-ER_Proyecto!Q26)*Parametros!$B$8</f>
        <v>555508286</v>
      </c>
      <c r="R10" s="49">
        <f>ER_Proyecto!R25*$B$5-MAX(0,ER_Proyecto!R25*$B$5-ER_Proyecto!R26)*Parametros!$B$8</f>
        <v>523086413.9</v>
      </c>
      <c r="S10" s="49">
        <f>ER_Proyecto!S25*$B$5-MAX(0,ER_Proyecto!S25*$B$5-ER_Proyecto!S26)*Parametros!$B$8</f>
        <v>512482178</v>
      </c>
      <c r="T10" s="49">
        <f>ER_Proyecto!T25*$B$5-MAX(0,ER_Proyecto!T25*$B$5-ER_Proyecto!T26)*Parametros!$B$8</f>
        <v>522709774</v>
      </c>
      <c r="U10" s="49">
        <f>ER_Proyecto!U25*$B$5-MAX(0,ER_Proyecto!U25*$B$5-ER_Proyecto!U26)*Parametros!$B$8</f>
        <v>545511971.3</v>
      </c>
      <c r="V10" s="49">
        <f>ER_Proyecto!V25*$B$5-MAX(0,ER_Proyecto!V25*$B$5-ER_Proyecto!V26)*Parametros!$B$8</f>
        <v>621023778.8</v>
      </c>
      <c r="W10" s="49">
        <f>ER_Proyecto!W25*$B$5-MAX(0,ER_Proyecto!W25*$B$5-ER_Proyecto!W26)*Parametros!$B$8</f>
        <v>525970468.9</v>
      </c>
      <c r="X10" s="49">
        <f>ER_Proyecto!X25*$B$5-MAX(0,ER_Proyecto!X25*$B$5-ER_Proyecto!X26)*Parametros!$B$8</f>
        <v>492980359.1</v>
      </c>
      <c r="Y10" s="49">
        <f>ER_Proyecto!Y25*$B$5-MAX(0,ER_Proyecto!Y25*$B$5-ER_Proyecto!Y26)*Parametros!$B$8</f>
        <v>541972597.1</v>
      </c>
      <c r="Z10" s="49">
        <f>ER_Proyecto!Z25*$B$5-MAX(0,ER_Proyecto!Z25*$B$5-ER_Proyecto!Z26)*Parametros!$B$8</f>
        <v>496901839.8</v>
      </c>
      <c r="AA10" s="49">
        <f>ER_Proyecto!AA25*$B$5-MAX(0,ER_Proyecto!AA25*$B$5-ER_Proyecto!AA26)*Parametros!$B$8</f>
        <v>509691551.3</v>
      </c>
      <c r="AB10" s="49">
        <f>ER_Proyecto!AB25*$B$5-MAX(0,ER_Proyecto!AB25*$B$5-ER_Proyecto!AB26)*Parametros!$B$8</f>
        <v>527921238.2</v>
      </c>
      <c r="AC10" s="49">
        <f>ER_Proyecto!AC25*$B$5-MAX(0,ER_Proyecto!AC25*$B$5-ER_Proyecto!AC26)*Parametros!$B$8</f>
        <v>555508286</v>
      </c>
      <c r="AD10" s="49">
        <f>ER_Proyecto!AD25*$B$5-MAX(0,ER_Proyecto!AD25*$B$5-ER_Proyecto!AD26)*Parametros!$B$8</f>
        <v>523086413.9</v>
      </c>
      <c r="AE10" s="49">
        <f>ER_Proyecto!AE25*$B$5-MAX(0,ER_Proyecto!AE25*$B$5-ER_Proyecto!AE26)*Parametros!$B$8</f>
        <v>512482178</v>
      </c>
      <c r="AF10" s="49">
        <f>ER_Proyecto!AF25*$B$5-MAX(0,ER_Proyecto!AF25*$B$5-ER_Proyecto!AF26)*Parametros!$B$8</f>
        <v>522709774</v>
      </c>
      <c r="AG10" s="49">
        <f>ER_Proyecto!AG25*$B$5-MAX(0,ER_Proyecto!AG25*$B$5-ER_Proyecto!AG26)*Parametros!$B$8</f>
        <v>545511971.3</v>
      </c>
      <c r="AH10" s="49">
        <f>ER_Proyecto!AH25*$B$5-MAX(0,ER_Proyecto!AH25*$B$5-ER_Proyecto!AH26)*Parametros!$B$8</f>
        <v>621023778.8</v>
      </c>
      <c r="AI10" s="49">
        <f>ER_Proyecto!AI25*$B$5-MAX(0,ER_Proyecto!AI25*$B$5-ER_Proyecto!AI26)*Parametros!$B$8</f>
        <v>525970468.9</v>
      </c>
      <c r="AJ10" s="49">
        <f>ER_Proyecto!AJ25*$B$5-MAX(0,ER_Proyecto!AJ25*$B$5-ER_Proyecto!AJ26)*Parametros!$B$8</f>
        <v>492980359.1</v>
      </c>
      <c r="AK10" s="49">
        <f>ER_Proyecto!AK25*$B$5-MAX(0,ER_Proyecto!AK25*$B$5-ER_Proyecto!AK26)*Parametros!$B$8</f>
        <v>541972597.1</v>
      </c>
      <c r="AL10" s="49">
        <f>ER_Proyecto!AL25*$B$5-MAX(0,ER_Proyecto!AL25*$B$5-ER_Proyecto!AL26)*Parametros!$B$8</f>
        <v>496901839.8</v>
      </c>
      <c r="AM10" s="49">
        <f>ER_Proyecto!AM25*$B$5-MAX(0,ER_Proyecto!AM25*$B$5-ER_Proyecto!AM26)*Parametros!$B$8</f>
        <v>509691551.3</v>
      </c>
      <c r="AN10" s="49">
        <f>ER_Proyecto!AN25*$B$5-MAX(0,ER_Proyecto!AN25*$B$5-ER_Proyecto!AN26)*Parametros!$B$8</f>
        <v>527921238.2</v>
      </c>
      <c r="AO10" s="49">
        <f>ER_Proyecto!AO25*$B$5-MAX(0,ER_Proyecto!AO25*$B$5-ER_Proyecto!AO26)*Parametros!$B$8</f>
        <v>555508286</v>
      </c>
      <c r="AP10" s="49">
        <f>ER_Proyecto!AP25*$B$5-MAX(0,ER_Proyecto!AP25*$B$5-ER_Proyecto!AP26)*Parametros!$B$8</f>
        <v>523086413.9</v>
      </c>
      <c r="AQ10" s="49">
        <f>ER_Proyecto!AQ25*$B$5-MAX(0,ER_Proyecto!AQ25*$B$5-ER_Proyecto!AQ26)*Parametros!$B$8</f>
        <v>512482178</v>
      </c>
      <c r="AR10" s="49">
        <f>ER_Proyecto!AR25*$B$5-MAX(0,ER_Proyecto!AR25*$B$5-ER_Proyecto!AR26)*Parametros!$B$8</f>
        <v>522709774</v>
      </c>
      <c r="AS10" s="49">
        <f>ER_Proyecto!AS25*$B$5-MAX(0,ER_Proyecto!AS25*$B$5-ER_Proyecto!AS26)*Parametros!$B$8</f>
        <v>545511971.3</v>
      </c>
      <c r="AT10" s="49">
        <f>ER_Proyecto!AT25*$B$5-MAX(0,ER_Proyecto!AT25*$B$5-ER_Proyecto!AT26)*Parametros!$B$8</f>
        <v>621023778.8</v>
      </c>
      <c r="AU10" s="49">
        <f>ER_Proyecto!AU25*$B$5-MAX(0,ER_Proyecto!AU25*$B$5-ER_Proyecto!AU26)*Parametros!$B$8</f>
        <v>525970468.9</v>
      </c>
      <c r="AV10" s="49">
        <f>ER_Proyecto!AV25*$B$5-MAX(0,ER_Proyecto!AV25*$B$5-ER_Proyecto!AV26)*Parametros!$B$8</f>
        <v>492980359.1</v>
      </c>
      <c r="AW10" s="49">
        <f>ER_Proyecto!AW25*$B$5-MAX(0,ER_Proyecto!AW25*$B$5-ER_Proyecto!AW26)*Parametros!$B$8</f>
        <v>541972597.1</v>
      </c>
      <c r="AX10" s="49">
        <f>ER_Proyecto!AX25*$B$5-MAX(0,ER_Proyecto!AX25*$B$5-ER_Proyecto!AX26)*Parametros!$B$8</f>
        <v>496901839.8</v>
      </c>
      <c r="AY10" s="49">
        <f>ER_Proyecto!AY25*$B$5-MAX(0,ER_Proyecto!AY25*$B$5-ER_Proyecto!AY26)*Parametros!$B$8</f>
        <v>509691551.3</v>
      </c>
      <c r="AZ10" s="49">
        <f>ER_Proyecto!AZ25*$B$5-MAX(0,ER_Proyecto!AZ25*$B$5-ER_Proyecto!AZ26)*Parametros!$B$8</f>
        <v>527921238.2</v>
      </c>
      <c r="BA10" s="49">
        <f>ER_Proyecto!BA25*$B$5-MAX(0,ER_Proyecto!BA25*$B$5-ER_Proyecto!BA26)*Parametros!$B$8</f>
        <v>555508286</v>
      </c>
      <c r="BB10" s="49">
        <f>ER_Proyecto!BB25*$B$5-MAX(0,ER_Proyecto!BB25*$B$5-ER_Proyecto!BB26)*Parametros!$B$8</f>
        <v>523086413.9</v>
      </c>
      <c r="BC10" s="49">
        <f>ER_Proyecto!BC25*$B$5-MAX(0,ER_Proyecto!BC25*$B$5-ER_Proyecto!BC26)*Parametros!$B$8</f>
        <v>512482178</v>
      </c>
      <c r="BD10" s="49">
        <f>ER_Proyecto!BD25*$B$5-MAX(0,ER_Proyecto!BD25*$B$5-ER_Proyecto!BD26)*Parametros!$B$8</f>
        <v>522709774</v>
      </c>
      <c r="BE10" s="49">
        <f>ER_Proyecto!BE25*$B$5-MAX(0,ER_Proyecto!BE25*$B$5-ER_Proyecto!BE26)*Parametros!$B$8</f>
        <v>545511971.3</v>
      </c>
      <c r="BF10" s="49">
        <f>ER_Proyecto!BF25*$B$5-MAX(0,ER_Proyecto!BF25*$B$5-ER_Proyecto!BF26)*Parametros!$B$8</f>
        <v>621023778.8</v>
      </c>
      <c r="BG10" s="49">
        <f>ER_Proyecto!BG25*$B$5-MAX(0,ER_Proyecto!BG25*$B$5-ER_Proyecto!BG26)*Parametros!$B$8</f>
        <v>525970468.9</v>
      </c>
      <c r="BH10" s="49">
        <f>ER_Proyecto!BH25*$B$5-MAX(0,ER_Proyecto!BH25*$B$5-ER_Proyecto!BH26)*Parametros!$B$8</f>
        <v>492980359.1</v>
      </c>
      <c r="BI10" s="49">
        <f>ER_Proyecto!BI25*$B$5-MAX(0,ER_Proyecto!BI25*$B$5-ER_Proyecto!BI26)*Parametros!$B$8+Parametros!$B$16*(ER_Proyecto!$G$17-ER_Proyecto!$G$9)*$B$5</f>
        <v>660720092.1</v>
      </c>
    </row>
    <row r="11">
      <c r="A11" s="22" t="s">
        <v>620</v>
      </c>
      <c r="B11" s="49">
        <f>B10/((1+$D$5)^(1/12))^1</f>
        <v>-2162138048</v>
      </c>
      <c r="C11" s="49">
        <f>C10/((1+$D$5)^(1/12))^2</f>
        <v>-3663273200</v>
      </c>
      <c r="D11" s="49">
        <f>D10/((1+$D$5)^(1/12))^3</f>
        <v>-2802377106</v>
      </c>
      <c r="E11" s="49">
        <f>E10/((1+$D$5)^(1/12))^4</f>
        <v>-1867421528</v>
      </c>
      <c r="F11" s="49">
        <f>F10/((1+$D$5)^(1/12))^5</f>
        <v>219240325.9</v>
      </c>
      <c r="G11" s="49">
        <f>G10/((1+$D$5)^(1/12))^6</f>
        <v>467830082.1</v>
      </c>
      <c r="H11" s="49">
        <f>H10/((1+$D$5)^(1/12))^7</f>
        <v>469971541.6</v>
      </c>
      <c r="I11" s="49">
        <f>I10/((1+$D$5)^(1/12))^8</f>
        <v>483077475.7</v>
      </c>
      <c r="J11" s="49">
        <f>J10/((1+$D$5)^(1/12))^9</f>
        <v>541654424.4</v>
      </c>
      <c r="K11" s="49">
        <f>K10/((1+$D$5)^(1/12))^10</f>
        <v>451832003.8</v>
      </c>
      <c r="L11" s="49">
        <f>L10/((1+$D$5)^(1/12))^11</f>
        <v>417106356.1</v>
      </c>
      <c r="M11" s="49">
        <f>M10/((1+$D$5)^(1/12))^12</f>
        <v>451643830.9</v>
      </c>
      <c r="N11" s="49">
        <f>N10/((1+$D$5)^(1/12))^13</f>
        <v>407841036.2</v>
      </c>
      <c r="O11" s="49">
        <f>O10/((1+$D$5)^(1/12))^14</f>
        <v>412030451.7</v>
      </c>
      <c r="P11" s="49">
        <f>P10/((1+$D$5)^(1/12))^15</f>
        <v>420332118.2</v>
      </c>
      <c r="Q11" s="49">
        <f>Q10/((1+$D$5)^(1/12))^16</f>
        <v>435627759.6</v>
      </c>
      <c r="R11" s="49">
        <f>R10/((1+$D$5)^(1/12))^17</f>
        <v>404017343.2</v>
      </c>
      <c r="S11" s="49">
        <f>S10/((1+$D$5)^(1/12))^18</f>
        <v>389858401.7</v>
      </c>
      <c r="T11" s="49">
        <f>T10/((1+$D$5)^(1/12))^19</f>
        <v>391642951.3</v>
      </c>
      <c r="U11" s="49">
        <f>U10/((1+$D$5)^(1/12))^20</f>
        <v>402564563.1</v>
      </c>
      <c r="V11" s="49">
        <f>V10/((1+$D$5)^(1/12))^21</f>
        <v>451378687</v>
      </c>
      <c r="W11" s="49">
        <f>W10/((1+$D$5)^(1/12))^22</f>
        <v>376526669.9</v>
      </c>
      <c r="X11" s="49">
        <f>X10/((1+$D$5)^(1/12))^23</f>
        <v>347588630.1</v>
      </c>
      <c r="Y11" s="49">
        <f>Y10/((1+$D$5)^(1/12))^24</f>
        <v>376369859.1</v>
      </c>
      <c r="Z11" s="49">
        <f>Z10/((1+$D$5)^(1/12))^25</f>
        <v>339867530.2</v>
      </c>
      <c r="AA11" s="49">
        <f>AA10/((1+$D$5)^(1/12))^26</f>
        <v>343358709.7</v>
      </c>
      <c r="AB11" s="49">
        <f>AB10/((1+$D$5)^(1/12))^27</f>
        <v>350276765.2</v>
      </c>
      <c r="AC11" s="49">
        <f>AC10/((1+$D$5)^(1/12))^28</f>
        <v>363023133</v>
      </c>
      <c r="AD11" s="49">
        <f>AD10/((1+$D$5)^(1/12))^29</f>
        <v>336681119.3</v>
      </c>
      <c r="AE11" s="49">
        <f>AE10/((1+$D$5)^(1/12))^30</f>
        <v>324882001.4</v>
      </c>
      <c r="AF11" s="49">
        <f>AF10/((1+$D$5)^(1/12))^31</f>
        <v>326369126.1</v>
      </c>
      <c r="AG11" s="49">
        <f>AG10/((1+$D$5)^(1/12))^32</f>
        <v>335470469.2</v>
      </c>
      <c r="AH11" s="49">
        <f>AH10/((1+$D$5)^(1/12))^33</f>
        <v>376148905.9</v>
      </c>
      <c r="AI11" s="49">
        <f>AI10/((1+$D$5)^(1/12))^34</f>
        <v>313772224.9</v>
      </c>
      <c r="AJ11" s="49">
        <f>AJ10/((1+$D$5)^(1/12))^35</f>
        <v>289657191.8</v>
      </c>
      <c r="AK11" s="49">
        <f>AK10/((1+$D$5)^(1/12))^36</f>
        <v>313641549.3</v>
      </c>
      <c r="AL11" s="49">
        <f>AL10/((1+$D$5)^(1/12))^37</f>
        <v>283222941.8</v>
      </c>
      <c r="AM11" s="49">
        <f>AM10/((1+$D$5)^(1/12))^38</f>
        <v>286132258.1</v>
      </c>
      <c r="AN11" s="49">
        <f>AN10/((1+$D$5)^(1/12))^39</f>
        <v>291897304.3</v>
      </c>
      <c r="AO11" s="49">
        <f>AO10/((1+$D$5)^(1/12))^40</f>
        <v>302519277.5</v>
      </c>
      <c r="AP11" s="49">
        <f>AP10/((1+$D$5)^(1/12))^41</f>
        <v>280567599.4</v>
      </c>
      <c r="AQ11" s="49">
        <f>AQ10/((1+$D$5)^(1/12))^42</f>
        <v>270735001.2</v>
      </c>
      <c r="AR11" s="49">
        <f>AR10/((1+$D$5)^(1/12))^43</f>
        <v>271974271.8</v>
      </c>
      <c r="AS11" s="49">
        <f>AS10/((1+$D$5)^(1/12))^44</f>
        <v>279558724.4</v>
      </c>
      <c r="AT11" s="49">
        <f>AT10/((1+$D$5)^(1/12))^45</f>
        <v>313457421.5</v>
      </c>
      <c r="AU11" s="49">
        <f>AU10/((1+$D$5)^(1/12))^46</f>
        <v>261476854.1</v>
      </c>
      <c r="AV11" s="49">
        <f>AV10/((1+$D$5)^(1/12))^47</f>
        <v>241380993.1</v>
      </c>
      <c r="AW11" s="49">
        <f>AW10/((1+$D$5)^(1/12))^48</f>
        <v>261367957.7</v>
      </c>
      <c r="AX11" s="49">
        <f>AX10/((1+$D$5)^(1/12))^49</f>
        <v>236019118.2</v>
      </c>
      <c r="AY11" s="49">
        <f>AY10/((1+$D$5)^(1/12))^50</f>
        <v>238443548.4</v>
      </c>
      <c r="AZ11" s="49">
        <f>AZ10/((1+$D$5)^(1/12))^51</f>
        <v>243247753.6</v>
      </c>
      <c r="BA11" s="49">
        <f>BA10/((1+$D$5)^(1/12))^52</f>
        <v>252099397.9</v>
      </c>
      <c r="BB11" s="49">
        <f>BB10/((1+$D$5)^(1/12))^53</f>
        <v>233806332.9</v>
      </c>
      <c r="BC11" s="49">
        <f>BC10/((1+$D$5)^(1/12))^54</f>
        <v>225612501</v>
      </c>
      <c r="BD11" s="49">
        <f>BD10/((1+$D$5)^(1/12))^55</f>
        <v>226645226.5</v>
      </c>
      <c r="BE11" s="49">
        <f>BE10/((1+$D$5)^(1/12))^56</f>
        <v>232965603.6</v>
      </c>
      <c r="BF11" s="49">
        <f>BF10/((1+$D$5)^(1/12))^57</f>
        <v>261214518</v>
      </c>
      <c r="BG11" s="49">
        <f>BG10/((1+$D$5)^(1/12))^58</f>
        <v>217897378.4</v>
      </c>
      <c r="BH11" s="49">
        <f>BH10/((1+$D$5)^(1/12))^59</f>
        <v>201150827.6</v>
      </c>
      <c r="BI11" s="49">
        <f>BI10/((1+$D$5)^(1/12))^60</f>
        <v>265528586.4</v>
      </c>
    </row>
    <row r="15">
      <c r="A15" s="24" t="s">
        <v>661</v>
      </c>
      <c r="B15" s="49">
        <f t="array" ref="B15">-INDEX(CAPEX!$G:$G,MATCH("CAPEX TOTAL (con contingencia)",CAPEX!$C:$C,0))*$C$6*Parametros!$B$28-INDEX(RRHH!$E:$E,MATCH("Costo mensual IMPLEMENTACION (→ pre-op)",RRHH!$A:$A,0))-Licencias!$H$14</f>
        <v>-1920272609</v>
      </c>
      <c r="C15" s="49">
        <f t="array" ref="C15">-INDEX(CAPEX!$G:$G,MATCH("CAPEX TOTAL (con contingencia)",CAPEX!$C:$C,0))*$C$6*Parametros!$B$29-INDEX(RRHH!$E:$E,MATCH("Costo mensual IMPLEMENTACION (→ pre-op)",RRHH!$A:$A,0))-Licencias!$H$14</f>
        <v>-3295105746</v>
      </c>
      <c r="D15" s="49">
        <f t="array" ref="D15">-INDEX(CAPEX!$G:$G,MATCH("CAPEX TOTAL (con contingencia)",CAPEX!$C:$C,0))*$C$6*Parametros!$B$30-INDEX(RRHH!$E:$E,MATCH("Costo mensual IMPLEMENTACION (→ pre-op)",RRHH!$A:$A,0))-Licencias!$H$14</f>
        <v>-2561861406</v>
      </c>
      <c r="E15" s="49">
        <f t="array" ref="E15">-INDEX(CAPEX!$G:$G,MATCH("CAPEX TOTAL (con contingencia)",CAPEX!$C:$C,0))*$C$6*Parametros!$B$31-INDEX(RRHH!$E:$E,MATCH("Costo mensual IMPLEMENTACION (→ pre-op)",RRHH!$A:$A,0))-Licencias!$H$14</f>
        <v>-1736961524</v>
      </c>
      <c r="F15" s="49">
        <f>ER_Proyecto!F25*$B$6-MAX(0,ER_Proyecto!F25*$B$6-ER_Proyecto!F26)*Parametros!$B$8-Parametros!$B$16*(ER_Proyecto!$G$17-ER_Proyecto!$G$9)*$B$6</f>
        <v>247241877.6</v>
      </c>
      <c r="G15" s="49">
        <f>ER_Proyecto!G25*$B$6-MAX(0,ER_Proyecto!G25*$B$6-ER_Proyecto!G26)*Parametros!$B$8</f>
        <v>537702723</v>
      </c>
      <c r="H15" s="49">
        <f>ER_Proyecto!H25*$B$6-MAX(0,ER_Proyecto!H25*$B$6-ER_Proyecto!H26)*Parametros!$B$8</f>
        <v>548468613.5</v>
      </c>
      <c r="I15" s="49">
        <f>ER_Proyecto!I25*$B$6-MAX(0,ER_Proyecto!I25*$B$6-ER_Proyecto!I26)*Parametros!$B$8</f>
        <v>572470926.4</v>
      </c>
      <c r="J15" s="49">
        <f>ER_Proyecto!J25*$B$6-MAX(0,ER_Proyecto!J25*$B$6-ER_Proyecto!J26)*Parametros!$B$8</f>
        <v>651957039.6</v>
      </c>
      <c r="K15" s="49">
        <f>ER_Proyecto!K25*$B$6-MAX(0,ER_Proyecto!K25*$B$6-ER_Proyecto!K26)*Parametros!$B$8</f>
        <v>551900924</v>
      </c>
      <c r="L15" s="49">
        <f>ER_Proyecto!L25*$B$6-MAX(0,ER_Proyecto!L25*$B$6-ER_Proyecto!L26)*Parametros!$B$8</f>
        <v>517174492.6</v>
      </c>
      <c r="M15" s="49">
        <f>ER_Proyecto!M25*$B$6-MAX(0,ER_Proyecto!M25*$B$6-ER_Proyecto!M26)*Parametros!$B$8</f>
        <v>568745269.4</v>
      </c>
      <c r="N15" s="49">
        <f>ER_Proyecto!N25*$B$6-MAX(0,ER_Proyecto!N25*$B$6-ER_Proyecto!N26)*Parametros!$B$8</f>
        <v>521302367</v>
      </c>
      <c r="O15" s="49">
        <f>ER_Proyecto!O25*$B$6-MAX(0,ER_Proyecto!O25*$B$6-ER_Proyecto!O26)*Parametros!$B$8</f>
        <v>534765221.2</v>
      </c>
      <c r="P15" s="49">
        <f>ER_Proyecto!P25*$B$6-MAX(0,ER_Proyecto!P25*$B$6-ER_Proyecto!P26)*Parametros!$B$8</f>
        <v>553954365.3</v>
      </c>
      <c r="Q15" s="49">
        <f>ER_Proyecto!Q25*$B$6-MAX(0,ER_Proyecto!Q25*$B$6-ER_Proyecto!Q26)*Parametros!$B$8</f>
        <v>582993363</v>
      </c>
      <c r="R15" s="49">
        <f>ER_Proyecto!R25*$B$6-MAX(0,ER_Proyecto!R25*$B$6-ER_Proyecto!R26)*Parametros!$B$8</f>
        <v>548865076.6</v>
      </c>
      <c r="S15" s="49">
        <f>ER_Proyecto!S25*$B$6-MAX(0,ER_Proyecto!S25*$B$6-ER_Proyecto!S26)*Parametros!$B$8</f>
        <v>537702723</v>
      </c>
      <c r="T15" s="49">
        <f>ER_Proyecto!T25*$B$6-MAX(0,ER_Proyecto!T25*$B$6-ER_Proyecto!T26)*Parametros!$B$8</f>
        <v>548468613.5</v>
      </c>
      <c r="U15" s="49">
        <f>ER_Proyecto!U25*$B$6-MAX(0,ER_Proyecto!U25*$B$6-ER_Proyecto!U26)*Parametros!$B$8</f>
        <v>572470926.4</v>
      </c>
      <c r="V15" s="49">
        <f>ER_Proyecto!V25*$B$6-MAX(0,ER_Proyecto!V25*$B$6-ER_Proyecto!V26)*Parametros!$B$8</f>
        <v>651957039.6</v>
      </c>
      <c r="W15" s="49">
        <f>ER_Proyecto!W25*$B$6-MAX(0,ER_Proyecto!W25*$B$6-ER_Proyecto!W26)*Parametros!$B$8</f>
        <v>551900924</v>
      </c>
      <c r="X15" s="49">
        <f>ER_Proyecto!X25*$B$6-MAX(0,ER_Proyecto!X25*$B$6-ER_Proyecto!X26)*Parametros!$B$8</f>
        <v>517174492.6</v>
      </c>
      <c r="Y15" s="49">
        <f>ER_Proyecto!Y25*$B$6-MAX(0,ER_Proyecto!Y25*$B$6-ER_Proyecto!Y26)*Parametros!$B$8</f>
        <v>568745269.4</v>
      </c>
      <c r="Z15" s="49">
        <f>ER_Proyecto!Z25*$B$6-MAX(0,ER_Proyecto!Z25*$B$6-ER_Proyecto!Z26)*Parametros!$B$8</f>
        <v>521302367</v>
      </c>
      <c r="AA15" s="49">
        <f>ER_Proyecto!AA25*$B$6-MAX(0,ER_Proyecto!AA25*$B$6-ER_Proyecto!AA26)*Parametros!$B$8</f>
        <v>534765221.2</v>
      </c>
      <c r="AB15" s="49">
        <f>ER_Proyecto!AB25*$B$6-MAX(0,ER_Proyecto!AB25*$B$6-ER_Proyecto!AB26)*Parametros!$B$8</f>
        <v>553954365.3</v>
      </c>
      <c r="AC15" s="49">
        <f>ER_Proyecto!AC25*$B$6-MAX(0,ER_Proyecto!AC25*$B$6-ER_Proyecto!AC26)*Parametros!$B$8</f>
        <v>582993363</v>
      </c>
      <c r="AD15" s="49">
        <f>ER_Proyecto!AD25*$B$6-MAX(0,ER_Proyecto!AD25*$B$6-ER_Proyecto!AD26)*Parametros!$B$8</f>
        <v>548865076.6</v>
      </c>
      <c r="AE15" s="49">
        <f>ER_Proyecto!AE25*$B$6-MAX(0,ER_Proyecto!AE25*$B$6-ER_Proyecto!AE26)*Parametros!$B$8</f>
        <v>537702723</v>
      </c>
      <c r="AF15" s="49">
        <f>ER_Proyecto!AF25*$B$6-MAX(0,ER_Proyecto!AF25*$B$6-ER_Proyecto!AF26)*Parametros!$B$8</f>
        <v>548468613.5</v>
      </c>
      <c r="AG15" s="49">
        <f>ER_Proyecto!AG25*$B$6-MAX(0,ER_Proyecto!AG25*$B$6-ER_Proyecto!AG26)*Parametros!$B$8</f>
        <v>572470926.4</v>
      </c>
      <c r="AH15" s="49">
        <f>ER_Proyecto!AH25*$B$6-MAX(0,ER_Proyecto!AH25*$B$6-ER_Proyecto!AH26)*Parametros!$B$8</f>
        <v>651957039.6</v>
      </c>
      <c r="AI15" s="49">
        <f>ER_Proyecto!AI25*$B$6-MAX(0,ER_Proyecto!AI25*$B$6-ER_Proyecto!AI26)*Parametros!$B$8</f>
        <v>551900924</v>
      </c>
      <c r="AJ15" s="49">
        <f>ER_Proyecto!AJ25*$B$6-MAX(0,ER_Proyecto!AJ25*$B$6-ER_Proyecto!AJ26)*Parametros!$B$8</f>
        <v>517174492.6</v>
      </c>
      <c r="AK15" s="49">
        <f>ER_Proyecto!AK25*$B$6-MAX(0,ER_Proyecto!AK25*$B$6-ER_Proyecto!AK26)*Parametros!$B$8</f>
        <v>568745269.4</v>
      </c>
      <c r="AL15" s="49">
        <f>ER_Proyecto!AL25*$B$6-MAX(0,ER_Proyecto!AL25*$B$6-ER_Proyecto!AL26)*Parametros!$B$8</f>
        <v>521302367</v>
      </c>
      <c r="AM15" s="49">
        <f>ER_Proyecto!AM25*$B$6-MAX(0,ER_Proyecto!AM25*$B$6-ER_Proyecto!AM26)*Parametros!$B$8</f>
        <v>534765221.2</v>
      </c>
      <c r="AN15" s="49">
        <f>ER_Proyecto!AN25*$B$6-MAX(0,ER_Proyecto!AN25*$B$6-ER_Proyecto!AN26)*Parametros!$B$8</f>
        <v>553954365.3</v>
      </c>
      <c r="AO15" s="49">
        <f>ER_Proyecto!AO25*$B$6-MAX(0,ER_Proyecto!AO25*$B$6-ER_Proyecto!AO26)*Parametros!$B$8</f>
        <v>582993363</v>
      </c>
      <c r="AP15" s="49">
        <f>ER_Proyecto!AP25*$B$6-MAX(0,ER_Proyecto!AP25*$B$6-ER_Proyecto!AP26)*Parametros!$B$8</f>
        <v>548865076.6</v>
      </c>
      <c r="AQ15" s="49">
        <f>ER_Proyecto!AQ25*$B$6-MAX(0,ER_Proyecto!AQ25*$B$6-ER_Proyecto!AQ26)*Parametros!$B$8</f>
        <v>537702723</v>
      </c>
      <c r="AR15" s="49">
        <f>ER_Proyecto!AR25*$B$6-MAX(0,ER_Proyecto!AR25*$B$6-ER_Proyecto!AR26)*Parametros!$B$8</f>
        <v>548468613.5</v>
      </c>
      <c r="AS15" s="49">
        <f>ER_Proyecto!AS25*$B$6-MAX(0,ER_Proyecto!AS25*$B$6-ER_Proyecto!AS26)*Parametros!$B$8</f>
        <v>572470926.4</v>
      </c>
      <c r="AT15" s="49">
        <f>ER_Proyecto!AT25*$B$6-MAX(0,ER_Proyecto!AT25*$B$6-ER_Proyecto!AT26)*Parametros!$B$8</f>
        <v>651957039.6</v>
      </c>
      <c r="AU15" s="49">
        <f>ER_Proyecto!AU25*$B$6-MAX(0,ER_Proyecto!AU25*$B$6-ER_Proyecto!AU26)*Parametros!$B$8</f>
        <v>551900924</v>
      </c>
      <c r="AV15" s="49">
        <f>ER_Proyecto!AV25*$B$6-MAX(0,ER_Proyecto!AV25*$B$6-ER_Proyecto!AV26)*Parametros!$B$8</f>
        <v>517174492.6</v>
      </c>
      <c r="AW15" s="49">
        <f>ER_Proyecto!AW25*$B$6-MAX(0,ER_Proyecto!AW25*$B$6-ER_Proyecto!AW26)*Parametros!$B$8</f>
        <v>568745269.4</v>
      </c>
      <c r="AX15" s="49">
        <f>ER_Proyecto!AX25*$B$6-MAX(0,ER_Proyecto!AX25*$B$6-ER_Proyecto!AX26)*Parametros!$B$8</f>
        <v>521302367</v>
      </c>
      <c r="AY15" s="49">
        <f>ER_Proyecto!AY25*$B$6-MAX(0,ER_Proyecto!AY25*$B$6-ER_Proyecto!AY26)*Parametros!$B$8</f>
        <v>534765221.2</v>
      </c>
      <c r="AZ15" s="49">
        <f>ER_Proyecto!AZ25*$B$6-MAX(0,ER_Proyecto!AZ25*$B$6-ER_Proyecto!AZ26)*Parametros!$B$8</f>
        <v>553954365.3</v>
      </c>
      <c r="BA15" s="49">
        <f>ER_Proyecto!BA25*$B$6-MAX(0,ER_Proyecto!BA25*$B$6-ER_Proyecto!BA26)*Parametros!$B$8</f>
        <v>582993363</v>
      </c>
      <c r="BB15" s="49">
        <f>ER_Proyecto!BB25*$B$6-MAX(0,ER_Proyecto!BB25*$B$6-ER_Proyecto!BB26)*Parametros!$B$8</f>
        <v>548865076.6</v>
      </c>
      <c r="BC15" s="49">
        <f>ER_Proyecto!BC25*$B$6-MAX(0,ER_Proyecto!BC25*$B$6-ER_Proyecto!BC26)*Parametros!$B$8</f>
        <v>537702723</v>
      </c>
      <c r="BD15" s="49">
        <f>ER_Proyecto!BD25*$B$6-MAX(0,ER_Proyecto!BD25*$B$6-ER_Proyecto!BD26)*Parametros!$B$8</f>
        <v>548468613.5</v>
      </c>
      <c r="BE15" s="49">
        <f>ER_Proyecto!BE25*$B$6-MAX(0,ER_Proyecto!BE25*$B$6-ER_Proyecto!BE26)*Parametros!$B$8</f>
        <v>572470926.4</v>
      </c>
      <c r="BF15" s="49">
        <f>ER_Proyecto!BF25*$B$6-MAX(0,ER_Proyecto!BF25*$B$6-ER_Proyecto!BF26)*Parametros!$B$8</f>
        <v>651957039.6</v>
      </c>
      <c r="BG15" s="49">
        <f>ER_Proyecto!BG25*$B$6-MAX(0,ER_Proyecto!BG25*$B$6-ER_Proyecto!BG26)*Parametros!$B$8</f>
        <v>551900924</v>
      </c>
      <c r="BH15" s="49">
        <f>ER_Proyecto!BH25*$B$6-MAX(0,ER_Proyecto!BH25*$B$6-ER_Proyecto!BH26)*Parametros!$B$8</f>
        <v>517174492.6</v>
      </c>
      <c r="BI15" s="49">
        <f>ER_Proyecto!BI25*$B$6-MAX(0,ER_Proyecto!BI25*$B$6-ER_Proyecto!BI26)*Parametros!$B$8+Parametros!$B$16*(ER_Proyecto!$G$17-ER_Proyecto!$G$9)*$B$6</f>
        <v>693742632.6</v>
      </c>
    </row>
    <row r="16">
      <c r="A16" s="22" t="s">
        <v>620</v>
      </c>
      <c r="B16" s="49">
        <f>B15/((1+$D$6)^(1/12))^1</f>
        <v>-1893968361</v>
      </c>
      <c r="C16" s="49">
        <f>C15/((1+$D$6)^(1/12))^2</f>
        <v>-3205450110</v>
      </c>
      <c r="D16" s="49">
        <f>D15/((1+$D$6)^(1/12))^3</f>
        <v>-2458018399</v>
      </c>
      <c r="E16" s="49">
        <f>E15/((1+$D$6)^(1/12))^4</f>
        <v>-1643726396</v>
      </c>
      <c r="F16" s="49">
        <f>F15/((1+$D$6)^(1/12))^5</f>
        <v>230765667.6</v>
      </c>
      <c r="G16" s="49">
        <f>G15/((1+$D$6)^(1/12))^6</f>
        <v>494995478.8</v>
      </c>
      <c r="H16" s="49">
        <f>H15/((1+$D$6)^(1/12))^7</f>
        <v>497989985.1</v>
      </c>
      <c r="I16" s="49">
        <f>I15/((1+$D$6)^(1/12))^8</f>
        <v>512663144.8</v>
      </c>
      <c r="J16" s="49">
        <f>J15/((1+$D$6)^(1/12))^9</f>
        <v>575847483.9</v>
      </c>
      <c r="K16" s="49">
        <f>K15/((1+$D$6)^(1/12))^10</f>
        <v>480794452.9</v>
      </c>
      <c r="L16" s="49">
        <f>L15/((1+$D$6)^(1/12))^11</f>
        <v>444370537.7</v>
      </c>
      <c r="M16" s="49">
        <f>M15/((1+$D$6)^(1/12))^12</f>
        <v>481987516.5</v>
      </c>
      <c r="N16" s="49">
        <f>N15/((1+$D$6)^(1/12))^13</f>
        <v>435730060.4</v>
      </c>
      <c r="O16" s="49">
        <f>O15/((1+$D$6)^(1/12))^14</f>
        <v>440860118.5</v>
      </c>
      <c r="P16" s="49">
        <f>P15/((1+$D$6)^(1/12))^15</f>
        <v>450423955.3</v>
      </c>
      <c r="Q16" s="49">
        <f>Q15/((1+$D$6)^(1/12))^16</f>
        <v>467542327.2</v>
      </c>
      <c r="R16" s="49">
        <f>R15/((1+$D$6)^(1/12))^17</f>
        <v>434142951.6</v>
      </c>
      <c r="S16" s="49">
        <f>S15/((1+$D$6)^(1/12))^18</f>
        <v>419487693.9</v>
      </c>
      <c r="T16" s="49">
        <f>T15/((1+$D$6)^(1/12))^19</f>
        <v>422025411.1</v>
      </c>
      <c r="U16" s="49">
        <f>U15/((1+$D$6)^(1/12))^20</f>
        <v>434460292.2</v>
      </c>
      <c r="V16" s="49">
        <f>V15/((1+$D$6)^(1/12))^21</f>
        <v>488006342.3</v>
      </c>
      <c r="W16" s="49">
        <f>W15/((1+$D$6)^(1/12))^22</f>
        <v>407452926.2</v>
      </c>
      <c r="X16" s="49">
        <f>X15/((1+$D$6)^(1/12))^23</f>
        <v>376585201.4</v>
      </c>
      <c r="Y16" s="49">
        <f>Y15/((1+$D$6)^(1/12))^24</f>
        <v>408463997</v>
      </c>
      <c r="Z16" s="49">
        <f>Z15/((1+$D$6)^(1/12))^25</f>
        <v>369262763</v>
      </c>
      <c r="AA16" s="49">
        <f>AA15/((1+$D$6)^(1/12))^26</f>
        <v>373610269.9</v>
      </c>
      <c r="AB16" s="49">
        <f>AB15/((1+$D$6)^(1/12))^27</f>
        <v>381715216.3</v>
      </c>
      <c r="AC16" s="49">
        <f>AC15/((1+$D$6)^(1/12))^28</f>
        <v>396222311.2</v>
      </c>
      <c r="AD16" s="49">
        <f>AD15/((1+$D$6)^(1/12))^29</f>
        <v>367917755.6</v>
      </c>
      <c r="AE16" s="49">
        <f>AE15/((1+$D$6)^(1/12))^30</f>
        <v>355498045.7</v>
      </c>
      <c r="AF16" s="49">
        <f>AF15/((1+$D$6)^(1/12))^31</f>
        <v>357648653.4</v>
      </c>
      <c r="AG16" s="49">
        <f>AG15/((1+$D$6)^(1/12))^32</f>
        <v>368186688.3</v>
      </c>
      <c r="AH16" s="49">
        <f>AH15/((1+$D$6)^(1/12))^33</f>
        <v>413564696.9</v>
      </c>
      <c r="AI16" s="49">
        <f>AI15/((1+$D$6)^(1/12))^34</f>
        <v>345299090</v>
      </c>
      <c r="AJ16" s="49">
        <f>AJ15/((1+$D$6)^(1/12))^35</f>
        <v>319140001.2</v>
      </c>
      <c r="AK16" s="49">
        <f>AK15/((1+$D$6)^(1/12))^36</f>
        <v>346155929.7</v>
      </c>
      <c r="AL16" s="49">
        <f>AL15/((1+$D$6)^(1/12))^37</f>
        <v>312934544.9</v>
      </c>
      <c r="AM16" s="49">
        <f>AM15/((1+$D$6)^(1/12))^38</f>
        <v>316618872.8</v>
      </c>
      <c r="AN16" s="49">
        <f>AN15/((1+$D$6)^(1/12))^39</f>
        <v>323487471.5</v>
      </c>
      <c r="AO16" s="49">
        <f>AO15/((1+$D$6)^(1/12))^40</f>
        <v>335781619.7</v>
      </c>
      <c r="AP16" s="49">
        <f>AP15/((1+$D$6)^(1/12))^41</f>
        <v>311794708.1</v>
      </c>
      <c r="AQ16" s="49">
        <f>AQ15/((1+$D$6)^(1/12))^42</f>
        <v>301269530.2</v>
      </c>
      <c r="AR16" s="49">
        <f>AR15/((1+$D$6)^(1/12))^43</f>
        <v>303092079.2</v>
      </c>
      <c r="AS16" s="49">
        <f>AS15/((1+$D$6)^(1/12))^44</f>
        <v>312022617.2</v>
      </c>
      <c r="AT16" s="49">
        <f>AT15/((1+$D$6)^(1/12))^45</f>
        <v>350478556.7</v>
      </c>
      <c r="AU16" s="49">
        <f>AU15/((1+$D$6)^(1/12))^46</f>
        <v>292626347.4</v>
      </c>
      <c r="AV16" s="49">
        <f>AV15/((1+$D$6)^(1/12))^47</f>
        <v>270457628.1</v>
      </c>
      <c r="AW16" s="49">
        <f>AW15/((1+$D$6)^(1/12))^48</f>
        <v>293352482.8</v>
      </c>
      <c r="AX16" s="49">
        <f>AX15/((1+$D$6)^(1/12))^49</f>
        <v>265198766.9</v>
      </c>
      <c r="AY16" s="49">
        <f>AY15/((1+$D$6)^(1/12))^50</f>
        <v>268321078.6</v>
      </c>
      <c r="AZ16" s="49">
        <f>AZ15/((1+$D$6)^(1/12))^51</f>
        <v>274141925</v>
      </c>
      <c r="BA16" s="49">
        <f>BA15/((1+$D$6)^(1/12))^52</f>
        <v>284560694.6</v>
      </c>
      <c r="BB16" s="49">
        <f>BB15/((1+$D$6)^(1/12))^53</f>
        <v>264232803.5</v>
      </c>
      <c r="BC16" s="49">
        <f>BC15/((1+$D$6)^(1/12))^54</f>
        <v>255313161.2</v>
      </c>
      <c r="BD16" s="49">
        <f>BD15/((1+$D$6)^(1/12))^55</f>
        <v>256857694.2</v>
      </c>
      <c r="BE16" s="49">
        <f>BE15/((1+$D$6)^(1/12))^56</f>
        <v>264425946.8</v>
      </c>
      <c r="BF16" s="49">
        <f>BF15/((1+$D$6)^(1/12))^57</f>
        <v>297015726</v>
      </c>
      <c r="BG16" s="49">
        <f>BG15/((1+$D$6)^(1/12))^58</f>
        <v>247988430</v>
      </c>
      <c r="BH16" s="49">
        <f>BH15/((1+$D$6)^(1/12))^59</f>
        <v>229201379.8</v>
      </c>
      <c r="BI16" s="49">
        <f>BI15/((1+$D$6)^(1/12))^60</f>
        <v>303241298.4</v>
      </c>
    </row>
    <row r="20">
      <c r="A20" s="24" t="s">
        <v>662</v>
      </c>
      <c r="B20" s="49">
        <f t="array" ref="B20">-INDEX(CAPEX!$G:$G,MATCH("CAPEX TOTAL (con contingencia)",CAPEX!$C:$C,0))*$C$7*Parametros!$B$28-INDEX(RRHH!$E:$E,MATCH("Costo mensual IMPLEMENTACION (→ pre-op)",RRHH!$A:$A,0))-Licencias!$H$14</f>
        <v>-1736961524</v>
      </c>
      <c r="C20" s="49">
        <f t="array" ref="C20">-INDEX(CAPEX!$G:$G,MATCH("CAPEX TOTAL (con contingencia)",CAPEX!$C:$C,0))*$C$7*Parametros!$B$29-INDEX(RRHH!$E:$E,MATCH("Costo mensual IMPLEMENTACION (→ pre-op)",RRHH!$A:$A,0))-Licencias!$H$14</f>
        <v>-2974311347</v>
      </c>
      <c r="D20" s="49">
        <f t="array" ref="D20">-INDEX(CAPEX!$G:$G,MATCH("CAPEX TOTAL (con contingencia)",CAPEX!$C:$C,0))*$C$7*Parametros!$B$30-INDEX(RRHH!$E:$E,MATCH("Costo mensual IMPLEMENTACION (→ pre-op)",RRHH!$A:$A,0))-Licencias!$H$14</f>
        <v>-2314391442</v>
      </c>
      <c r="E20" s="49">
        <f t="array" ref="E20">-INDEX(CAPEX!$G:$G,MATCH("CAPEX TOTAL (con contingencia)",CAPEX!$C:$C,0))*$C$7*Parametros!$B$31-INDEX(RRHH!$E:$E,MATCH("Costo mensual IMPLEMENTACION (→ pre-op)",RRHH!$A:$A,0))-Licencias!$H$14</f>
        <v>-1571981548</v>
      </c>
      <c r="F20" s="49">
        <f>ER_Proyecto!F25*$B$7-MAX(0,ER_Proyecto!F25*$B$7-ER_Proyecto!F26)*Parametros!$B$8-Parametros!$B$16*(ER_Proyecto!$G$17-ER_Proyecto!$G$9)*$B$7</f>
        <v>257939380.3</v>
      </c>
      <c r="G20" s="49">
        <f>ER_Proyecto!G25*$B$7-MAX(0,ER_Proyecto!G25*$B$7-ER_Proyecto!G26)*Parametros!$B$8</f>
        <v>562923268</v>
      </c>
      <c r="H20" s="49">
        <f>ER_Proyecto!H25*$B$7-MAX(0,ER_Proyecto!H25*$B$7-ER_Proyecto!H26)*Parametros!$B$8</f>
        <v>574227453</v>
      </c>
      <c r="I20" s="49">
        <f>ER_Proyecto!I25*$B$7-MAX(0,ER_Proyecto!I25*$B$7-ER_Proyecto!I26)*Parametros!$B$8</f>
        <v>599429881.6</v>
      </c>
      <c r="J20" s="49">
        <f>ER_Proyecto!J25*$B$7-MAX(0,ER_Proyecto!J25*$B$7-ER_Proyecto!J26)*Parametros!$B$8</f>
        <v>682890300.5</v>
      </c>
      <c r="K20" s="49">
        <f>ER_Proyecto!K25*$B$7-MAX(0,ER_Proyecto!K25*$B$7-ER_Proyecto!K26)*Parametros!$B$8</f>
        <v>577831379</v>
      </c>
      <c r="L20" s="49">
        <f>ER_Proyecto!L25*$B$7-MAX(0,ER_Proyecto!L25*$B$7-ER_Proyecto!L26)*Parametros!$B$8</f>
        <v>541368626</v>
      </c>
      <c r="M20" s="49">
        <f>ER_Proyecto!M25*$B$7-MAX(0,ER_Proyecto!M25*$B$7-ER_Proyecto!M26)*Parametros!$B$8</f>
        <v>595517941.7</v>
      </c>
      <c r="N20" s="49">
        <f>ER_Proyecto!N25*$B$7-MAX(0,ER_Proyecto!N25*$B$7-ER_Proyecto!N26)*Parametros!$B$8</f>
        <v>545702894.2</v>
      </c>
      <c r="O20" s="49">
        <f>ER_Proyecto!O25*$B$7-MAX(0,ER_Proyecto!O25*$B$7-ER_Proyecto!O26)*Parametros!$B$8</f>
        <v>559838891.1</v>
      </c>
      <c r="P20" s="49">
        <f>ER_Proyecto!P25*$B$7-MAX(0,ER_Proyecto!P25*$B$7-ER_Proyecto!P26)*Parametros!$B$8</f>
        <v>579987492.4</v>
      </c>
      <c r="Q20" s="49">
        <f>ER_Proyecto!Q25*$B$7-MAX(0,ER_Proyecto!Q25*$B$7-ER_Proyecto!Q26)*Parametros!$B$8</f>
        <v>610478440</v>
      </c>
      <c r="R20" s="49">
        <f>ER_Proyecto!R25*$B$7-MAX(0,ER_Proyecto!R25*$B$7-ER_Proyecto!R26)*Parametros!$B$8</f>
        <v>574643739.3</v>
      </c>
      <c r="S20" s="49">
        <f>ER_Proyecto!S25*$B$7-MAX(0,ER_Proyecto!S25*$B$7-ER_Proyecto!S26)*Parametros!$B$8</f>
        <v>562923268</v>
      </c>
      <c r="T20" s="49">
        <f>ER_Proyecto!T25*$B$7-MAX(0,ER_Proyecto!T25*$B$7-ER_Proyecto!T26)*Parametros!$B$8</f>
        <v>574227453</v>
      </c>
      <c r="U20" s="49">
        <f>ER_Proyecto!U25*$B$7-MAX(0,ER_Proyecto!U25*$B$7-ER_Proyecto!U26)*Parametros!$B$8</f>
        <v>599429881.6</v>
      </c>
      <c r="V20" s="49">
        <f>ER_Proyecto!V25*$B$7-MAX(0,ER_Proyecto!V25*$B$7-ER_Proyecto!V26)*Parametros!$B$8</f>
        <v>682890300.5</v>
      </c>
      <c r="W20" s="49">
        <f>ER_Proyecto!W25*$B$7-MAX(0,ER_Proyecto!W25*$B$7-ER_Proyecto!W26)*Parametros!$B$8</f>
        <v>577831379</v>
      </c>
      <c r="X20" s="49">
        <f>ER_Proyecto!X25*$B$7-MAX(0,ER_Proyecto!X25*$B$7-ER_Proyecto!X26)*Parametros!$B$8</f>
        <v>541368626</v>
      </c>
      <c r="Y20" s="49">
        <f>ER_Proyecto!Y25*$B$7-MAX(0,ER_Proyecto!Y25*$B$7-ER_Proyecto!Y26)*Parametros!$B$8</f>
        <v>595517941.7</v>
      </c>
      <c r="Z20" s="49">
        <f>ER_Proyecto!Z25*$B$7-MAX(0,ER_Proyecto!Z25*$B$7-ER_Proyecto!Z26)*Parametros!$B$8</f>
        <v>545702894.2</v>
      </c>
      <c r="AA20" s="49">
        <f>ER_Proyecto!AA25*$B$7-MAX(0,ER_Proyecto!AA25*$B$7-ER_Proyecto!AA26)*Parametros!$B$8</f>
        <v>559838891.1</v>
      </c>
      <c r="AB20" s="49">
        <f>ER_Proyecto!AB25*$B$7-MAX(0,ER_Proyecto!AB25*$B$7-ER_Proyecto!AB26)*Parametros!$B$8</f>
        <v>579987492.4</v>
      </c>
      <c r="AC20" s="49">
        <f>ER_Proyecto!AC25*$B$7-MAX(0,ER_Proyecto!AC25*$B$7-ER_Proyecto!AC26)*Parametros!$B$8</f>
        <v>610478440</v>
      </c>
      <c r="AD20" s="49">
        <f>ER_Proyecto!AD25*$B$7-MAX(0,ER_Proyecto!AD25*$B$7-ER_Proyecto!AD26)*Parametros!$B$8</f>
        <v>574643739.3</v>
      </c>
      <c r="AE20" s="49">
        <f>ER_Proyecto!AE25*$B$7-MAX(0,ER_Proyecto!AE25*$B$7-ER_Proyecto!AE26)*Parametros!$B$8</f>
        <v>562923268</v>
      </c>
      <c r="AF20" s="49">
        <f>ER_Proyecto!AF25*$B$7-MAX(0,ER_Proyecto!AF25*$B$7-ER_Proyecto!AF26)*Parametros!$B$8</f>
        <v>574227453</v>
      </c>
      <c r="AG20" s="49">
        <f>ER_Proyecto!AG25*$B$7-MAX(0,ER_Proyecto!AG25*$B$7-ER_Proyecto!AG26)*Parametros!$B$8</f>
        <v>599429881.6</v>
      </c>
      <c r="AH20" s="49">
        <f>ER_Proyecto!AH25*$B$7-MAX(0,ER_Proyecto!AH25*$B$7-ER_Proyecto!AH26)*Parametros!$B$8</f>
        <v>682890300.5</v>
      </c>
      <c r="AI20" s="49">
        <f>ER_Proyecto!AI25*$B$7-MAX(0,ER_Proyecto!AI25*$B$7-ER_Proyecto!AI26)*Parametros!$B$8</f>
        <v>577831379</v>
      </c>
      <c r="AJ20" s="49">
        <f>ER_Proyecto!AJ25*$B$7-MAX(0,ER_Proyecto!AJ25*$B$7-ER_Proyecto!AJ26)*Parametros!$B$8</f>
        <v>541368626</v>
      </c>
      <c r="AK20" s="49">
        <f>ER_Proyecto!AK25*$B$7-MAX(0,ER_Proyecto!AK25*$B$7-ER_Proyecto!AK26)*Parametros!$B$8</f>
        <v>595517941.7</v>
      </c>
      <c r="AL20" s="49">
        <f>ER_Proyecto!AL25*$B$7-MAX(0,ER_Proyecto!AL25*$B$7-ER_Proyecto!AL26)*Parametros!$B$8</f>
        <v>545702894.2</v>
      </c>
      <c r="AM20" s="49">
        <f>ER_Proyecto!AM25*$B$7-MAX(0,ER_Proyecto!AM25*$B$7-ER_Proyecto!AM26)*Parametros!$B$8</f>
        <v>559838891.1</v>
      </c>
      <c r="AN20" s="49">
        <f>ER_Proyecto!AN25*$B$7-MAX(0,ER_Proyecto!AN25*$B$7-ER_Proyecto!AN26)*Parametros!$B$8</f>
        <v>579987492.4</v>
      </c>
      <c r="AO20" s="49">
        <f>ER_Proyecto!AO25*$B$7-MAX(0,ER_Proyecto!AO25*$B$7-ER_Proyecto!AO26)*Parametros!$B$8</f>
        <v>610478440</v>
      </c>
      <c r="AP20" s="49">
        <f>ER_Proyecto!AP25*$B$7-MAX(0,ER_Proyecto!AP25*$B$7-ER_Proyecto!AP26)*Parametros!$B$8</f>
        <v>574643739.3</v>
      </c>
      <c r="AQ20" s="49">
        <f>ER_Proyecto!AQ25*$B$7-MAX(0,ER_Proyecto!AQ25*$B$7-ER_Proyecto!AQ26)*Parametros!$B$8</f>
        <v>562923268</v>
      </c>
      <c r="AR20" s="49">
        <f>ER_Proyecto!AR25*$B$7-MAX(0,ER_Proyecto!AR25*$B$7-ER_Proyecto!AR26)*Parametros!$B$8</f>
        <v>574227453</v>
      </c>
      <c r="AS20" s="49">
        <f>ER_Proyecto!AS25*$B$7-MAX(0,ER_Proyecto!AS25*$B$7-ER_Proyecto!AS26)*Parametros!$B$8</f>
        <v>599429881.6</v>
      </c>
      <c r="AT20" s="49">
        <f>ER_Proyecto!AT25*$B$7-MAX(0,ER_Proyecto!AT25*$B$7-ER_Proyecto!AT26)*Parametros!$B$8</f>
        <v>682890300.5</v>
      </c>
      <c r="AU20" s="49">
        <f>ER_Proyecto!AU25*$B$7-MAX(0,ER_Proyecto!AU25*$B$7-ER_Proyecto!AU26)*Parametros!$B$8</f>
        <v>577831379</v>
      </c>
      <c r="AV20" s="49">
        <f>ER_Proyecto!AV25*$B$7-MAX(0,ER_Proyecto!AV25*$B$7-ER_Proyecto!AV26)*Parametros!$B$8</f>
        <v>541368626</v>
      </c>
      <c r="AW20" s="49">
        <f>ER_Proyecto!AW25*$B$7-MAX(0,ER_Proyecto!AW25*$B$7-ER_Proyecto!AW26)*Parametros!$B$8</f>
        <v>595517941.7</v>
      </c>
      <c r="AX20" s="49">
        <f>ER_Proyecto!AX25*$B$7-MAX(0,ER_Proyecto!AX25*$B$7-ER_Proyecto!AX26)*Parametros!$B$8</f>
        <v>545702894.2</v>
      </c>
      <c r="AY20" s="49">
        <f>ER_Proyecto!AY25*$B$7-MAX(0,ER_Proyecto!AY25*$B$7-ER_Proyecto!AY26)*Parametros!$B$8</f>
        <v>559838891.1</v>
      </c>
      <c r="AZ20" s="49">
        <f>ER_Proyecto!AZ25*$B$7-MAX(0,ER_Proyecto!AZ25*$B$7-ER_Proyecto!AZ26)*Parametros!$B$8</f>
        <v>579987492.4</v>
      </c>
      <c r="BA20" s="49">
        <f>ER_Proyecto!BA25*$B$7-MAX(0,ER_Proyecto!BA25*$B$7-ER_Proyecto!BA26)*Parametros!$B$8</f>
        <v>610478440</v>
      </c>
      <c r="BB20" s="49">
        <f>ER_Proyecto!BB25*$B$7-MAX(0,ER_Proyecto!BB25*$B$7-ER_Proyecto!BB26)*Parametros!$B$8</f>
        <v>574643739.3</v>
      </c>
      <c r="BC20" s="49">
        <f>ER_Proyecto!BC25*$B$7-MAX(0,ER_Proyecto!BC25*$B$7-ER_Proyecto!BC26)*Parametros!$B$8</f>
        <v>562923268</v>
      </c>
      <c r="BD20" s="49">
        <f>ER_Proyecto!BD25*$B$7-MAX(0,ER_Proyecto!BD25*$B$7-ER_Proyecto!BD26)*Parametros!$B$8</f>
        <v>574227453</v>
      </c>
      <c r="BE20" s="49">
        <f>ER_Proyecto!BE25*$B$7-MAX(0,ER_Proyecto!BE25*$B$7-ER_Proyecto!BE26)*Parametros!$B$8</f>
        <v>599429881.6</v>
      </c>
      <c r="BF20" s="49">
        <f>ER_Proyecto!BF25*$B$7-MAX(0,ER_Proyecto!BF25*$B$7-ER_Proyecto!BF26)*Parametros!$B$8</f>
        <v>682890300.5</v>
      </c>
      <c r="BG20" s="49">
        <f>ER_Proyecto!BG25*$B$7-MAX(0,ER_Proyecto!BG25*$B$7-ER_Proyecto!BG26)*Parametros!$B$8</f>
        <v>577831379</v>
      </c>
      <c r="BH20" s="49">
        <f>ER_Proyecto!BH25*$B$7-MAX(0,ER_Proyecto!BH25*$B$7-ER_Proyecto!BH26)*Parametros!$B$8</f>
        <v>541368626</v>
      </c>
      <c r="BI20" s="49">
        <f>ER_Proyecto!BI25*$B$7-MAX(0,ER_Proyecto!BI25*$B$7-ER_Proyecto!BI26)*Parametros!$B$8+Parametros!$B$16*(ER_Proyecto!$G$17-ER_Proyecto!$G$9)*$B$7</f>
        <v>726765173.1</v>
      </c>
    </row>
    <row r="21">
      <c r="A21" s="22" t="s">
        <v>620</v>
      </c>
      <c r="B21" s="49">
        <f>B20/((1+$D$7)^(1/12))^1</f>
        <v>-1715610515</v>
      </c>
      <c r="C21" s="49">
        <f>C20/((1+$D$7)^(1/12))^2</f>
        <v>-2901639334</v>
      </c>
      <c r="D21" s="49">
        <f>D20/((1+$D$7)^(1/12))^3</f>
        <v>-2230089626</v>
      </c>
      <c r="E21" s="49">
        <f>E20/((1+$D$7)^(1/12))^4</f>
        <v>-1496102840</v>
      </c>
      <c r="F21" s="49">
        <f>F20/((1+$D$7)^(1/12))^5</f>
        <v>242471197.1</v>
      </c>
      <c r="G21" s="49">
        <f>G20/((1+$D$7)^(1/12))^6</f>
        <v>522661133.1</v>
      </c>
      <c r="H21" s="49">
        <f>H20/((1+$D$7)^(1/12))^7</f>
        <v>526603156.4</v>
      </c>
      <c r="I21" s="49">
        <f>I20/((1+$D$7)^(1/12))^8</f>
        <v>542958199.4</v>
      </c>
      <c r="J21" s="49">
        <f>J20/((1+$D$7)^(1/12))^9</f>
        <v>610952508.5</v>
      </c>
      <c r="K21" s="49">
        <f>K20/((1+$D$7)^(1/12))^10</f>
        <v>510606255.9</v>
      </c>
      <c r="L21" s="49">
        <f>L20/((1+$D$7)^(1/12))^11</f>
        <v>472505201.1</v>
      </c>
      <c r="M21" s="49">
        <f>M20/((1+$D$7)^(1/12))^12</f>
        <v>513377536</v>
      </c>
      <c r="N21" s="49">
        <f>N20/((1+$D$7)^(1/12))^13</f>
        <v>464650885.1</v>
      </c>
      <c r="O21" s="49">
        <f>O20/((1+$D$7)^(1/12))^14</f>
        <v>470827778</v>
      </c>
      <c r="P21" s="49">
        <f>P20/((1+$D$7)^(1/12))^15</f>
        <v>481777087</v>
      </c>
      <c r="Q21" s="49">
        <f>Q20/((1+$D$7)^(1/12))^16</f>
        <v>500871528.2</v>
      </c>
      <c r="R21" s="49">
        <f>R20/((1+$D$7)^(1/12))^17</f>
        <v>465675291.1</v>
      </c>
      <c r="S21" s="49">
        <f>S20/((1+$D$7)^(1/12))^18</f>
        <v>450569942.3</v>
      </c>
      <c r="T21" s="49">
        <f>T20/((1+$D$7)^(1/12))^19</f>
        <v>453968238.3</v>
      </c>
      <c r="U21" s="49">
        <f>U20/((1+$D$7)^(1/12))^20</f>
        <v>468067413.2</v>
      </c>
      <c r="V21" s="49">
        <f>V20/((1+$D$7)^(1/12))^21</f>
        <v>526683196.9</v>
      </c>
      <c r="W21" s="49">
        <f>W20/((1+$D$7)^(1/12))^22</f>
        <v>440177806.8</v>
      </c>
      <c r="X21" s="49">
        <f>X20/((1+$D$7)^(1/12))^23</f>
        <v>407332069.9</v>
      </c>
      <c r="Y21" s="49">
        <f>Y20/((1+$D$7)^(1/12))^24</f>
        <v>442566841.4</v>
      </c>
      <c r="Z21" s="49">
        <f>Z20/((1+$D$7)^(1/12))^25</f>
        <v>400561107.9</v>
      </c>
      <c r="AA21" s="49">
        <f>AA20/((1+$D$7)^(1/12))^26</f>
        <v>405886015.5</v>
      </c>
      <c r="AB21" s="49">
        <f>AB20/((1+$D$7)^(1/12))^27</f>
        <v>415325075</v>
      </c>
      <c r="AC21" s="49">
        <f>AC20/((1+$D$7)^(1/12))^28</f>
        <v>431785800.2</v>
      </c>
      <c r="AD21" s="49">
        <f>AD20/((1+$D$7)^(1/12))^29</f>
        <v>401444216.5</v>
      </c>
      <c r="AE21" s="49">
        <f>AE20/((1+$D$7)^(1/12))^30</f>
        <v>388422364.1</v>
      </c>
      <c r="AF21" s="49">
        <f>AF20/((1+$D$7)^(1/12))^31</f>
        <v>391351929.6</v>
      </c>
      <c r="AG21" s="49">
        <f>AG20/((1+$D$7)^(1/12))^32</f>
        <v>403506390.7</v>
      </c>
      <c r="AH21" s="49">
        <f>AH20/((1+$D$7)^(1/12))^33</f>
        <v>454037238.7</v>
      </c>
      <c r="AI21" s="49">
        <f>AI20/((1+$D$7)^(1/12))^34</f>
        <v>379463626.5</v>
      </c>
      <c r="AJ21" s="49">
        <f>AJ20/((1+$D$7)^(1/12))^35</f>
        <v>351148336.1</v>
      </c>
      <c r="AK21" s="49">
        <f>AK20/((1+$D$7)^(1/12))^36</f>
        <v>381523139.1</v>
      </c>
      <c r="AL21" s="49">
        <f>AL20/((1+$D$7)^(1/12))^37</f>
        <v>345311299.9</v>
      </c>
      <c r="AM21" s="49">
        <f>AM20/((1+$D$7)^(1/12))^38</f>
        <v>349901737.5</v>
      </c>
      <c r="AN21" s="49">
        <f>AN20/((1+$D$7)^(1/12))^39</f>
        <v>358038857.8</v>
      </c>
      <c r="AO21" s="49">
        <f>AO20/((1+$D$7)^(1/12))^40</f>
        <v>372229138.1</v>
      </c>
      <c r="AP21" s="49">
        <f>AP20/((1+$D$7)^(1/12))^41</f>
        <v>346072600.4</v>
      </c>
      <c r="AQ21" s="49">
        <f>AQ20/((1+$D$7)^(1/12))^42</f>
        <v>334846865.6</v>
      </c>
      <c r="AR21" s="49">
        <f>AR20/((1+$D$7)^(1/12))^43</f>
        <v>337372353.1</v>
      </c>
      <c r="AS21" s="49">
        <f>AS20/((1+$D$7)^(1/12))^44</f>
        <v>347850336.8</v>
      </c>
      <c r="AT21" s="49">
        <f>AT20/((1+$D$7)^(1/12))^45</f>
        <v>391411412.7</v>
      </c>
      <c r="AU21" s="49">
        <f>AU20/((1+$D$7)^(1/12))^46</f>
        <v>327123816</v>
      </c>
      <c r="AV21" s="49">
        <f>AV20/((1+$D$7)^(1/12))^47</f>
        <v>302714082.9</v>
      </c>
      <c r="AW21" s="49">
        <f>AW20/((1+$D$7)^(1/12))^48</f>
        <v>328899257.8</v>
      </c>
      <c r="AX21" s="49">
        <f>AX20/((1+$D$7)^(1/12))^49</f>
        <v>297682155.1</v>
      </c>
      <c r="AY21" s="49">
        <f>AY20/((1+$D$7)^(1/12))^50</f>
        <v>301639428.9</v>
      </c>
      <c r="AZ21" s="49">
        <f>AZ20/((1+$D$7)^(1/12))^51</f>
        <v>308654187.7</v>
      </c>
      <c r="BA21" s="49">
        <f>BA20/((1+$D$7)^(1/12))^52</f>
        <v>320887188</v>
      </c>
      <c r="BB21" s="49">
        <f>BB20/((1+$D$7)^(1/12))^53</f>
        <v>298338448.6</v>
      </c>
      <c r="BC21" s="49">
        <f>BC20/((1+$D$7)^(1/12))^54</f>
        <v>288661091</v>
      </c>
      <c r="BD21" s="49">
        <f>BD20/((1+$D$7)^(1/12))^55</f>
        <v>290838235.4</v>
      </c>
      <c r="BE21" s="49">
        <f>BE20/((1+$D$7)^(1/12))^56</f>
        <v>299870980</v>
      </c>
      <c r="BF21" s="49">
        <f>BF20/((1+$D$7)^(1/12))^57</f>
        <v>337423631.6</v>
      </c>
      <c r="BG21" s="49">
        <f>BG20/((1+$D$7)^(1/12))^58</f>
        <v>282003289.6</v>
      </c>
      <c r="BH21" s="49">
        <f>BH20/((1+$D$7)^(1/12))^59</f>
        <v>260960416.3</v>
      </c>
      <c r="BI21" s="49">
        <f>BI20/((1+$D$7)^(1/12))^60</f>
        <v>346022358.1</v>
      </c>
    </row>
    <row r="22"/>
    <row r="23">
      <c r="A23" s="2" t="s">
        <v>663</v>
      </c>
      <c r="B23" s="2" t="s">
        <v>663</v>
      </c>
      <c r="C23" s="2" t="s">
        <v>663</v>
      </c>
      <c r="D23" s="2" t="s">
        <v>663</v>
      </c>
      <c r="E23" s="2" t="s">
        <v>663</v>
      </c>
      <c r="F23" s="2" t="s">
        <v>663</v>
      </c>
    </row>
    <row r="24">
      <c r="A24" s="75" t="s">
        <v>664</v>
      </c>
      <c r="B24" s="75" t="s">
        <v>663</v>
      </c>
      <c r="C24" s="75" t="s">
        <v>663</v>
      </c>
      <c r="D24" s="75" t="s">
        <v>663</v>
      </c>
      <c r="E24" s="75" t="s">
        <v>663</v>
      </c>
      <c r="F24" s="75" t="s">
        <v>663</v>
      </c>
    </row>
    <row r="25">
      <c r="A25" s="2" t="s">
        <v>665</v>
      </c>
      <c r="B25" s="2" t="s">
        <v>663</v>
      </c>
      <c r="C25" s="2" t="s">
        <v>663</v>
      </c>
      <c r="D25" s="2" t="s">
        <v>663</v>
      </c>
      <c r="E25" s="2" t="s">
        <v>663</v>
      </c>
      <c r="F25" s="2" t="s">
        <v>663</v>
      </c>
    </row>
    <row r="26">
      <c r="A26" s="2" t="s">
        <v>666</v>
      </c>
      <c r="B26" s="2" t="s">
        <v>667</v>
      </c>
      <c r="C26" s="2" t="s">
        <v>668</v>
      </c>
      <c r="D26" s="2" t="s">
        <v>669</v>
      </c>
      <c r="E26" s="2" t="s">
        <v>670</v>
      </c>
      <c r="F26" s="2" t="s">
        <v>671</v>
      </c>
    </row>
    <row r="27">
      <c r="A27" s="2" t="s">
        <v>672</v>
      </c>
      <c r="B27" s="2" t="s">
        <v>663</v>
      </c>
      <c r="C27" s="2" t="s">
        <v>673</v>
      </c>
      <c r="D27" s="2" t="s">
        <v>674</v>
      </c>
      <c r="E27" s="2" t="s">
        <v>675</v>
      </c>
      <c r="F27" s="132" t="s">
        <v>676</v>
      </c>
    </row>
    <row r="28">
      <c r="A28" s="2" t="s">
        <v>677</v>
      </c>
      <c r="B28" s="2" t="s">
        <v>663</v>
      </c>
      <c r="C28" s="2" t="s">
        <v>678</v>
      </c>
      <c r="D28" s="2" t="s">
        <v>679</v>
      </c>
      <c r="E28" s="132" t="s">
        <v>680</v>
      </c>
      <c r="F28" s="2" t="s">
        <v>681</v>
      </c>
    </row>
    <row r="29">
      <c r="A29" s="2" t="s">
        <v>682</v>
      </c>
      <c r="B29" s="2" t="s">
        <v>663</v>
      </c>
      <c r="C29" s="2" t="s">
        <v>683</v>
      </c>
      <c r="D29" s="2" t="s">
        <v>684</v>
      </c>
      <c r="E29" s="2" t="s">
        <v>685</v>
      </c>
      <c r="F29" s="132" t="s">
        <v>686</v>
      </c>
    </row>
    <row r="30">
      <c r="A30" s="2" t="s">
        <v>687</v>
      </c>
      <c r="B30" s="2" t="s">
        <v>663</v>
      </c>
      <c r="C30" s="2" t="s">
        <v>688</v>
      </c>
      <c r="D30" s="2" t="s">
        <v>689</v>
      </c>
      <c r="E30" s="2" t="s">
        <v>690</v>
      </c>
      <c r="F30" s="132" t="s">
        <v>691</v>
      </c>
    </row>
    <row r="31">
      <c r="A31" s="2" t="s">
        <v>692</v>
      </c>
      <c r="B31" s="2" t="s">
        <v>663</v>
      </c>
      <c r="C31" s="2" t="s">
        <v>688</v>
      </c>
      <c r="D31" s="2" t="s">
        <v>689</v>
      </c>
      <c r="E31" s="2" t="s">
        <v>690</v>
      </c>
      <c r="F31" s="132" t="s">
        <v>691</v>
      </c>
    </row>
    <row r="32">
      <c r="A32" s="2" t="s">
        <v>693</v>
      </c>
      <c r="B32" s="2" t="s">
        <v>663</v>
      </c>
      <c r="C32" s="2" t="s">
        <v>694</v>
      </c>
      <c r="D32" s="2" t="s">
        <v>695</v>
      </c>
      <c r="E32" s="2" t="s">
        <v>696</v>
      </c>
      <c r="F32" s="132" t="s">
        <v>697</v>
      </c>
    </row>
    <row r="33">
      <c r="A33" s="2" t="s">
        <v>663</v>
      </c>
      <c r="B33" s="2" t="s">
        <v>663</v>
      </c>
      <c r="C33" s="2" t="s">
        <v>663</v>
      </c>
      <c r="D33" s="2" t="s">
        <v>663</v>
      </c>
      <c r="E33" s="2" t="s">
        <v>663</v>
      </c>
      <c r="F33" s="2" t="s">
        <v>663</v>
      </c>
    </row>
    <row r="34">
      <c r="A34" s="75" t="s">
        <v>698</v>
      </c>
      <c r="B34" s="75" t="s">
        <v>663</v>
      </c>
      <c r="C34" s="75" t="s">
        <v>663</v>
      </c>
      <c r="D34" s="75" t="s">
        <v>663</v>
      </c>
      <c r="E34" s="75" t="s">
        <v>663</v>
      </c>
      <c r="F34" s="75" t="s">
        <v>663</v>
      </c>
    </row>
    <row r="35">
      <c r="A35" s="2" t="s">
        <v>699</v>
      </c>
      <c r="B35" s="2" t="s">
        <v>663</v>
      </c>
      <c r="C35" s="2" t="s">
        <v>663</v>
      </c>
      <c r="D35" s="2" t="s">
        <v>663</v>
      </c>
      <c r="E35" s="2" t="s">
        <v>663</v>
      </c>
      <c r="F35" s="2" t="s">
        <v>663</v>
      </c>
    </row>
    <row r="36">
      <c r="A36" s="2" t="s">
        <v>700</v>
      </c>
      <c r="B36" s="2" t="s">
        <v>663</v>
      </c>
      <c r="C36" s="2" t="s">
        <v>663</v>
      </c>
      <c r="D36" s="2" t="s">
        <v>663</v>
      </c>
      <c r="E36" s="2" t="s">
        <v>663</v>
      </c>
      <c r="F36" s="2" t="s">
        <v>663</v>
      </c>
    </row>
    <row r="37">
      <c r="A37" s="2" t="s">
        <v>701</v>
      </c>
      <c r="B37" s="2" t="s">
        <v>663</v>
      </c>
      <c r="C37" s="2" t="s">
        <v>663</v>
      </c>
      <c r="D37" s="2" t="s">
        <v>663</v>
      </c>
      <c r="E37" s="2" t="s">
        <v>663</v>
      </c>
      <c r="F37" s="2" t="s">
        <v>663</v>
      </c>
    </row>
    <row r="38">
      <c r="A38" s="2" t="s">
        <v>702</v>
      </c>
      <c r="B38" s="2" t="s">
        <v>663</v>
      </c>
      <c r="C38" s="2" t="s">
        <v>663</v>
      </c>
      <c r="D38" s="2" t="s">
        <v>663</v>
      </c>
      <c r="E38" s="2" t="s">
        <v>663</v>
      </c>
      <c r="F38" s="2" t="s">
        <v>663</v>
      </c>
    </row>
    <row r="39">
      <c r="A39" s="2" t="s">
        <v>703</v>
      </c>
      <c r="B39" s="2" t="s">
        <v>663</v>
      </c>
      <c r="C39" s="2" t="s">
        <v>663</v>
      </c>
      <c r="D39" s="2" t="s">
        <v>663</v>
      </c>
      <c r="E39" s="2" t="s">
        <v>663</v>
      </c>
      <c r="F39" s="2" t="s">
        <v>663</v>
      </c>
    </row>
    <row r="40">
      <c r="A40" s="2" t="s">
        <v>663</v>
      </c>
      <c r="B40" s="2" t="s">
        <v>663</v>
      </c>
      <c r="C40" s="2" t="s">
        <v>663</v>
      </c>
      <c r="D40" s="2" t="s">
        <v>663</v>
      </c>
      <c r="E40" s="2" t="s">
        <v>663</v>
      </c>
      <c r="F40" s="2" t="s">
        <v>663</v>
      </c>
    </row>
    <row r="41">
      <c r="A41" s="2" t="s">
        <v>83</v>
      </c>
      <c r="B41" s="2" t="s">
        <v>704</v>
      </c>
      <c r="C41" s="2" t="s">
        <v>705</v>
      </c>
      <c r="D41" s="2" t="s">
        <v>663</v>
      </c>
      <c r="E41" s="2" t="s">
        <v>663</v>
      </c>
      <c r="F41" s="2" t="s">
        <v>663</v>
      </c>
    </row>
    <row r="42">
      <c r="A42" s="2" t="s">
        <v>86</v>
      </c>
      <c r="B42" s="2" t="s">
        <v>706</v>
      </c>
      <c r="C42" s="2" t="s">
        <v>707</v>
      </c>
      <c r="D42" s="2" t="s">
        <v>663</v>
      </c>
      <c r="E42" s="2" t="s">
        <v>663</v>
      </c>
      <c r="F42" s="2" t="s">
        <v>663</v>
      </c>
    </row>
    <row r="43">
      <c r="A43" s="2" t="s">
        <v>708</v>
      </c>
      <c r="B43" s="2" t="s">
        <v>709</v>
      </c>
      <c r="C43" s="2" t="s">
        <v>710</v>
      </c>
      <c r="D43" s="2" t="s">
        <v>663</v>
      </c>
      <c r="E43" s="2" t="s">
        <v>663</v>
      </c>
      <c r="F43" s="2" t="s">
        <v>663</v>
      </c>
    </row>
    <row r="44">
      <c r="A44" s="2" t="s">
        <v>233</v>
      </c>
      <c r="B44" s="2" t="s">
        <v>711</v>
      </c>
      <c r="C44" s="2" t="s">
        <v>712</v>
      </c>
      <c r="D44" s="2" t="s">
        <v>663</v>
      </c>
      <c r="E44" s="2" t="s">
        <v>663</v>
      </c>
      <c r="F44" s="2" t="s">
        <v>663</v>
      </c>
    </row>
    <row r="45">
      <c r="A45" s="2" t="s">
        <v>713</v>
      </c>
      <c r="B45" s="2" t="s">
        <v>714</v>
      </c>
      <c r="C45" s="2" t="s">
        <v>715</v>
      </c>
      <c r="D45" s="2" t="s">
        <v>663</v>
      </c>
      <c r="E45" s="2" t="s">
        <v>663</v>
      </c>
      <c r="F45" s="2" t="s">
        <v>663</v>
      </c>
    </row>
    <row r="46">
      <c r="A46" s="2" t="s">
        <v>716</v>
      </c>
      <c r="B46" s="2" t="s">
        <v>717</v>
      </c>
      <c r="C46" s="2" t="s">
        <v>718</v>
      </c>
      <c r="D46" s="2" t="s">
        <v>663</v>
      </c>
      <c r="E46" s="2" t="s">
        <v>663</v>
      </c>
      <c r="F46" s="2" t="s">
        <v>663</v>
      </c>
    </row>
    <row r="47">
      <c r="A47" s="2" t="s">
        <v>719</v>
      </c>
      <c r="B47" s="2" t="s">
        <v>720</v>
      </c>
      <c r="C47" s="2" t="s">
        <v>721</v>
      </c>
      <c r="D47" s="2" t="s">
        <v>663</v>
      </c>
      <c r="E47" s="2" t="s">
        <v>663</v>
      </c>
      <c r="F47" s="2" t="s">
        <v>663</v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4" width="20.0"/>
    <col customWidth="1" min="5" max="5" width="44.0"/>
    <col customWidth="1" min="6" max="26" width="8.71"/>
  </cols>
  <sheetData>
    <row r="1">
      <c r="A1" s="10" t="s">
        <v>722</v>
      </c>
    </row>
    <row r="2">
      <c r="A2" s="11" t="s">
        <v>723</v>
      </c>
    </row>
    <row r="4">
      <c r="A4" s="13" t="s">
        <v>724</v>
      </c>
      <c r="B4" s="13" t="s">
        <v>725</v>
      </c>
      <c r="C4" s="13" t="s">
        <v>269</v>
      </c>
      <c r="D4" s="13" t="s">
        <v>726</v>
      </c>
      <c r="E4" s="13" t="s">
        <v>727</v>
      </c>
    </row>
    <row r="5">
      <c r="A5" s="14" t="s">
        <v>275</v>
      </c>
      <c r="B5" s="16">
        <f>SUMIF(CAPEX!$I$5:$I$140,"equipos",CAPEX!$G$5:$G$140)</f>
        <v>4450224237</v>
      </c>
      <c r="C5" s="32">
        <v>10.0</v>
      </c>
      <c r="D5" s="16">
        <f t="shared" ref="D5:D9" si="1">B5/(C5*12)</f>
        <v>37085201.97</v>
      </c>
      <c r="E5" s="14" t="s">
        <v>728</v>
      </c>
    </row>
    <row r="6">
      <c r="A6" s="14" t="s">
        <v>279</v>
      </c>
      <c r="B6" s="16">
        <f>SUMIF(CAPEX!$I$5:$I$140,"automatizacion",CAPEX!$G$5:$G$140)</f>
        <v>2079929725</v>
      </c>
      <c r="C6" s="32">
        <v>7.0</v>
      </c>
      <c r="D6" s="16">
        <f t="shared" si="1"/>
        <v>24761068.16</v>
      </c>
      <c r="E6" s="14" t="s">
        <v>729</v>
      </c>
    </row>
    <row r="7">
      <c r="A7" s="14" t="s">
        <v>362</v>
      </c>
      <c r="B7" s="16">
        <f>SUMIF(CAPEX!$I$5:$I$140,"servicios",CAPEX!$G$5:$G$140)</f>
        <v>1510829968</v>
      </c>
      <c r="C7" s="32">
        <v>5.0</v>
      </c>
      <c r="D7" s="16">
        <f t="shared" si="1"/>
        <v>25180499.47</v>
      </c>
      <c r="E7" s="14" t="s">
        <v>730</v>
      </c>
    </row>
    <row r="8">
      <c r="A8" s="14" t="s">
        <v>365</v>
      </c>
      <c r="B8" s="16">
        <f>SUMIF(CAPEX!$I$5:$I$140,"intangibles",CAPEX!$G$5:$G$140)</f>
        <v>179252096</v>
      </c>
      <c r="C8" s="32">
        <v>3.0</v>
      </c>
      <c r="D8" s="16">
        <f t="shared" si="1"/>
        <v>4979224.889</v>
      </c>
      <c r="E8" s="14" t="s">
        <v>511</v>
      </c>
    </row>
    <row r="9">
      <c r="A9" s="14" t="s">
        <v>368</v>
      </c>
      <c r="B9" s="16">
        <f>SUMIF(CAPEX!$I$5:$I$140,"software",CAPEX!$G$5:$G$140)</f>
        <v>112086015</v>
      </c>
      <c r="C9" s="32">
        <v>3.0</v>
      </c>
      <c r="D9" s="16">
        <f t="shared" si="1"/>
        <v>3113500.417</v>
      </c>
      <c r="E9" s="14" t="s">
        <v>731</v>
      </c>
    </row>
    <row r="10">
      <c r="A10" s="24" t="s">
        <v>732</v>
      </c>
      <c r="D10" s="124">
        <f>SUM(D5:D9)</f>
        <v>95119494.91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7" width="19.0"/>
    <col customWidth="1" min="8" max="9" width="16.0"/>
    <col customWidth="1" min="10" max="26" width="8.71"/>
  </cols>
  <sheetData>
    <row r="1">
      <c r="A1" s="10" t="s">
        <v>733</v>
      </c>
    </row>
    <row r="2">
      <c r="A2" s="11" t="s">
        <v>734</v>
      </c>
    </row>
    <row r="4">
      <c r="A4" s="42" t="s">
        <v>735</v>
      </c>
      <c r="B4" s="42" t="s">
        <v>83</v>
      </c>
      <c r="C4" s="42" t="s">
        <v>736</v>
      </c>
      <c r="D4" s="42" t="s">
        <v>737</v>
      </c>
      <c r="E4" s="42" t="s">
        <v>738</v>
      </c>
      <c r="F4" s="42" t="s">
        <v>739</v>
      </c>
      <c r="G4" s="42" t="s">
        <v>740</v>
      </c>
      <c r="H4" s="42" t="s">
        <v>741</v>
      </c>
      <c r="I4" s="42" t="s">
        <v>742</v>
      </c>
    </row>
    <row r="5">
      <c r="A5" s="133" t="s">
        <v>743</v>
      </c>
      <c r="B5" s="133" t="s">
        <v>86</v>
      </c>
      <c r="C5" s="133" t="s">
        <v>8</v>
      </c>
      <c r="D5" s="134">
        <v>1448132.0</v>
      </c>
      <c r="E5" s="134">
        <v>120855.0</v>
      </c>
      <c r="F5" s="134">
        <v>254520.0</v>
      </c>
      <c r="G5" s="134">
        <v>303.0</v>
      </c>
      <c r="H5" s="134">
        <v>0.9926577967033123</v>
      </c>
      <c r="I5" s="134">
        <v>7.27280916E8</v>
      </c>
    </row>
    <row r="6">
      <c r="A6" s="133" t="s">
        <v>744</v>
      </c>
      <c r="B6" s="133" t="s">
        <v>745</v>
      </c>
      <c r="C6" s="133" t="s">
        <v>9</v>
      </c>
      <c r="D6" s="133" t="s">
        <v>745</v>
      </c>
      <c r="E6" s="133" t="s">
        <v>745</v>
      </c>
      <c r="F6" s="133" t="s">
        <v>745</v>
      </c>
      <c r="G6" s="133" t="s">
        <v>745</v>
      </c>
      <c r="H6" s="133" t="s">
        <v>745</v>
      </c>
      <c r="I6" s="133" t="s">
        <v>745</v>
      </c>
    </row>
    <row r="7">
      <c r="A7" s="133" t="s">
        <v>746</v>
      </c>
      <c r="B7" s="133" t="s">
        <v>86</v>
      </c>
      <c r="C7" s="133" t="s">
        <v>6</v>
      </c>
      <c r="D7" s="134">
        <v>2369423.0</v>
      </c>
      <c r="E7" s="134">
        <v>393851.0</v>
      </c>
      <c r="F7" s="134">
        <v>803520.0</v>
      </c>
      <c r="G7" s="134">
        <v>496.0</v>
      </c>
      <c r="H7" s="134">
        <v>0.9970830100590634</v>
      </c>
      <c r="I7" s="134">
        <v>7.33673474E8</v>
      </c>
    </row>
    <row r="10">
      <c r="A10" s="47" t="s">
        <v>747</v>
      </c>
    </row>
    <row r="11">
      <c r="A11" s="13" t="s">
        <v>736</v>
      </c>
      <c r="B11" s="13" t="s">
        <v>748</v>
      </c>
      <c r="C11" s="13" t="s">
        <v>749</v>
      </c>
      <c r="D11" s="13" t="s">
        <v>750</v>
      </c>
      <c r="E11" s="13" t="s">
        <v>751</v>
      </c>
      <c r="F11" s="13" t="s">
        <v>752</v>
      </c>
      <c r="G11" s="13" t="s">
        <v>753</v>
      </c>
    </row>
    <row r="12">
      <c r="A12" s="14" t="s">
        <v>6</v>
      </c>
      <c r="B12" s="135">
        <f>SUM(Demanda!D5:D16)</f>
        <v>188337814</v>
      </c>
      <c r="C12" s="16">
        <f>B12*Costos_Lote!$B$18</f>
        <v>174965829206</v>
      </c>
      <c r="D12" s="16">
        <f>C12*Parametros!$B$18/365</f>
        <v>8149093415</v>
      </c>
      <c r="E12" s="136">
        <f t="shared" ref="E12:E15" si="1">C12/D12</f>
        <v>21.47058824</v>
      </c>
      <c r="F12" s="136">
        <f t="shared" ref="F12:F15" si="2">365/E12</f>
        <v>17</v>
      </c>
      <c r="G12" s="136">
        <f t="shared" ref="G12:G14" si="3">IFERROR(C12/I5,"pendiente app")</f>
        <v>240.5753064</v>
      </c>
    </row>
    <row r="13">
      <c r="A13" s="14" t="s">
        <v>8</v>
      </c>
      <c r="B13" s="135">
        <f>SUM(Demanda!E5:E16)</f>
        <v>54228683</v>
      </c>
      <c r="C13" s="16">
        <f>B13*Costos_Lote!$B$33</f>
        <v>144790583610</v>
      </c>
      <c r="D13" s="16">
        <f>C13*Parametros!$B$18/365</f>
        <v>6743671017</v>
      </c>
      <c r="E13" s="136">
        <f t="shared" si="1"/>
        <v>21.47058824</v>
      </c>
      <c r="F13" s="136">
        <f t="shared" si="2"/>
        <v>17</v>
      </c>
      <c r="G13" s="136" t="str">
        <f t="shared" si="3"/>
        <v>pendiente app</v>
      </c>
    </row>
    <row r="14">
      <c r="A14" s="14" t="s">
        <v>9</v>
      </c>
      <c r="B14" s="135">
        <f>SUM(Demanda!F5:F16)</f>
        <v>279149</v>
      </c>
      <c r="C14" s="16">
        <f>B14*Costos_Lote!$B$46</f>
        <v>1938091629</v>
      </c>
      <c r="D14" s="16">
        <f>C14*Parametros!$B$18/365</f>
        <v>90267281.33</v>
      </c>
      <c r="E14" s="136">
        <f t="shared" si="1"/>
        <v>21.47058824</v>
      </c>
      <c r="F14" s="136">
        <f t="shared" si="2"/>
        <v>17</v>
      </c>
      <c r="G14" s="136">
        <f t="shared" si="3"/>
        <v>2.64162696</v>
      </c>
    </row>
    <row r="15">
      <c r="A15" s="24" t="s">
        <v>754</v>
      </c>
      <c r="B15" s="137">
        <f t="shared" ref="B15:D15" si="4">SUM(B12:B14)</f>
        <v>242845646</v>
      </c>
      <c r="C15" s="124">
        <f t="shared" si="4"/>
        <v>321694504445</v>
      </c>
      <c r="D15" s="124">
        <f t="shared" si="4"/>
        <v>14983031714</v>
      </c>
      <c r="E15" s="138">
        <f t="shared" si="1"/>
        <v>21.47058824</v>
      </c>
      <c r="F15" s="138">
        <f t="shared" si="2"/>
        <v>17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7" width="16.0"/>
    <col customWidth="1" min="8" max="20" width="14.0"/>
    <col customWidth="1" min="21" max="26" width="8.71"/>
  </cols>
  <sheetData>
    <row r="1">
      <c r="A1" s="139" t="s">
        <v>755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1"/>
      <c r="S1" s="141"/>
      <c r="T1" s="141"/>
      <c r="U1" s="141"/>
      <c r="V1" s="141"/>
      <c r="W1" s="141"/>
      <c r="X1" s="141"/>
      <c r="Y1" s="141"/>
      <c r="Z1" s="141"/>
    </row>
    <row r="2">
      <c r="A2" s="46" t="s">
        <v>756</v>
      </c>
    </row>
    <row r="4">
      <c r="A4" s="142" t="s">
        <v>757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3"/>
      <c r="S4" s="143"/>
      <c r="T4" s="143"/>
      <c r="U4" s="144"/>
      <c r="V4" s="144"/>
      <c r="W4" s="144"/>
      <c r="X4" s="144"/>
      <c r="Y4" s="144"/>
      <c r="Z4" s="144"/>
    </row>
    <row r="5">
      <c r="A5" s="26" t="s">
        <v>758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14"/>
      <c r="S5" s="14"/>
      <c r="T5" s="14"/>
    </row>
    <row r="6">
      <c r="A6" s="26" t="s">
        <v>759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14"/>
      <c r="S6" s="14"/>
      <c r="T6" s="14"/>
    </row>
    <row r="7">
      <c r="A7" s="26" t="s">
        <v>760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14"/>
      <c r="S7" s="14"/>
      <c r="T7" s="14"/>
    </row>
    <row r="8">
      <c r="A8" s="2" t="s">
        <v>761</v>
      </c>
    </row>
    <row r="9">
      <c r="A9" s="145" t="s">
        <v>762</v>
      </c>
    </row>
    <row r="10">
      <c r="A10" s="42" t="s">
        <v>763</v>
      </c>
      <c r="B10" s="42"/>
      <c r="C10" s="42"/>
      <c r="D10" s="42"/>
      <c r="E10" s="42"/>
      <c r="F10" s="42"/>
      <c r="G10" s="42"/>
    </row>
    <row r="11">
      <c r="A11" s="26" t="s">
        <v>764</v>
      </c>
      <c r="B11" s="26"/>
      <c r="C11" s="26"/>
      <c r="D11" s="26"/>
      <c r="E11" s="26"/>
      <c r="F11" s="26"/>
      <c r="G11" s="26"/>
    </row>
    <row r="12">
      <c r="A12" s="26" t="s">
        <v>765</v>
      </c>
      <c r="B12" s="26"/>
      <c r="C12" s="26"/>
      <c r="D12" s="26"/>
      <c r="E12" s="26"/>
      <c r="F12" s="26"/>
      <c r="G12" s="26"/>
    </row>
    <row r="13">
      <c r="A13" s="26" t="s">
        <v>766</v>
      </c>
      <c r="B13" s="26"/>
      <c r="C13" s="26"/>
      <c r="D13" s="26"/>
      <c r="E13" s="26"/>
      <c r="F13" s="26"/>
      <c r="G13" s="26"/>
    </row>
    <row r="14">
      <c r="A14" s="2" t="s">
        <v>767</v>
      </c>
    </row>
    <row r="15">
      <c r="A15" s="83" t="s">
        <v>768</v>
      </c>
    </row>
    <row r="16">
      <c r="A16" s="2" t="s">
        <v>769</v>
      </c>
    </row>
    <row r="17">
      <c r="A17" s="2" t="s">
        <v>770</v>
      </c>
    </row>
    <row r="18">
      <c r="A18" s="2" t="s">
        <v>771</v>
      </c>
    </row>
    <row r="19">
      <c r="A19" s="2" t="s">
        <v>772</v>
      </c>
    </row>
    <row r="20">
      <c r="A20" s="2" t="s">
        <v>773</v>
      </c>
    </row>
    <row r="21">
      <c r="A21" s="2" t="s">
        <v>774</v>
      </c>
    </row>
    <row r="22">
      <c r="A22" s="2" t="s">
        <v>775</v>
      </c>
    </row>
    <row r="23"/>
    <row r="24">
      <c r="A24" s="146" t="s">
        <v>776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A25" s="2" t="s">
        <v>777</v>
      </c>
      <c r="B25" s="2" t="s">
        <v>778</v>
      </c>
      <c r="C25" s="2" t="s">
        <v>779</v>
      </c>
    </row>
    <row r="26">
      <c r="A26" s="2" t="s">
        <v>780</v>
      </c>
      <c r="B26" s="2" t="s">
        <v>781</v>
      </c>
      <c r="C26" s="2" t="s">
        <v>782</v>
      </c>
    </row>
    <row r="27">
      <c r="A27" s="2" t="s">
        <v>783</v>
      </c>
      <c r="B27" s="2" t="s">
        <v>784</v>
      </c>
      <c r="C27" s="2" t="s">
        <v>785</v>
      </c>
    </row>
    <row r="28">
      <c r="A28" s="2" t="s">
        <v>786</v>
      </c>
      <c r="B28" s="2" t="s">
        <v>787</v>
      </c>
      <c r="C28" s="2" t="s">
        <v>788</v>
      </c>
    </row>
    <row r="29">
      <c r="A29" s="2" t="s">
        <v>789</v>
      </c>
      <c r="B29" s="2" t="s">
        <v>790</v>
      </c>
      <c r="C29" s="2" t="s">
        <v>791</v>
      </c>
    </row>
    <row r="30">
      <c r="A30" s="2" t="s">
        <v>792</v>
      </c>
      <c r="B30" s="2" t="s">
        <v>793</v>
      </c>
      <c r="C30" s="2" t="s">
        <v>794</v>
      </c>
    </row>
    <row r="31">
      <c r="A31" s="2" t="s">
        <v>795</v>
      </c>
      <c r="B31" s="2" t="s">
        <v>796</v>
      </c>
      <c r="C31" s="2" t="s">
        <v>797</v>
      </c>
    </row>
    <row r="32">
      <c r="A32" s="2" t="s">
        <v>798</v>
      </c>
      <c r="B32" s="2" t="s">
        <v>799</v>
      </c>
      <c r="C32" s="2" t="s">
        <v>800</v>
      </c>
    </row>
    <row r="33">
      <c r="A33" s="2" t="s">
        <v>801</v>
      </c>
      <c r="B33" s="132" t="s">
        <v>802</v>
      </c>
      <c r="C33" s="2" t="s">
        <v>803</v>
      </c>
    </row>
    <row r="34"/>
    <row r="35">
      <c r="A35" s="146" t="s">
        <v>804</v>
      </c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4"/>
      <c r="S35" s="144"/>
      <c r="T35" s="144"/>
      <c r="U35" s="144"/>
      <c r="V35" s="144"/>
      <c r="W35" s="144"/>
      <c r="X35" s="144"/>
      <c r="Y35" s="144"/>
      <c r="Z35" s="144"/>
    </row>
    <row r="36">
      <c r="A36" s="2" t="s">
        <v>263</v>
      </c>
      <c r="B36" s="2" t="s">
        <v>3</v>
      </c>
      <c r="C36" s="2" t="s">
        <v>805</v>
      </c>
      <c r="D36" s="2" t="s">
        <v>806</v>
      </c>
      <c r="E36" s="2" t="s">
        <v>807</v>
      </c>
      <c r="F36" s="2" t="s">
        <v>808</v>
      </c>
      <c r="G36" s="2" t="s">
        <v>809</v>
      </c>
      <c r="H36" s="2" t="s">
        <v>810</v>
      </c>
      <c r="I36" s="2" t="s">
        <v>811</v>
      </c>
      <c r="J36" s="2" t="s">
        <v>812</v>
      </c>
      <c r="K36" s="2" t="s">
        <v>740</v>
      </c>
      <c r="L36" s="2" t="s">
        <v>813</v>
      </c>
      <c r="M36" s="2" t="s">
        <v>814</v>
      </c>
      <c r="N36" s="2" t="s">
        <v>815</v>
      </c>
      <c r="O36" s="2" t="s">
        <v>816</v>
      </c>
      <c r="P36" s="2" t="s">
        <v>817</v>
      </c>
      <c r="Q36" s="2" t="s">
        <v>818</v>
      </c>
    </row>
    <row r="37">
      <c r="A37" s="2" t="s">
        <v>18</v>
      </c>
      <c r="B37" s="2" t="s">
        <v>819</v>
      </c>
      <c r="C37" s="36">
        <v>42500.0</v>
      </c>
      <c r="D37" s="36">
        <v>45000.0</v>
      </c>
      <c r="E37" s="5">
        <f t="shared" ref="E37:E39" si="1">3600/C37</f>
        <v>0.08470588235</v>
      </c>
      <c r="F37" s="36">
        <v>2.0</v>
      </c>
      <c r="G37" s="36">
        <v>8.0</v>
      </c>
      <c r="H37" s="36">
        <v>286.0</v>
      </c>
      <c r="I37" s="36">
        <v>70.0</v>
      </c>
      <c r="J37" s="5">
        <f t="shared" ref="J37:J39" si="2">K37*L37</f>
        <v>262440</v>
      </c>
      <c r="K37" s="36">
        <v>162.0</v>
      </c>
      <c r="L37" s="36">
        <v>1620.0</v>
      </c>
      <c r="M37" s="5">
        <f t="shared" ref="M37:M39" si="3">I37/60+J37*E37/3600</f>
        <v>7.34172549</v>
      </c>
      <c r="N37" s="5">
        <f t="shared" ref="N37:N39" si="4">M37*3600/J37</f>
        <v>0.1007095403</v>
      </c>
      <c r="O37" s="5">
        <f t="shared" ref="O37:O39" si="5">3600/N37</f>
        <v>35746.36512</v>
      </c>
      <c r="P37" s="4">
        <f>B56</f>
        <v>16.98353585</v>
      </c>
      <c r="Q37" s="5">
        <f t="shared" ref="Q37:Q39" si="6">C37*F37*G37*H37*H83</f>
        <v>149972883.4</v>
      </c>
    </row>
    <row r="38">
      <c r="A38" s="2" t="s">
        <v>19</v>
      </c>
      <c r="B38" s="2" t="s">
        <v>820</v>
      </c>
      <c r="C38" s="36">
        <v>12000.0</v>
      </c>
      <c r="D38" s="36">
        <v>13000.0</v>
      </c>
      <c r="E38" s="5">
        <f t="shared" si="1"/>
        <v>0.3</v>
      </c>
      <c r="F38" s="36">
        <v>2.0</v>
      </c>
      <c r="G38" s="36">
        <v>8.0</v>
      </c>
      <c r="H38" s="36">
        <v>286.0</v>
      </c>
      <c r="I38" s="36">
        <v>70.0</v>
      </c>
      <c r="J38" s="5">
        <f t="shared" si="2"/>
        <v>73080</v>
      </c>
      <c r="K38" s="36">
        <v>87.0</v>
      </c>
      <c r="L38" s="36">
        <v>840.0</v>
      </c>
      <c r="M38" s="5">
        <f t="shared" si="3"/>
        <v>7.256666667</v>
      </c>
      <c r="N38" s="5">
        <f t="shared" si="4"/>
        <v>0.3574712644</v>
      </c>
      <c r="O38" s="5">
        <f t="shared" si="5"/>
        <v>10070.73955</v>
      </c>
      <c r="P38" s="4">
        <f>B69</f>
        <v>19.25814167</v>
      </c>
      <c r="Q38" s="5">
        <f t="shared" si="6"/>
        <v>42005034.01</v>
      </c>
    </row>
    <row r="39">
      <c r="A39" s="2" t="s">
        <v>20</v>
      </c>
      <c r="B39" s="2" t="s">
        <v>821</v>
      </c>
      <c r="C39" s="36">
        <v>480.0</v>
      </c>
      <c r="D39" s="36">
        <v>520.0</v>
      </c>
      <c r="E39" s="5">
        <f t="shared" si="1"/>
        <v>7.5</v>
      </c>
      <c r="F39" s="36">
        <v>1.0</v>
      </c>
      <c r="G39" s="36">
        <v>8.0</v>
      </c>
      <c r="H39" s="36">
        <v>120.0</v>
      </c>
      <c r="I39" s="36">
        <v>70.0</v>
      </c>
      <c r="J39" s="5">
        <f t="shared" si="2"/>
        <v>2880</v>
      </c>
      <c r="K39" s="36">
        <v>96.0</v>
      </c>
      <c r="L39" s="36">
        <v>30.0</v>
      </c>
      <c r="M39" s="5">
        <f t="shared" si="3"/>
        <v>7.166666667</v>
      </c>
      <c r="N39" s="5">
        <f t="shared" si="4"/>
        <v>8.958333333</v>
      </c>
      <c r="O39" s="5">
        <f t="shared" si="5"/>
        <v>401.8604651</v>
      </c>
      <c r="P39" s="4">
        <f>B79</f>
        <v>15.57390556</v>
      </c>
      <c r="Q39" s="5">
        <f t="shared" si="6"/>
        <v>347305.5659</v>
      </c>
    </row>
    <row r="40">
      <c r="A40" s="2" t="s">
        <v>822</v>
      </c>
    </row>
    <row r="41"/>
    <row r="42">
      <c r="A42" s="146" t="s">
        <v>823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4"/>
      <c r="S42" s="144"/>
      <c r="T42" s="144"/>
      <c r="U42" s="144"/>
      <c r="V42" s="144"/>
      <c r="W42" s="144"/>
      <c r="X42" s="144"/>
      <c r="Y42" s="144"/>
      <c r="Z42" s="144"/>
    </row>
    <row r="43">
      <c r="A43" s="2" t="s">
        <v>824</v>
      </c>
    </row>
    <row r="44">
      <c r="A44" s="2" t="s">
        <v>825</v>
      </c>
    </row>
    <row r="45">
      <c r="A45" s="2" t="s">
        <v>826</v>
      </c>
    </row>
    <row r="46">
      <c r="A46" s="2" t="s">
        <v>827</v>
      </c>
      <c r="B46" s="2" t="s">
        <v>828</v>
      </c>
      <c r="C46" s="2" t="s">
        <v>829</v>
      </c>
      <c r="D46" s="2" t="s">
        <v>830</v>
      </c>
      <c r="E46" s="2" t="s">
        <v>831</v>
      </c>
    </row>
    <row r="47">
      <c r="A47" s="2" t="s">
        <v>832</v>
      </c>
      <c r="B47" s="36">
        <v>0.7</v>
      </c>
      <c r="C47" s="36">
        <v>0.97</v>
      </c>
      <c r="D47" s="147">
        <v>1.6</v>
      </c>
      <c r="E47" s="148">
        <f t="shared" ref="E47:E55" si="7">D47*3600</f>
        <v>5760</v>
      </c>
    </row>
    <row r="48">
      <c r="A48" s="2" t="s">
        <v>833</v>
      </c>
      <c r="B48" s="36">
        <v>0.8</v>
      </c>
      <c r="C48" s="36">
        <v>0.9</v>
      </c>
      <c r="D48" s="36">
        <v>1.28</v>
      </c>
      <c r="E48" s="5">
        <f t="shared" si="7"/>
        <v>4608</v>
      </c>
    </row>
    <row r="49">
      <c r="A49" s="2" t="s">
        <v>834</v>
      </c>
      <c r="B49" s="36">
        <v>0.6</v>
      </c>
      <c r="C49" s="36">
        <v>0.95</v>
      </c>
      <c r="D49" s="36">
        <v>0.96</v>
      </c>
      <c r="E49" s="5">
        <f t="shared" si="7"/>
        <v>3456</v>
      </c>
    </row>
    <row r="50">
      <c r="A50" s="2" t="s">
        <v>835</v>
      </c>
      <c r="B50" s="149">
        <v>0.576</v>
      </c>
      <c r="C50" s="36">
        <v>0.92</v>
      </c>
      <c r="D50" s="36">
        <v>0.64</v>
      </c>
      <c r="E50" s="5">
        <f t="shared" si="7"/>
        <v>2304</v>
      </c>
    </row>
    <row r="51">
      <c r="A51" s="2" t="s">
        <v>836</v>
      </c>
      <c r="B51" s="149">
        <v>0.576</v>
      </c>
      <c r="C51" s="36">
        <v>0.94</v>
      </c>
      <c r="D51" s="36">
        <v>0.64</v>
      </c>
      <c r="E51" s="5">
        <f t="shared" si="7"/>
        <v>2304</v>
      </c>
    </row>
    <row r="52">
      <c r="A52" s="2" t="s">
        <v>837</v>
      </c>
      <c r="B52" s="36">
        <v>0.65</v>
      </c>
      <c r="C52" s="36">
        <v>0.95</v>
      </c>
      <c r="D52" s="36">
        <v>0.96</v>
      </c>
      <c r="E52" s="5">
        <f t="shared" si="7"/>
        <v>3456</v>
      </c>
    </row>
    <row r="53">
      <c r="A53" s="2" t="s">
        <v>838</v>
      </c>
      <c r="B53" s="36">
        <v>0.6</v>
      </c>
      <c r="C53" s="36">
        <v>0.93</v>
      </c>
      <c r="D53" s="36">
        <v>0.96</v>
      </c>
      <c r="E53" s="5">
        <f t="shared" si="7"/>
        <v>3456</v>
      </c>
    </row>
    <row r="54">
      <c r="A54" s="2" t="s">
        <v>839</v>
      </c>
      <c r="B54" s="147">
        <v>1.2</v>
      </c>
      <c r="C54" s="36">
        <v>0.93</v>
      </c>
      <c r="D54" s="36">
        <v>1.0</v>
      </c>
      <c r="E54" s="5">
        <f t="shared" si="7"/>
        <v>3600</v>
      </c>
    </row>
    <row r="55">
      <c r="A55" s="2" t="s">
        <v>840</v>
      </c>
      <c r="B55" s="36">
        <v>0.9</v>
      </c>
      <c r="C55" s="36">
        <v>0.98</v>
      </c>
      <c r="D55" s="147">
        <v>1.6</v>
      </c>
      <c r="E55" s="148">
        <f t="shared" si="7"/>
        <v>5760</v>
      </c>
    </row>
    <row r="56">
      <c r="A56" s="2" t="s">
        <v>841</v>
      </c>
      <c r="B56" s="149">
        <f>(I37*60+SUM(B47:B55)+SUM(E47:E55)+(J37-1)*E37)/3600</f>
        <v>16.98353585</v>
      </c>
      <c r="F56" s="2" t="s">
        <v>842</v>
      </c>
    </row>
    <row r="57">
      <c r="A57" s="2" t="s">
        <v>843</v>
      </c>
    </row>
    <row r="58">
      <c r="A58" s="2" t="s">
        <v>827</v>
      </c>
      <c r="B58" s="2" t="s">
        <v>828</v>
      </c>
      <c r="C58" s="2" t="s">
        <v>829</v>
      </c>
      <c r="D58" s="2" t="s">
        <v>830</v>
      </c>
      <c r="E58" s="2" t="s">
        <v>831</v>
      </c>
    </row>
    <row r="59">
      <c r="A59" s="2" t="s">
        <v>844</v>
      </c>
      <c r="B59" s="36">
        <v>0.7</v>
      </c>
      <c r="C59" s="36">
        <v>0.97</v>
      </c>
      <c r="D59" s="36">
        <v>2.0</v>
      </c>
      <c r="E59" s="5">
        <f t="shared" ref="E59:E68" si="8">D59*3600</f>
        <v>7200</v>
      </c>
    </row>
    <row r="60">
      <c r="A60" s="2" t="s">
        <v>845</v>
      </c>
      <c r="B60" s="36">
        <v>0.5</v>
      </c>
      <c r="C60" s="36">
        <v>0.93</v>
      </c>
      <c r="D60" s="36">
        <v>1.33</v>
      </c>
      <c r="E60" s="5">
        <f t="shared" si="8"/>
        <v>4788</v>
      </c>
    </row>
    <row r="61">
      <c r="A61" s="2" t="s">
        <v>846</v>
      </c>
      <c r="B61" s="36">
        <v>0.5</v>
      </c>
      <c r="C61" s="36">
        <v>0.95</v>
      </c>
      <c r="D61" s="147">
        <v>1.2</v>
      </c>
      <c r="E61" s="148">
        <f t="shared" si="8"/>
        <v>4320</v>
      </c>
    </row>
    <row r="62">
      <c r="A62" s="2" t="s">
        <v>834</v>
      </c>
      <c r="B62" s="36">
        <v>0.5</v>
      </c>
      <c r="C62" s="36">
        <v>0.95</v>
      </c>
      <c r="D62" s="150">
        <v>1.07</v>
      </c>
      <c r="E62" s="151">
        <f t="shared" si="8"/>
        <v>3852</v>
      </c>
    </row>
    <row r="63">
      <c r="A63" s="2" t="s">
        <v>835</v>
      </c>
      <c r="B63" s="36">
        <v>0.48</v>
      </c>
      <c r="C63" s="36">
        <v>0.92</v>
      </c>
      <c r="D63" s="36">
        <v>0.8</v>
      </c>
      <c r="E63" s="5">
        <f t="shared" si="8"/>
        <v>2880</v>
      </c>
    </row>
    <row r="64">
      <c r="A64" s="2" t="s">
        <v>836</v>
      </c>
      <c r="B64" s="36">
        <v>0.48</v>
      </c>
      <c r="C64" s="36">
        <v>0.94</v>
      </c>
      <c r="D64" s="36">
        <v>0.8</v>
      </c>
      <c r="E64" s="5">
        <f t="shared" si="8"/>
        <v>2880</v>
      </c>
    </row>
    <row r="65">
      <c r="A65" s="2" t="s">
        <v>837</v>
      </c>
      <c r="B65" s="36">
        <v>0.65</v>
      </c>
      <c r="C65" s="36">
        <v>0.96</v>
      </c>
      <c r="D65" s="36">
        <v>0.8</v>
      </c>
      <c r="E65" s="5">
        <f t="shared" si="8"/>
        <v>2880</v>
      </c>
    </row>
    <row r="66">
      <c r="A66" s="2" t="s">
        <v>847</v>
      </c>
      <c r="B66" s="36">
        <v>0.6</v>
      </c>
      <c r="C66" s="36">
        <v>0.96</v>
      </c>
      <c r="D66" s="150">
        <v>1.07</v>
      </c>
      <c r="E66" s="151">
        <f t="shared" si="8"/>
        <v>3852</v>
      </c>
    </row>
    <row r="67">
      <c r="A67" s="2" t="s">
        <v>839</v>
      </c>
      <c r="B67" s="36">
        <v>1.0</v>
      </c>
      <c r="C67" s="36">
        <v>0.93</v>
      </c>
      <c r="D67" s="36">
        <v>1.33</v>
      </c>
      <c r="E67" s="5">
        <f t="shared" si="8"/>
        <v>4788</v>
      </c>
    </row>
    <row r="68">
      <c r="A68" s="2" t="s">
        <v>840</v>
      </c>
      <c r="B68" s="36">
        <v>0.2</v>
      </c>
      <c r="C68" s="36">
        <v>0.98</v>
      </c>
      <c r="D68" s="147">
        <v>1.6</v>
      </c>
      <c r="E68" s="148">
        <f t="shared" si="8"/>
        <v>5760</v>
      </c>
    </row>
    <row r="69">
      <c r="A69" s="2" t="s">
        <v>841</v>
      </c>
      <c r="B69" s="149">
        <f>(I38*60+SUM(B59:B68)+SUM(E59:E68)+(J38-1)*E38)/3600</f>
        <v>19.25814167</v>
      </c>
      <c r="F69" s="2" t="s">
        <v>842</v>
      </c>
    </row>
    <row r="70">
      <c r="A70" s="2" t="s">
        <v>848</v>
      </c>
    </row>
    <row r="71">
      <c r="A71" s="2" t="s">
        <v>827</v>
      </c>
      <c r="B71" s="2" t="s">
        <v>828</v>
      </c>
      <c r="C71" s="2" t="s">
        <v>829</v>
      </c>
      <c r="D71" s="2" t="s">
        <v>830</v>
      </c>
      <c r="E71" s="2" t="s">
        <v>831</v>
      </c>
    </row>
    <row r="72">
      <c r="A72" s="2" t="s">
        <v>832</v>
      </c>
      <c r="B72" s="147">
        <v>3.5</v>
      </c>
      <c r="C72" s="36">
        <v>0.97</v>
      </c>
      <c r="D72" s="147">
        <v>1.6</v>
      </c>
      <c r="E72" s="148">
        <f t="shared" ref="E72:E78" si="9">D72*3600</f>
        <v>5760</v>
      </c>
    </row>
    <row r="73">
      <c r="A73" s="2" t="s">
        <v>833</v>
      </c>
      <c r="B73" s="147">
        <v>3.2</v>
      </c>
      <c r="C73" s="36">
        <v>0.93</v>
      </c>
      <c r="D73" s="147">
        <v>1.2</v>
      </c>
      <c r="E73" s="148">
        <f t="shared" si="9"/>
        <v>4320</v>
      </c>
    </row>
    <row r="74">
      <c r="A74" s="2" t="s">
        <v>835</v>
      </c>
      <c r="B74" s="36">
        <v>2.88</v>
      </c>
      <c r="C74" s="36">
        <v>0.92</v>
      </c>
      <c r="D74" s="36">
        <v>0.8</v>
      </c>
      <c r="E74" s="5">
        <f t="shared" si="9"/>
        <v>2880</v>
      </c>
    </row>
    <row r="75">
      <c r="A75" s="2" t="s">
        <v>836</v>
      </c>
      <c r="B75" s="36">
        <v>2.88</v>
      </c>
      <c r="C75" s="36">
        <v>0.94</v>
      </c>
      <c r="D75" s="36">
        <v>0.8</v>
      </c>
      <c r="E75" s="5">
        <f t="shared" si="9"/>
        <v>2880</v>
      </c>
    </row>
    <row r="76">
      <c r="A76" s="2" t="s">
        <v>849</v>
      </c>
      <c r="B76" s="147">
        <v>3.1</v>
      </c>
      <c r="C76" s="36">
        <v>0.96</v>
      </c>
      <c r="D76" s="147">
        <v>1.2</v>
      </c>
      <c r="E76" s="148">
        <f t="shared" si="9"/>
        <v>4320</v>
      </c>
    </row>
    <row r="77">
      <c r="A77" s="2" t="s">
        <v>850</v>
      </c>
      <c r="B77" s="36">
        <v>15.0</v>
      </c>
      <c r="C77" s="36">
        <v>0.93</v>
      </c>
      <c r="D77" s="147">
        <v>1.2</v>
      </c>
      <c r="E77" s="148">
        <f t="shared" si="9"/>
        <v>4320</v>
      </c>
    </row>
    <row r="78">
      <c r="A78" s="2" t="s">
        <v>840</v>
      </c>
      <c r="B78" s="36">
        <v>3.0</v>
      </c>
      <c r="C78" s="36">
        <v>0.98</v>
      </c>
      <c r="D78" s="147">
        <v>1.6</v>
      </c>
      <c r="E78" s="148">
        <f t="shared" si="9"/>
        <v>5760</v>
      </c>
    </row>
    <row r="79">
      <c r="A79" s="2" t="s">
        <v>841</v>
      </c>
      <c r="B79" s="149">
        <f>(I39*60+SUM(B72:B78)+SUM(E72:E78)+(J39-1)*E39)/3600</f>
        <v>15.57390556</v>
      </c>
      <c r="F79" s="2" t="s">
        <v>842</v>
      </c>
    </row>
    <row r="80"/>
    <row r="81">
      <c r="A81" s="146" t="s">
        <v>851</v>
      </c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4"/>
      <c r="S81" s="144"/>
      <c r="T81" s="144"/>
      <c r="U81" s="144"/>
      <c r="V81" s="144"/>
      <c r="W81" s="144"/>
      <c r="X81" s="144"/>
      <c r="Y81" s="144"/>
      <c r="Z81" s="144"/>
    </row>
    <row r="82">
      <c r="A82" s="2" t="s">
        <v>263</v>
      </c>
      <c r="B82" s="2" t="s">
        <v>3</v>
      </c>
      <c r="C82" s="2" t="s">
        <v>852</v>
      </c>
      <c r="D82" s="2" t="s">
        <v>853</v>
      </c>
      <c r="E82" s="2" t="s">
        <v>854</v>
      </c>
      <c r="F82" s="2" t="s">
        <v>855</v>
      </c>
      <c r="G82" s="2" t="s">
        <v>856</v>
      </c>
      <c r="H82" s="2" t="s">
        <v>857</v>
      </c>
      <c r="I82" s="2" t="s">
        <v>858</v>
      </c>
      <c r="J82" s="2" t="s">
        <v>859</v>
      </c>
      <c r="K82" s="2" t="s">
        <v>860</v>
      </c>
      <c r="L82" s="2" t="s">
        <v>861</v>
      </c>
      <c r="M82" s="2" t="s">
        <v>862</v>
      </c>
    </row>
    <row r="83">
      <c r="A83" s="2" t="s">
        <v>18</v>
      </c>
      <c r="B83" s="2" t="s">
        <v>819</v>
      </c>
      <c r="C83" s="5">
        <f t="shared" ref="C83:C85" si="10">(K83-L83-M83)/(K83-L83)</f>
        <v>0.890243367</v>
      </c>
      <c r="D83" s="5">
        <f t="shared" ref="D83:D85" si="11">C37/D37</f>
        <v>0.9444444444</v>
      </c>
      <c r="E83" s="36">
        <v>0.9178</v>
      </c>
      <c r="F83" s="5">
        <f t="shared" ref="F83:F85" si="12">D83*E83</f>
        <v>0.8668111111</v>
      </c>
      <c r="G83" s="36">
        <v>0.99932</v>
      </c>
      <c r="H83" s="5">
        <f t="shared" ref="H83:H85" si="13">C83*F83*G83</f>
        <v>0.7711481046</v>
      </c>
      <c r="I83" s="5">
        <f t="shared" ref="I83:I85" si="14">F37*G37*H37/(24*365)</f>
        <v>0.5223744292</v>
      </c>
      <c r="J83" s="5">
        <f t="shared" ref="J83:J85" si="15">H83*I83</f>
        <v>0.402828051</v>
      </c>
      <c r="K83" s="36">
        <v>8.0</v>
      </c>
      <c r="L83" s="36">
        <v>1.1667</v>
      </c>
      <c r="M83" s="36">
        <v>0.75</v>
      </c>
    </row>
    <row r="84">
      <c r="A84" s="2" t="s">
        <v>19</v>
      </c>
      <c r="B84" s="2" t="s">
        <v>820</v>
      </c>
      <c r="C84" s="5">
        <f t="shared" si="10"/>
        <v>0.890243367</v>
      </c>
      <c r="D84" s="5">
        <f t="shared" si="11"/>
        <v>0.9230769231</v>
      </c>
      <c r="E84" s="36">
        <v>0.9315</v>
      </c>
      <c r="F84" s="5">
        <f t="shared" si="12"/>
        <v>0.8598461538</v>
      </c>
      <c r="G84" s="36">
        <v>0.99932</v>
      </c>
      <c r="H84" s="5">
        <f t="shared" si="13"/>
        <v>0.7649518139</v>
      </c>
      <c r="I84" s="5">
        <f t="shared" si="14"/>
        <v>0.5223744292</v>
      </c>
      <c r="J84" s="5">
        <f t="shared" si="15"/>
        <v>0.3995912672</v>
      </c>
      <c r="K84" s="36">
        <v>8.0</v>
      </c>
      <c r="L84" s="36">
        <v>1.1667</v>
      </c>
      <c r="M84" s="36">
        <v>0.75</v>
      </c>
    </row>
    <row r="85">
      <c r="A85" s="2" t="s">
        <v>20</v>
      </c>
      <c r="B85" s="2" t="s">
        <v>821</v>
      </c>
      <c r="C85" s="5">
        <f t="shared" si="10"/>
        <v>0.890243367</v>
      </c>
      <c r="D85" s="5">
        <f t="shared" si="11"/>
        <v>0.9230769231</v>
      </c>
      <c r="E85" s="36">
        <v>0.9178</v>
      </c>
      <c r="F85" s="5">
        <f t="shared" si="12"/>
        <v>0.8472</v>
      </c>
      <c r="G85" s="36">
        <v>0.99932</v>
      </c>
      <c r="H85" s="5">
        <f t="shared" si="13"/>
        <v>0.7537013149</v>
      </c>
      <c r="I85" s="5">
        <f t="shared" si="14"/>
        <v>0.1095890411</v>
      </c>
      <c r="J85" s="5">
        <f t="shared" si="15"/>
        <v>0.08259740437</v>
      </c>
      <c r="K85" s="36">
        <v>8.0</v>
      </c>
      <c r="L85" s="36">
        <v>1.1667</v>
      </c>
      <c r="M85" s="36">
        <v>0.75</v>
      </c>
    </row>
    <row r="86"/>
    <row r="87">
      <c r="A87" s="146" t="s">
        <v>863</v>
      </c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4"/>
      <c r="S87" s="144"/>
      <c r="T87" s="144"/>
      <c r="U87" s="144"/>
      <c r="V87" s="144"/>
      <c r="W87" s="144"/>
      <c r="X87" s="144"/>
      <c r="Y87" s="144"/>
      <c r="Z87" s="144"/>
    </row>
    <row r="88">
      <c r="A88" s="2" t="s">
        <v>864</v>
      </c>
    </row>
    <row r="89">
      <c r="A89" s="2" t="s">
        <v>263</v>
      </c>
      <c r="B89" s="2" t="s">
        <v>857</v>
      </c>
      <c r="C89" s="2" t="s">
        <v>865</v>
      </c>
      <c r="D89" s="2" t="s">
        <v>866</v>
      </c>
      <c r="E89" s="2" t="s">
        <v>867</v>
      </c>
      <c r="F89" s="2" t="s">
        <v>868</v>
      </c>
      <c r="G89" s="2" t="s">
        <v>869</v>
      </c>
      <c r="H89" s="2" t="s">
        <v>870</v>
      </c>
      <c r="I89" s="2" t="s">
        <v>871</v>
      </c>
    </row>
    <row r="90">
      <c r="A90" s="2" t="s">
        <v>18</v>
      </c>
      <c r="B90" s="5">
        <f t="shared" ref="B90:B92" si="16">H83</f>
        <v>0.7711481046</v>
      </c>
      <c r="C90" s="5">
        <f t="shared" ref="C90:C92" si="17">B90*(105/100)</f>
        <v>0.8097055098</v>
      </c>
      <c r="D90" s="5">
        <f t="shared" ref="D90:D92" si="18">(C90-B90)*100</f>
        <v>3.855740523</v>
      </c>
      <c r="E90" s="5">
        <f t="shared" ref="E90:E92" si="19">D90*(50/100)</f>
        <v>1.927870262</v>
      </c>
      <c r="F90" s="5">
        <f t="shared" ref="F90:F92" si="20">D90*(30/100)</f>
        <v>1.156722157</v>
      </c>
      <c r="G90" s="5">
        <f t="shared" ref="G90:G92" si="21">D90*(20/100)</f>
        <v>0.7711481046</v>
      </c>
      <c r="H90" s="36">
        <v>0.86</v>
      </c>
      <c r="I90" s="132" t="s">
        <v>872</v>
      </c>
    </row>
    <row r="91">
      <c r="A91" s="2" t="s">
        <v>19</v>
      </c>
      <c r="B91" s="5">
        <f t="shared" si="16"/>
        <v>0.7649518139</v>
      </c>
      <c r="C91" s="5">
        <f t="shared" si="17"/>
        <v>0.8031994046</v>
      </c>
      <c r="D91" s="5">
        <f t="shared" si="18"/>
        <v>3.82475907</v>
      </c>
      <c r="E91" s="5">
        <f t="shared" si="19"/>
        <v>1.912379535</v>
      </c>
      <c r="F91" s="5">
        <f t="shared" si="20"/>
        <v>1.147427721</v>
      </c>
      <c r="G91" s="5">
        <f t="shared" si="21"/>
        <v>0.7649518139</v>
      </c>
      <c r="H91" s="36">
        <v>0.86</v>
      </c>
      <c r="I91" s="132" t="s">
        <v>873</v>
      </c>
    </row>
    <row r="92">
      <c r="A92" s="2" t="s">
        <v>20</v>
      </c>
      <c r="B92" s="5">
        <f t="shared" si="16"/>
        <v>0.7537013149</v>
      </c>
      <c r="C92" s="5">
        <f t="shared" si="17"/>
        <v>0.7913863807</v>
      </c>
      <c r="D92" s="5">
        <f t="shared" si="18"/>
        <v>3.768506575</v>
      </c>
      <c r="E92" s="5">
        <f t="shared" si="19"/>
        <v>1.884253287</v>
      </c>
      <c r="F92" s="5">
        <f t="shared" si="20"/>
        <v>1.130551972</v>
      </c>
      <c r="G92" s="5">
        <f t="shared" si="21"/>
        <v>0.7537013149</v>
      </c>
      <c r="H92" s="36">
        <v>0.86</v>
      </c>
      <c r="I92" s="132" t="s">
        <v>874</v>
      </c>
    </row>
    <row r="93">
      <c r="A93" s="2" t="s">
        <v>875</v>
      </c>
    </row>
    <row r="94"/>
    <row r="95">
      <c r="A95" s="2" t="s">
        <v>876</v>
      </c>
    </row>
    <row r="96">
      <c r="A96" s="2" t="s">
        <v>877</v>
      </c>
      <c r="B96" s="2" t="s">
        <v>878</v>
      </c>
      <c r="C96" s="2" t="s">
        <v>879</v>
      </c>
      <c r="D96" s="2" t="s">
        <v>880</v>
      </c>
      <c r="E96" s="2" t="s">
        <v>881</v>
      </c>
      <c r="F96" s="2" t="s">
        <v>882</v>
      </c>
    </row>
    <row r="97">
      <c r="A97" s="36">
        <v>1.0</v>
      </c>
      <c r="B97" s="36">
        <v>1.0</v>
      </c>
      <c r="C97" s="152">
        <v>0.2</v>
      </c>
      <c r="D97" s="2" t="s">
        <v>883</v>
      </c>
      <c r="E97" s="2" t="s">
        <v>745</v>
      </c>
      <c r="F97" s="2" t="s">
        <v>884</v>
      </c>
    </row>
    <row r="98">
      <c r="A98" s="36">
        <v>2.0</v>
      </c>
      <c r="B98" s="36">
        <v>2.0</v>
      </c>
      <c r="C98" s="152">
        <v>0.35</v>
      </c>
      <c r="D98" s="2" t="s">
        <v>885</v>
      </c>
      <c r="E98" s="2" t="s">
        <v>886</v>
      </c>
      <c r="F98" s="2" t="s">
        <v>887</v>
      </c>
    </row>
    <row r="99">
      <c r="A99" s="36">
        <v>3.0</v>
      </c>
      <c r="B99" s="36">
        <v>3.0</v>
      </c>
      <c r="C99" s="152">
        <v>0.27</v>
      </c>
      <c r="D99" s="2" t="s">
        <v>888</v>
      </c>
      <c r="E99" s="2" t="s">
        <v>889</v>
      </c>
      <c r="F99" s="2" t="s">
        <v>890</v>
      </c>
    </row>
    <row r="100">
      <c r="A100" s="36">
        <v>4.0</v>
      </c>
      <c r="B100" s="36">
        <v>4.0</v>
      </c>
      <c r="C100" s="152">
        <v>0.18</v>
      </c>
      <c r="D100" s="2" t="s">
        <v>891</v>
      </c>
      <c r="E100" s="2" t="s">
        <v>892</v>
      </c>
      <c r="F100" s="2" t="s">
        <v>893</v>
      </c>
    </row>
    <row r="101"/>
    <row r="102">
      <c r="A102" s="146" t="s">
        <v>894</v>
      </c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>
      <c r="A103" s="2" t="s">
        <v>263</v>
      </c>
      <c r="B103" s="2" t="s">
        <v>895</v>
      </c>
      <c r="C103" s="2" t="s">
        <v>896</v>
      </c>
      <c r="D103" s="2" t="s">
        <v>897</v>
      </c>
      <c r="E103" s="2" t="s">
        <v>898</v>
      </c>
      <c r="F103" s="2" t="s">
        <v>899</v>
      </c>
      <c r="G103" s="2" t="s">
        <v>900</v>
      </c>
      <c r="H103" s="2" t="s">
        <v>901</v>
      </c>
      <c r="I103" s="2" t="s">
        <v>902</v>
      </c>
      <c r="J103" s="2" t="s">
        <v>903</v>
      </c>
      <c r="K103" s="2" t="s">
        <v>904</v>
      </c>
      <c r="L103" s="2" t="s">
        <v>905</v>
      </c>
      <c r="M103" s="2" t="s">
        <v>810</v>
      </c>
      <c r="N103" s="2" t="s">
        <v>906</v>
      </c>
      <c r="O103" s="2" t="s">
        <v>907</v>
      </c>
      <c r="P103" s="2" t="s">
        <v>908</v>
      </c>
      <c r="Q103" s="2" t="s">
        <v>909</v>
      </c>
      <c r="R103" s="2" t="s">
        <v>910</v>
      </c>
      <c r="S103" s="2" t="s">
        <v>911</v>
      </c>
      <c r="T103" s="2" t="s">
        <v>912</v>
      </c>
      <c r="U103" s="2" t="s">
        <v>913</v>
      </c>
      <c r="V103" s="2" t="s">
        <v>914</v>
      </c>
      <c r="W103" s="2" t="s">
        <v>915</v>
      </c>
      <c r="X103" s="2" t="s">
        <v>916</v>
      </c>
      <c r="Y103" s="2" t="s">
        <v>917</v>
      </c>
      <c r="Z103" s="2" t="s">
        <v>918</v>
      </c>
    </row>
    <row r="104">
      <c r="A104" s="2" t="s">
        <v>18</v>
      </c>
      <c r="B104" s="4">
        <f>SUM(Demanda!D$5:D$16)</f>
        <v>188337814</v>
      </c>
      <c r="C104" s="2" t="s">
        <v>919</v>
      </c>
      <c r="D104" s="2" t="s">
        <v>920</v>
      </c>
      <c r="E104" s="36">
        <v>42500.0</v>
      </c>
      <c r="F104" s="36">
        <v>44000.0</v>
      </c>
      <c r="G104" s="153">
        <f t="shared" ref="G104:H104" si="22">3600/E104</f>
        <v>0.08470588235</v>
      </c>
      <c r="H104" s="153">
        <f t="shared" si="22"/>
        <v>0.08181818182</v>
      </c>
      <c r="I104" s="154">
        <f t="shared" ref="I104:I106" si="25">H83</f>
        <v>0.7711481046</v>
      </c>
      <c r="J104" s="154">
        <f t="shared" ref="J104:J106" si="26">C90</f>
        <v>0.8097055098</v>
      </c>
      <c r="K104" s="36">
        <v>2.0</v>
      </c>
      <c r="L104" s="36">
        <v>3.0</v>
      </c>
      <c r="M104" s="36">
        <v>286.0</v>
      </c>
      <c r="N104" s="5">
        <f t="shared" ref="N104:N106" si="27">J37</f>
        <v>262440</v>
      </c>
      <c r="O104" s="5">
        <f t="shared" ref="O104:O106" si="28">ROUND(F104*G37*J104/L37,0)*L37</f>
        <v>285120</v>
      </c>
      <c r="P104" s="155">
        <f t="shared" ref="P104:P106" si="29">P37</f>
        <v>16.98353585</v>
      </c>
      <c r="Q104" s="155">
        <f t="shared" ref="Q104:Q106" si="30">P104-(N104-1)*G104/3600+(O104-1)*H104/3600</f>
        <v>17.28847783</v>
      </c>
      <c r="R104" s="156">
        <f t="shared" ref="R104:R106" si="31">E104*K104*G37*M104*I104</f>
        <v>149972883.4</v>
      </c>
      <c r="S104" s="156">
        <f t="shared" ref="S104:S106" si="32">F104*K104*G37*M104*J104</f>
        <v>163029346.2</v>
      </c>
      <c r="T104" s="156">
        <f t="shared" ref="T104:T106" si="33">F104*L104*G37*M104*J104</f>
        <v>244544019.3</v>
      </c>
      <c r="U104" s="154">
        <f t="shared" ref="U104:U106" si="34">B104/R104</f>
        <v>1.255812449</v>
      </c>
      <c r="V104" s="154">
        <f t="shared" ref="V104:V106" si="35">B104/T104</f>
        <v>0.77015915</v>
      </c>
      <c r="W104" s="154">
        <f t="shared" ref="W104:W106" si="36">T104/R104-1</f>
        <v>0.6305882353</v>
      </c>
      <c r="X104" s="5" t="str">
        <f t="shared" ref="X104:Y104" si="23">IF(U104&gt;1,"INFACTIBLE","Factible")</f>
        <v>INFACTIBLE</v>
      </c>
      <c r="Y104" s="5" t="str">
        <f t="shared" si="23"/>
        <v>Factible</v>
      </c>
      <c r="Z104" s="2" t="s">
        <v>921</v>
      </c>
    </row>
    <row r="105">
      <c r="A105" s="2" t="s">
        <v>19</v>
      </c>
      <c r="B105" s="4">
        <f>SUM(Demanda!E$5:E$16)</f>
        <v>54228683</v>
      </c>
      <c r="C105" s="2" t="s">
        <v>922</v>
      </c>
      <c r="D105" s="2" t="s">
        <v>923</v>
      </c>
      <c r="E105" s="36">
        <v>12000.0</v>
      </c>
      <c r="F105" s="36">
        <v>18000.0</v>
      </c>
      <c r="G105" s="153">
        <f t="shared" ref="G105:H105" si="24">3600/E105</f>
        <v>0.3</v>
      </c>
      <c r="H105" s="153">
        <f t="shared" si="24"/>
        <v>0.2</v>
      </c>
      <c r="I105" s="154">
        <f t="shared" si="25"/>
        <v>0.7649518139</v>
      </c>
      <c r="J105" s="154">
        <f t="shared" si="26"/>
        <v>0.8031994046</v>
      </c>
      <c r="K105" s="36">
        <v>2.0</v>
      </c>
      <c r="L105" s="36">
        <v>3.0</v>
      </c>
      <c r="M105" s="36">
        <v>286.0</v>
      </c>
      <c r="N105" s="5">
        <f t="shared" si="27"/>
        <v>73080</v>
      </c>
      <c r="O105" s="5">
        <f t="shared" si="28"/>
        <v>115920</v>
      </c>
      <c r="P105" s="155">
        <f t="shared" si="29"/>
        <v>19.25814167</v>
      </c>
      <c r="Q105" s="155">
        <f t="shared" si="30"/>
        <v>19.60816944</v>
      </c>
      <c r="R105" s="156">
        <f t="shared" si="31"/>
        <v>42005034.01</v>
      </c>
      <c r="S105" s="156">
        <f t="shared" si="32"/>
        <v>66157928.56</v>
      </c>
      <c r="T105" s="156">
        <f t="shared" si="33"/>
        <v>99236892.84</v>
      </c>
      <c r="U105" s="154">
        <f t="shared" si="34"/>
        <v>1.291004383</v>
      </c>
      <c r="V105" s="154">
        <f t="shared" si="35"/>
        <v>0.5464568816</v>
      </c>
      <c r="W105" s="154">
        <f t="shared" si="36"/>
        <v>1.3625</v>
      </c>
      <c r="X105" s="5" t="str">
        <f t="shared" ref="X105:Y105" si="37">IF(U105&gt;1,"INFACTIBLE","Factible")</f>
        <v>INFACTIBLE</v>
      </c>
      <c r="Y105" s="5" t="str">
        <f t="shared" si="37"/>
        <v>Factible</v>
      </c>
      <c r="Z105" s="2" t="s">
        <v>924</v>
      </c>
    </row>
    <row r="106">
      <c r="A106" s="2" t="s">
        <v>20</v>
      </c>
      <c r="B106" s="4">
        <f>SUM(Demanda!F$5:F$16)</f>
        <v>279149</v>
      </c>
      <c r="C106" s="2" t="s">
        <v>925</v>
      </c>
      <c r="D106" s="2" t="s">
        <v>926</v>
      </c>
      <c r="E106" s="36">
        <v>480.0</v>
      </c>
      <c r="F106" s="36">
        <v>600.0</v>
      </c>
      <c r="G106" s="153">
        <f t="shared" ref="G106:H106" si="38">3600/E106</f>
        <v>7.5</v>
      </c>
      <c r="H106" s="153">
        <f t="shared" si="38"/>
        <v>6</v>
      </c>
      <c r="I106" s="154">
        <f t="shared" si="25"/>
        <v>0.7537013149</v>
      </c>
      <c r="J106" s="154">
        <f t="shared" si="26"/>
        <v>0.7913863807</v>
      </c>
      <c r="K106" s="36">
        <v>1.0</v>
      </c>
      <c r="L106" s="36">
        <v>1.0</v>
      </c>
      <c r="M106" s="36">
        <v>120.0</v>
      </c>
      <c r="N106" s="5">
        <f t="shared" si="27"/>
        <v>2880</v>
      </c>
      <c r="O106" s="5">
        <f t="shared" si="28"/>
        <v>3810</v>
      </c>
      <c r="P106" s="155">
        <f t="shared" si="29"/>
        <v>15.57390556</v>
      </c>
      <c r="Q106" s="155">
        <f t="shared" si="30"/>
        <v>15.92432222</v>
      </c>
      <c r="R106" s="156">
        <f t="shared" si="31"/>
        <v>347305.5659</v>
      </c>
      <c r="S106" s="156">
        <f t="shared" si="32"/>
        <v>455838.5553</v>
      </c>
      <c r="T106" s="156">
        <f t="shared" si="33"/>
        <v>455838.5553</v>
      </c>
      <c r="U106" s="154">
        <f t="shared" si="34"/>
        <v>0.8037561945</v>
      </c>
      <c r="V106" s="154">
        <f t="shared" si="35"/>
        <v>0.612385672</v>
      </c>
      <c r="W106" s="154">
        <f t="shared" si="36"/>
        <v>0.3125</v>
      </c>
      <c r="X106" s="5" t="str">
        <f t="shared" ref="X106:Y106" si="39">IF(U106&gt;1,"INFACTIBLE","Factible")</f>
        <v>Factible</v>
      </c>
      <c r="Y106" s="5" t="str">
        <f t="shared" si="39"/>
        <v>Factible</v>
      </c>
      <c r="Z106" s="2" t="s">
        <v>927</v>
      </c>
    </row>
    <row r="107">
      <c r="A107" s="2" t="s">
        <v>928</v>
      </c>
    </row>
    <row r="108">
      <c r="A108" s="2" t="s">
        <v>929</v>
      </c>
    </row>
    <row r="109"/>
    <row r="110">
      <c r="A110" s="146" t="s">
        <v>930</v>
      </c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>
      <c r="A111" s="2" t="s">
        <v>931</v>
      </c>
    </row>
    <row r="112">
      <c r="A112" s="2" t="s">
        <v>932</v>
      </c>
    </row>
    <row r="113">
      <c r="A113" s="2" t="s">
        <v>933</v>
      </c>
      <c r="B113" s="2" t="s">
        <v>934</v>
      </c>
      <c r="C113" s="2" t="s">
        <v>935</v>
      </c>
      <c r="D113" s="2" t="s">
        <v>936</v>
      </c>
      <c r="E113" s="2" t="s">
        <v>937</v>
      </c>
      <c r="F113" s="2" t="s">
        <v>938</v>
      </c>
    </row>
    <row r="114">
      <c r="A114" s="2" t="s">
        <v>939</v>
      </c>
    </row>
    <row r="115">
      <c r="A115" s="2" t="s">
        <v>940</v>
      </c>
      <c r="B115" s="2" t="s">
        <v>941</v>
      </c>
      <c r="C115" s="2" t="s">
        <v>942</v>
      </c>
      <c r="D115" s="2" t="s">
        <v>745</v>
      </c>
      <c r="E115" s="2" t="s">
        <v>745</v>
      </c>
      <c r="F115" s="2" t="s">
        <v>943</v>
      </c>
    </row>
    <row r="116">
      <c r="A116" s="2" t="s">
        <v>944</v>
      </c>
      <c r="B116" s="2" t="s">
        <v>945</v>
      </c>
      <c r="C116" s="36">
        <v>55000.0</v>
      </c>
      <c r="D116" s="149">
        <f t="shared" ref="D116:D120" si="40">3600/C116</f>
        <v>0.06545454545</v>
      </c>
      <c r="E116" s="2" t="s">
        <v>946</v>
      </c>
      <c r="F116" s="2" t="s">
        <v>947</v>
      </c>
    </row>
    <row r="117">
      <c r="A117" s="2" t="s">
        <v>948</v>
      </c>
      <c r="B117" s="2" t="s">
        <v>949</v>
      </c>
      <c r="C117" s="36">
        <v>72000.0</v>
      </c>
      <c r="D117" s="5">
        <f t="shared" si="40"/>
        <v>0.05</v>
      </c>
      <c r="E117" s="2" t="s">
        <v>950</v>
      </c>
      <c r="F117" s="2" t="s">
        <v>951</v>
      </c>
    </row>
    <row r="118">
      <c r="A118" s="2" t="s">
        <v>952</v>
      </c>
      <c r="B118" s="2" t="s">
        <v>953</v>
      </c>
      <c r="C118" s="36">
        <v>42500.0</v>
      </c>
      <c r="D118" s="149">
        <f t="shared" si="40"/>
        <v>0.08470588235</v>
      </c>
      <c r="E118" s="2" t="s">
        <v>946</v>
      </c>
      <c r="F118" s="2" t="s">
        <v>954</v>
      </c>
    </row>
    <row r="119">
      <c r="A119" s="2" t="s">
        <v>955</v>
      </c>
      <c r="B119" s="2" t="s">
        <v>956</v>
      </c>
      <c r="C119" s="36">
        <v>60000.0</v>
      </c>
      <c r="D119" s="5">
        <f t="shared" si="40"/>
        <v>0.06</v>
      </c>
      <c r="E119" s="2" t="s">
        <v>946</v>
      </c>
      <c r="F119" s="2" t="s">
        <v>957</v>
      </c>
    </row>
    <row r="120">
      <c r="A120" s="2" t="s">
        <v>958</v>
      </c>
      <c r="B120" s="2" t="s">
        <v>959</v>
      </c>
      <c r="C120" s="36">
        <v>50000.0</v>
      </c>
      <c r="D120" s="149">
        <f t="shared" si="40"/>
        <v>0.072</v>
      </c>
      <c r="E120" s="2" t="s">
        <v>946</v>
      </c>
      <c r="F120" s="2" t="s">
        <v>957</v>
      </c>
    </row>
    <row r="121">
      <c r="A121" s="2" t="s">
        <v>960</v>
      </c>
      <c r="B121" s="2" t="s">
        <v>961</v>
      </c>
      <c r="C121" s="2" t="s">
        <v>942</v>
      </c>
      <c r="D121" s="2" t="s">
        <v>745</v>
      </c>
      <c r="E121" s="2" t="s">
        <v>745</v>
      </c>
      <c r="F121" s="2" t="s">
        <v>962</v>
      </c>
    </row>
    <row r="122">
      <c r="A122" s="2" t="s">
        <v>963</v>
      </c>
      <c r="C122" s="36">
        <v>42500.0</v>
      </c>
      <c r="D122" s="149">
        <f>3600/C122</f>
        <v>0.08470588235</v>
      </c>
      <c r="F122" s="2" t="s">
        <v>964</v>
      </c>
    </row>
    <row r="123">
      <c r="A123" s="2" t="s">
        <v>965</v>
      </c>
    </row>
    <row r="124">
      <c r="A124" s="2" t="s">
        <v>966</v>
      </c>
      <c r="B124" s="2" t="s">
        <v>967</v>
      </c>
      <c r="C124" s="36">
        <v>12000.0</v>
      </c>
      <c r="D124" s="5">
        <f t="shared" ref="D124:D127" si="41">3600/C124</f>
        <v>0.3</v>
      </c>
      <c r="E124" s="2" t="s">
        <v>968</v>
      </c>
      <c r="F124" s="2" t="s">
        <v>969</v>
      </c>
    </row>
    <row r="125">
      <c r="A125" s="2" t="s">
        <v>955</v>
      </c>
      <c r="B125" s="2" t="s">
        <v>970</v>
      </c>
      <c r="C125" s="36">
        <v>40000.0</v>
      </c>
      <c r="D125" s="5">
        <f t="shared" si="41"/>
        <v>0.09</v>
      </c>
      <c r="E125" s="2" t="s">
        <v>971</v>
      </c>
      <c r="F125" s="2" t="s">
        <v>972</v>
      </c>
    </row>
    <row r="126">
      <c r="A126" s="2" t="s">
        <v>973</v>
      </c>
      <c r="B126" s="2" t="s">
        <v>974</v>
      </c>
      <c r="C126" s="36">
        <v>30000.0</v>
      </c>
      <c r="D126" s="5">
        <f t="shared" si="41"/>
        <v>0.12</v>
      </c>
      <c r="E126" s="2" t="s">
        <v>975</v>
      </c>
      <c r="F126" s="2" t="s">
        <v>957</v>
      </c>
    </row>
    <row r="127">
      <c r="A127" s="2" t="s">
        <v>976</v>
      </c>
      <c r="B127" s="2" t="s">
        <v>977</v>
      </c>
      <c r="C127" s="36">
        <v>40000.0</v>
      </c>
      <c r="D127" s="5">
        <f t="shared" si="41"/>
        <v>0.09</v>
      </c>
      <c r="E127" s="2" t="s">
        <v>975</v>
      </c>
      <c r="F127" s="2" t="s">
        <v>957</v>
      </c>
    </row>
    <row r="128">
      <c r="A128" s="2" t="s">
        <v>960</v>
      </c>
      <c r="B128" s="2" t="s">
        <v>961</v>
      </c>
      <c r="C128" s="2" t="s">
        <v>942</v>
      </c>
      <c r="D128" s="2" t="s">
        <v>745</v>
      </c>
      <c r="E128" s="2" t="s">
        <v>745</v>
      </c>
      <c r="F128" s="2" t="s">
        <v>978</v>
      </c>
    </row>
    <row r="129">
      <c r="A129" s="2" t="s">
        <v>963</v>
      </c>
      <c r="C129" s="36">
        <v>12000.0</v>
      </c>
      <c r="D129" s="5">
        <f>3600/C129</f>
        <v>0.3</v>
      </c>
      <c r="F129" s="2" t="s">
        <v>964</v>
      </c>
    </row>
    <row r="130">
      <c r="A130" s="2" t="s">
        <v>979</v>
      </c>
    </row>
    <row r="131">
      <c r="A131" s="2" t="s">
        <v>980</v>
      </c>
      <c r="B131" s="2" t="s">
        <v>981</v>
      </c>
      <c r="C131" s="36">
        <v>700.0</v>
      </c>
      <c r="D131" s="149">
        <f t="shared" ref="D131:D135" si="42">3600/C131</f>
        <v>5.142857143</v>
      </c>
      <c r="E131" s="2" t="s">
        <v>982</v>
      </c>
      <c r="F131" s="2" t="s">
        <v>957</v>
      </c>
    </row>
    <row r="132">
      <c r="A132" s="2" t="s">
        <v>983</v>
      </c>
      <c r="B132" s="2" t="s">
        <v>984</v>
      </c>
      <c r="C132" s="36">
        <v>600.0</v>
      </c>
      <c r="D132" s="5">
        <f t="shared" si="42"/>
        <v>6</v>
      </c>
      <c r="E132" s="2" t="s">
        <v>985</v>
      </c>
      <c r="F132" s="2" t="s">
        <v>986</v>
      </c>
    </row>
    <row r="133">
      <c r="A133" s="2" t="s">
        <v>987</v>
      </c>
      <c r="B133" s="2" t="s">
        <v>988</v>
      </c>
      <c r="C133" s="36">
        <v>900.0</v>
      </c>
      <c r="D133" s="5">
        <f t="shared" si="42"/>
        <v>4</v>
      </c>
      <c r="E133" s="2" t="s">
        <v>982</v>
      </c>
      <c r="F133" s="2" t="s">
        <v>957</v>
      </c>
    </row>
    <row r="134">
      <c r="A134" s="2" t="s">
        <v>989</v>
      </c>
      <c r="B134" s="2" t="s">
        <v>990</v>
      </c>
      <c r="C134" s="36">
        <v>480.0</v>
      </c>
      <c r="D134" s="147">
        <f t="shared" si="42"/>
        <v>7.5</v>
      </c>
      <c r="E134" s="2" t="s">
        <v>991</v>
      </c>
      <c r="F134" s="2" t="s">
        <v>992</v>
      </c>
    </row>
    <row r="135">
      <c r="A135" s="2" t="s">
        <v>963</v>
      </c>
      <c r="C135" s="36">
        <v>480.0</v>
      </c>
      <c r="D135" s="147">
        <f t="shared" si="42"/>
        <v>7.5</v>
      </c>
      <c r="F135" s="2" t="s">
        <v>964</v>
      </c>
    </row>
    <row r="136"/>
    <row r="137">
      <c r="A137" s="2" t="s">
        <v>993</v>
      </c>
    </row>
    <row r="138">
      <c r="A138" s="2" t="s">
        <v>12</v>
      </c>
      <c r="B138" s="2" t="s">
        <v>994</v>
      </c>
      <c r="C138" s="2" t="s">
        <v>995</v>
      </c>
      <c r="D138" s="2" t="s">
        <v>996</v>
      </c>
    </row>
    <row r="139">
      <c r="A139" s="146" t="s">
        <v>18</v>
      </c>
      <c r="B139" s="146" t="s">
        <v>919</v>
      </c>
      <c r="C139" s="146" t="s">
        <v>920</v>
      </c>
      <c r="D139" s="146" t="s">
        <v>921</v>
      </c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</row>
    <row r="140">
      <c r="A140" s="2" t="s">
        <v>19</v>
      </c>
      <c r="B140" s="2" t="s">
        <v>922</v>
      </c>
      <c r="C140" s="2" t="s">
        <v>923</v>
      </c>
      <c r="D140" s="2" t="s">
        <v>924</v>
      </c>
    </row>
    <row r="141">
      <c r="A141" s="2" t="s">
        <v>20</v>
      </c>
      <c r="B141" s="2" t="s">
        <v>925</v>
      </c>
      <c r="C141" s="2" t="s">
        <v>926</v>
      </c>
      <c r="D141" s="2" t="s">
        <v>927</v>
      </c>
    </row>
    <row r="142">
      <c r="A142" s="2" t="s">
        <v>997</v>
      </c>
    </row>
    <row r="143"/>
    <row r="144">
      <c r="A144" s="2" t="s">
        <v>998</v>
      </c>
    </row>
    <row r="145"/>
    <row r="146">
      <c r="A146" s="146" t="s">
        <v>999</v>
      </c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>
      <c r="A147" s="2" t="s">
        <v>1000</v>
      </c>
    </row>
    <row r="148">
      <c r="A148" s="2" t="s">
        <v>1001</v>
      </c>
      <c r="B148" s="2" t="s">
        <v>1002</v>
      </c>
    </row>
    <row r="149">
      <c r="A149" s="2" t="s">
        <v>1003</v>
      </c>
      <c r="B149" s="2" t="s">
        <v>1004</v>
      </c>
    </row>
    <row r="150">
      <c r="A150" s="2" t="s">
        <v>1005</v>
      </c>
      <c r="B150" s="2" t="s">
        <v>1006</v>
      </c>
    </row>
    <row r="151">
      <c r="A151" s="2" t="s">
        <v>1007</v>
      </c>
      <c r="B151" s="2" t="s">
        <v>1008</v>
      </c>
    </row>
    <row r="152">
      <c r="A152" s="2" t="s">
        <v>1009</v>
      </c>
      <c r="B152" s="2" t="s">
        <v>1010</v>
      </c>
    </row>
    <row r="153">
      <c r="A153" s="2" t="s">
        <v>1011</v>
      </c>
      <c r="B153" s="2" t="s">
        <v>1012</v>
      </c>
    </row>
    <row r="154">
      <c r="A154" s="2" t="s">
        <v>1013</v>
      </c>
      <c r="B154" s="2" t="s">
        <v>1014</v>
      </c>
    </row>
    <row r="155">
      <c r="A155" s="2" t="s">
        <v>1015</v>
      </c>
      <c r="B155" s="2" t="s">
        <v>1016</v>
      </c>
    </row>
    <row r="156">
      <c r="A156" s="2" t="s">
        <v>1017</v>
      </c>
      <c r="B156" s="2" t="s">
        <v>1018</v>
      </c>
    </row>
    <row r="157">
      <c r="A157" s="2" t="s">
        <v>1019</v>
      </c>
      <c r="B157" s="2" t="s">
        <v>1020</v>
      </c>
    </row>
    <row r="158">
      <c r="A158" s="2" t="s">
        <v>1021</v>
      </c>
      <c r="B158" s="2" t="s">
        <v>1022</v>
      </c>
    </row>
    <row r="159">
      <c r="A159" s="2" t="s">
        <v>211</v>
      </c>
      <c r="B159" s="2" t="s">
        <v>1023</v>
      </c>
    </row>
    <row r="160">
      <c r="A160" s="2" t="s">
        <v>1024</v>
      </c>
      <c r="B160" s="2" t="s">
        <v>1025</v>
      </c>
    </row>
    <row r="161">
      <c r="A161" s="2" t="s">
        <v>1026</v>
      </c>
      <c r="B161" s="2" t="s">
        <v>1027</v>
      </c>
    </row>
    <row r="162">
      <c r="A162" s="2" t="s">
        <v>1028</v>
      </c>
      <c r="B162" s="2" t="s">
        <v>1029</v>
      </c>
    </row>
    <row r="163">
      <c r="A163" s="2" t="s">
        <v>1030</v>
      </c>
      <c r="B163" s="2" t="s">
        <v>1031</v>
      </c>
    </row>
    <row r="164">
      <c r="A164" s="2" t="s">
        <v>1032</v>
      </c>
      <c r="B164" s="2" t="s">
        <v>1033</v>
      </c>
    </row>
    <row r="165">
      <c r="A165" s="2" t="s">
        <v>1034</v>
      </c>
      <c r="B165" s="2" t="s">
        <v>1035</v>
      </c>
    </row>
    <row r="166">
      <c r="A166" s="2" t="s">
        <v>1036</v>
      </c>
      <c r="B166" s="2" t="s">
        <v>1037</v>
      </c>
    </row>
    <row r="167"/>
    <row r="168">
      <c r="A168" s="2" t="s">
        <v>1038</v>
      </c>
    </row>
    <row r="169">
      <c r="A169" s="2" t="s">
        <v>1039</v>
      </c>
    </row>
    <row r="170">
      <c r="A170" s="2" t="s">
        <v>971</v>
      </c>
      <c r="B170" s="2" t="s">
        <v>1040</v>
      </c>
    </row>
    <row r="171">
      <c r="A171" s="2" t="s">
        <v>946</v>
      </c>
      <c r="B171" s="2" t="s">
        <v>1041</v>
      </c>
    </row>
    <row r="172">
      <c r="A172" s="2" t="s">
        <v>968</v>
      </c>
      <c r="B172" s="2" t="s">
        <v>1042</v>
      </c>
    </row>
    <row r="173">
      <c r="A173" s="2" t="s">
        <v>975</v>
      </c>
      <c r="B173" s="2" t="s">
        <v>1043</v>
      </c>
    </row>
    <row r="174">
      <c r="A174" s="2" t="s">
        <v>1044</v>
      </c>
      <c r="B174" s="2" t="s">
        <v>1045</v>
      </c>
    </row>
    <row r="175">
      <c r="A175" s="2" t="s">
        <v>1046</v>
      </c>
      <c r="B175" s="2" t="s">
        <v>1047</v>
      </c>
    </row>
    <row r="176">
      <c r="A176" s="2" t="s">
        <v>982</v>
      </c>
      <c r="B176" s="2" t="s">
        <v>1048</v>
      </c>
    </row>
    <row r="177">
      <c r="A177" s="2" t="s">
        <v>1049</v>
      </c>
      <c r="B177" s="2" t="s">
        <v>1050</v>
      </c>
    </row>
    <row r="178">
      <c r="A178" s="2" t="s">
        <v>950</v>
      </c>
      <c r="B178" s="2" t="s">
        <v>1051</v>
      </c>
    </row>
    <row r="179">
      <c r="A179" s="2" t="s">
        <v>1052</v>
      </c>
      <c r="B179" s="2" t="s">
        <v>1053</v>
      </c>
    </row>
    <row r="180">
      <c r="A180" s="2" t="s">
        <v>991</v>
      </c>
      <c r="B180" s="2" t="s">
        <v>1054</v>
      </c>
    </row>
    <row r="181">
      <c r="A181" s="2" t="s">
        <v>1055</v>
      </c>
      <c r="B181" s="2" t="s">
        <v>1056</v>
      </c>
    </row>
    <row r="182">
      <c r="A182" s="2" t="s">
        <v>1057</v>
      </c>
      <c r="B182" s="2" t="s">
        <v>1058</v>
      </c>
    </row>
    <row r="183">
      <c r="A183" s="2" t="s">
        <v>1059</v>
      </c>
      <c r="B183" s="2" t="s">
        <v>1060</v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1" width="17.0"/>
    <col customWidth="1" min="12" max="26" width="8.71"/>
  </cols>
  <sheetData>
    <row r="1">
      <c r="A1" s="10" t="s">
        <v>1061</v>
      </c>
    </row>
    <row r="2">
      <c r="A2" s="11" t="s">
        <v>1062</v>
      </c>
    </row>
    <row r="4">
      <c r="A4" s="13" t="s">
        <v>1063</v>
      </c>
      <c r="B4" s="13" t="s">
        <v>3</v>
      </c>
      <c r="C4" s="13" t="s">
        <v>513</v>
      </c>
      <c r="D4" s="13" t="s">
        <v>201</v>
      </c>
      <c r="E4" s="13" t="s">
        <v>1064</v>
      </c>
      <c r="F4" s="13" t="s">
        <v>514</v>
      </c>
      <c r="G4" s="13" t="s">
        <v>377</v>
      </c>
      <c r="H4" s="13" t="s">
        <v>1065</v>
      </c>
      <c r="I4" s="13" t="s">
        <v>516</v>
      </c>
      <c r="J4" s="13" t="s">
        <v>1066</v>
      </c>
      <c r="K4" s="13" t="s">
        <v>1067</v>
      </c>
    </row>
    <row r="5">
      <c r="A5" s="157" t="s">
        <v>1068</v>
      </c>
      <c r="B5" s="157" t="s">
        <v>6</v>
      </c>
      <c r="C5" s="157" t="s">
        <v>1069</v>
      </c>
      <c r="D5" s="157" t="s">
        <v>1070</v>
      </c>
      <c r="E5" s="157" t="s">
        <v>1071</v>
      </c>
      <c r="F5" s="157">
        <v>1.4646186E7</v>
      </c>
      <c r="G5" s="157" t="s">
        <v>1072</v>
      </c>
      <c r="H5" s="157">
        <v>28.0</v>
      </c>
      <c r="I5" s="157">
        <v>4.10093208E8</v>
      </c>
      <c r="J5" s="157" t="s">
        <v>1073</v>
      </c>
      <c r="K5" s="157" t="s">
        <v>1074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9" width="17.0"/>
    <col customWidth="1" min="10" max="26" width="8.71"/>
  </cols>
  <sheetData>
    <row r="1">
      <c r="A1" s="158" t="s">
        <v>735</v>
      </c>
      <c r="B1" s="2" t="s">
        <v>263</v>
      </c>
      <c r="C1" s="2" t="s">
        <v>736</v>
      </c>
      <c r="D1" s="2" t="s">
        <v>1075</v>
      </c>
      <c r="E1" s="2" t="s">
        <v>1076</v>
      </c>
      <c r="F1" s="2" t="s">
        <v>1077</v>
      </c>
      <c r="G1" s="2" t="s">
        <v>1078</v>
      </c>
      <c r="H1" s="2" t="s">
        <v>1079</v>
      </c>
      <c r="I1" s="2" t="s">
        <v>1080</v>
      </c>
    </row>
    <row r="2">
      <c r="A2" s="46" t="s">
        <v>1081</v>
      </c>
      <c r="B2" s="2" t="s">
        <v>18</v>
      </c>
      <c r="C2" s="2" t="s">
        <v>6</v>
      </c>
      <c r="D2" s="36">
        <v>100.0</v>
      </c>
      <c r="E2" s="36">
        <v>1800.0</v>
      </c>
      <c r="F2" s="36">
        <v>929.0</v>
      </c>
      <c r="G2" s="36">
        <v>180000.0</v>
      </c>
      <c r="H2" s="36">
        <v>92900.0</v>
      </c>
      <c r="I2" s="36">
        <v>87100.0</v>
      </c>
    </row>
    <row r="3">
      <c r="A3" s="2" t="s">
        <v>1082</v>
      </c>
      <c r="B3" s="2" t="s">
        <v>19</v>
      </c>
      <c r="C3" s="2" t="s">
        <v>8</v>
      </c>
      <c r="D3" s="36">
        <v>221.0</v>
      </c>
      <c r="E3" s="36">
        <v>4250.0</v>
      </c>
      <c r="F3" s="36">
        <v>2670.0</v>
      </c>
      <c r="G3" s="36">
        <v>939250.0</v>
      </c>
      <c r="H3" s="36">
        <v>590070.0</v>
      </c>
      <c r="I3" s="36">
        <v>349180.0</v>
      </c>
    </row>
    <row r="4">
      <c r="A4" s="42" t="s">
        <v>1082</v>
      </c>
      <c r="B4" s="42" t="s">
        <v>20</v>
      </c>
      <c r="C4" s="42" t="s">
        <v>9</v>
      </c>
      <c r="D4" s="159">
        <v>631.0</v>
      </c>
      <c r="E4" s="159">
        <v>12000.0</v>
      </c>
      <c r="F4" s="159">
        <v>6942.86</v>
      </c>
      <c r="G4" s="159">
        <v>7572000.0</v>
      </c>
      <c r="H4" s="159">
        <v>4380945.0</v>
      </c>
      <c r="I4" s="159">
        <v>3191055.0</v>
      </c>
    </row>
    <row r="5">
      <c r="A5" s="133" t="s">
        <v>1083</v>
      </c>
      <c r="B5" s="133" t="s">
        <v>18</v>
      </c>
      <c r="C5" s="133" t="s">
        <v>6</v>
      </c>
      <c r="D5" s="134">
        <v>100.0</v>
      </c>
      <c r="E5" s="134">
        <v>1800.0</v>
      </c>
      <c r="F5" s="134">
        <v>929.0</v>
      </c>
      <c r="G5" s="134">
        <v>180000.0</v>
      </c>
      <c r="H5" s="134">
        <v>92900.0</v>
      </c>
      <c r="I5" s="134">
        <v>87100.0</v>
      </c>
    </row>
    <row r="6">
      <c r="A6" s="2" t="s">
        <v>1083</v>
      </c>
      <c r="B6" s="2" t="s">
        <v>19</v>
      </c>
      <c r="C6" s="2" t="s">
        <v>8</v>
      </c>
      <c r="D6" s="36">
        <v>221.0</v>
      </c>
      <c r="E6" s="36">
        <v>4250.0</v>
      </c>
      <c r="F6" s="36">
        <v>2670.0</v>
      </c>
      <c r="G6" s="36">
        <v>939250.0</v>
      </c>
      <c r="H6" s="36">
        <v>590070.0</v>
      </c>
      <c r="I6" s="36">
        <v>349180.0</v>
      </c>
    </row>
    <row r="7">
      <c r="A7" s="2" t="s">
        <v>1083</v>
      </c>
      <c r="B7" s="2" t="s">
        <v>20</v>
      </c>
      <c r="C7" s="2" t="s">
        <v>9</v>
      </c>
      <c r="D7" s="36">
        <v>631.0</v>
      </c>
      <c r="E7" s="36">
        <v>12000.0</v>
      </c>
      <c r="F7" s="36">
        <v>6942.86</v>
      </c>
      <c r="G7" s="36">
        <v>7572000.0</v>
      </c>
      <c r="H7" s="36">
        <v>4380945.0</v>
      </c>
      <c r="I7" s="36">
        <v>3191055.0</v>
      </c>
    </row>
    <row r="8">
      <c r="A8" s="2" t="s">
        <v>1084</v>
      </c>
      <c r="B8" s="2" t="s">
        <v>18</v>
      </c>
      <c r="C8" s="2" t="s">
        <v>6</v>
      </c>
      <c r="D8" s="36">
        <v>100.0</v>
      </c>
      <c r="E8" s="36">
        <v>1800.0</v>
      </c>
      <c r="F8" s="36">
        <v>929.0</v>
      </c>
      <c r="G8" s="36">
        <v>180000.0</v>
      </c>
      <c r="H8" s="36">
        <v>92900.0</v>
      </c>
      <c r="I8" s="36">
        <v>87100.0</v>
      </c>
    </row>
    <row r="9">
      <c r="A9" s="2" t="s">
        <v>1084</v>
      </c>
      <c r="B9" s="2" t="s">
        <v>19</v>
      </c>
      <c r="C9" s="2" t="s">
        <v>8</v>
      </c>
      <c r="D9" s="36">
        <v>221.0</v>
      </c>
      <c r="E9" s="36">
        <v>4250.0</v>
      </c>
      <c r="F9" s="36">
        <v>2670.0</v>
      </c>
      <c r="G9" s="36">
        <v>939250.0</v>
      </c>
      <c r="H9" s="36">
        <v>590070.0</v>
      </c>
      <c r="I9" s="36">
        <v>349180.0</v>
      </c>
    </row>
    <row r="10">
      <c r="A10" s="2" t="s">
        <v>1084</v>
      </c>
      <c r="B10" s="2" t="s">
        <v>20</v>
      </c>
      <c r="C10" s="2" t="s">
        <v>9</v>
      </c>
      <c r="D10" s="36">
        <v>631.0</v>
      </c>
      <c r="E10" s="36">
        <v>12000.0</v>
      </c>
      <c r="F10" s="36">
        <v>6942.86</v>
      </c>
      <c r="G10" s="36">
        <v>7572000.0</v>
      </c>
      <c r="H10" s="36">
        <v>4380945.0</v>
      </c>
      <c r="I10" s="36">
        <v>3191055.0</v>
      </c>
    </row>
    <row r="11">
      <c r="A11" s="2" t="s">
        <v>1085</v>
      </c>
      <c r="B11" s="2" t="s">
        <v>18</v>
      </c>
      <c r="C11" s="2" t="s">
        <v>6</v>
      </c>
      <c r="D11" s="36">
        <v>100.0</v>
      </c>
      <c r="E11" s="36">
        <v>1800.0</v>
      </c>
      <c r="F11" s="36">
        <v>929.0</v>
      </c>
      <c r="G11" s="36">
        <v>180000.0</v>
      </c>
      <c r="H11" s="36">
        <v>92900.0</v>
      </c>
      <c r="I11" s="36">
        <v>87100.0</v>
      </c>
    </row>
    <row r="12">
      <c r="A12" s="2" t="s">
        <v>1085</v>
      </c>
      <c r="B12" s="2" t="s">
        <v>19</v>
      </c>
      <c r="C12" s="2" t="s">
        <v>8</v>
      </c>
      <c r="D12" s="36">
        <v>221.0</v>
      </c>
      <c r="E12" s="36">
        <v>4250.0</v>
      </c>
      <c r="F12" s="36">
        <v>2670.0</v>
      </c>
      <c r="G12" s="36">
        <v>939250.0</v>
      </c>
      <c r="H12" s="36">
        <v>590070.0</v>
      </c>
      <c r="I12" s="36">
        <v>349180.0</v>
      </c>
    </row>
    <row r="13">
      <c r="A13" s="2" t="s">
        <v>1085</v>
      </c>
      <c r="B13" s="2" t="s">
        <v>20</v>
      </c>
      <c r="C13" s="2" t="s">
        <v>9</v>
      </c>
      <c r="D13" s="36">
        <v>631.0</v>
      </c>
      <c r="E13" s="36">
        <v>12000.0</v>
      </c>
      <c r="F13" s="36">
        <v>6942.86</v>
      </c>
      <c r="G13" s="36">
        <v>7572000.0</v>
      </c>
      <c r="H13" s="36">
        <v>4380945.0</v>
      </c>
      <c r="I13" s="36">
        <v>3191055.0</v>
      </c>
    </row>
    <row r="14">
      <c r="A14" s="2" t="s">
        <v>1086</v>
      </c>
      <c r="B14" s="2" t="s">
        <v>18</v>
      </c>
      <c r="C14" s="2" t="s">
        <v>6</v>
      </c>
      <c r="D14" s="36">
        <v>100.0</v>
      </c>
      <c r="E14" s="36">
        <v>1800.0</v>
      </c>
      <c r="F14" s="36">
        <v>929.0</v>
      </c>
      <c r="G14" s="36">
        <v>180000.0</v>
      </c>
      <c r="H14" s="36">
        <v>92900.0</v>
      </c>
      <c r="I14" s="36">
        <v>87100.0</v>
      </c>
    </row>
    <row r="15">
      <c r="A15" s="2" t="s">
        <v>1086</v>
      </c>
      <c r="B15" s="2" t="s">
        <v>19</v>
      </c>
      <c r="C15" s="2" t="s">
        <v>8</v>
      </c>
      <c r="D15" s="36">
        <v>221.0</v>
      </c>
      <c r="E15" s="36">
        <v>4250.0</v>
      </c>
      <c r="F15" s="36">
        <v>2670.0</v>
      </c>
      <c r="G15" s="36">
        <v>939250.0</v>
      </c>
      <c r="H15" s="36">
        <v>590070.0</v>
      </c>
      <c r="I15" s="36">
        <v>349180.0</v>
      </c>
    </row>
    <row r="16">
      <c r="A16" s="2" t="s">
        <v>1086</v>
      </c>
      <c r="B16" s="2" t="s">
        <v>20</v>
      </c>
      <c r="C16" s="2" t="s">
        <v>9</v>
      </c>
      <c r="D16" s="36">
        <v>631.0</v>
      </c>
      <c r="E16" s="36">
        <v>12000.0</v>
      </c>
      <c r="F16" s="36">
        <v>6942.86</v>
      </c>
      <c r="G16" s="36">
        <v>7572000.0</v>
      </c>
      <c r="H16" s="36">
        <v>4380945.0</v>
      </c>
      <c r="I16" s="36">
        <v>3191055.0</v>
      </c>
    </row>
    <row r="17">
      <c r="A17" s="2" t="s">
        <v>1087</v>
      </c>
      <c r="B17" s="2" t="s">
        <v>18</v>
      </c>
      <c r="C17" s="2" t="s">
        <v>6</v>
      </c>
      <c r="D17" s="36">
        <v>100.0</v>
      </c>
      <c r="E17" s="36">
        <v>1800.0</v>
      </c>
      <c r="F17" s="36">
        <v>929.0</v>
      </c>
      <c r="G17" s="36">
        <v>180000.0</v>
      </c>
      <c r="H17" s="36">
        <v>92900.0</v>
      </c>
      <c r="I17" s="36">
        <v>87100.0</v>
      </c>
    </row>
    <row r="18">
      <c r="A18" s="2" t="s">
        <v>1087</v>
      </c>
      <c r="B18" s="2" t="s">
        <v>19</v>
      </c>
      <c r="C18" s="2" t="s">
        <v>8</v>
      </c>
      <c r="D18" s="36">
        <v>221.0</v>
      </c>
      <c r="E18" s="36">
        <v>4250.0</v>
      </c>
      <c r="F18" s="36">
        <v>2670.0</v>
      </c>
      <c r="G18" s="36">
        <v>939250.0</v>
      </c>
      <c r="H18" s="36">
        <v>590070.0</v>
      </c>
      <c r="I18" s="36">
        <v>349180.0</v>
      </c>
    </row>
    <row r="19">
      <c r="A19" s="2" t="s">
        <v>1087</v>
      </c>
      <c r="B19" s="2" t="s">
        <v>20</v>
      </c>
      <c r="C19" s="2" t="s">
        <v>9</v>
      </c>
      <c r="D19" s="36">
        <v>631.0</v>
      </c>
      <c r="E19" s="36">
        <v>12000.0</v>
      </c>
      <c r="F19" s="36">
        <v>6942.86</v>
      </c>
      <c r="G19" s="36">
        <v>7572000.0</v>
      </c>
      <c r="H19" s="36">
        <v>4380945.0</v>
      </c>
      <c r="I19" s="36">
        <v>3191055.0</v>
      </c>
    </row>
    <row r="20">
      <c r="A20" s="2" t="s">
        <v>1088</v>
      </c>
      <c r="B20" s="2" t="s">
        <v>18</v>
      </c>
      <c r="C20" s="2" t="s">
        <v>6</v>
      </c>
      <c r="D20" s="36">
        <v>100.0</v>
      </c>
      <c r="E20" s="36">
        <v>1800.0</v>
      </c>
      <c r="F20" s="36">
        <v>929.0</v>
      </c>
      <c r="G20" s="36">
        <v>180000.0</v>
      </c>
      <c r="H20" s="36">
        <v>92900.0</v>
      </c>
      <c r="I20" s="36">
        <v>87100.0</v>
      </c>
    </row>
    <row r="21">
      <c r="A21" s="2" t="s">
        <v>1088</v>
      </c>
      <c r="B21" s="2" t="s">
        <v>19</v>
      </c>
      <c r="C21" s="2" t="s">
        <v>8</v>
      </c>
      <c r="D21" s="36">
        <v>221.0</v>
      </c>
      <c r="E21" s="36">
        <v>4250.0</v>
      </c>
      <c r="F21" s="36">
        <v>2670.0</v>
      </c>
      <c r="G21" s="36">
        <v>939250.0</v>
      </c>
      <c r="H21" s="36">
        <v>590070.0</v>
      </c>
      <c r="I21" s="36">
        <v>349180.0</v>
      </c>
    </row>
    <row r="22">
      <c r="A22" s="2" t="s">
        <v>1088</v>
      </c>
      <c r="B22" s="2" t="s">
        <v>20</v>
      </c>
      <c r="C22" s="2" t="s">
        <v>9</v>
      </c>
      <c r="D22" s="36">
        <v>631.0</v>
      </c>
      <c r="E22" s="36">
        <v>12000.0</v>
      </c>
      <c r="F22" s="36">
        <v>6942.86</v>
      </c>
      <c r="G22" s="36">
        <v>7572000.0</v>
      </c>
      <c r="H22" s="36">
        <v>4380945.0</v>
      </c>
      <c r="I22" s="36">
        <v>3191055.0</v>
      </c>
    </row>
    <row r="23">
      <c r="A23" s="2" t="s">
        <v>1089</v>
      </c>
      <c r="B23" s="2" t="s">
        <v>18</v>
      </c>
      <c r="C23" s="2" t="s">
        <v>6</v>
      </c>
      <c r="D23" s="36">
        <v>100.0</v>
      </c>
      <c r="E23" s="36">
        <v>1800.0</v>
      </c>
      <c r="F23" s="36">
        <v>929.0</v>
      </c>
      <c r="G23" s="36">
        <v>180000.0</v>
      </c>
      <c r="H23" s="36">
        <v>92900.0</v>
      </c>
      <c r="I23" s="36">
        <v>87100.0</v>
      </c>
    </row>
    <row r="24">
      <c r="A24" s="2" t="s">
        <v>1089</v>
      </c>
      <c r="B24" s="2" t="s">
        <v>19</v>
      </c>
      <c r="C24" s="2" t="s">
        <v>8</v>
      </c>
      <c r="D24" s="36">
        <v>221.0</v>
      </c>
      <c r="E24" s="36">
        <v>4250.0</v>
      </c>
      <c r="F24" s="36">
        <v>2670.0</v>
      </c>
      <c r="G24" s="36">
        <v>939250.0</v>
      </c>
      <c r="H24" s="36">
        <v>590070.0</v>
      </c>
      <c r="I24" s="36">
        <v>349180.0</v>
      </c>
    </row>
    <row r="25">
      <c r="A25" s="2" t="s">
        <v>1089</v>
      </c>
      <c r="B25" s="2" t="s">
        <v>20</v>
      </c>
      <c r="C25" s="2" t="s">
        <v>9</v>
      </c>
      <c r="D25" s="36">
        <v>631.0</v>
      </c>
      <c r="E25" s="36">
        <v>12000.0</v>
      </c>
      <c r="F25" s="36">
        <v>6942.86</v>
      </c>
      <c r="G25" s="36">
        <v>7572000.0</v>
      </c>
      <c r="H25" s="36">
        <v>4380945.0</v>
      </c>
      <c r="I25" s="36">
        <v>3191055.0</v>
      </c>
    </row>
    <row r="26">
      <c r="A26" s="2" t="s">
        <v>1090</v>
      </c>
      <c r="B26" s="2" t="s">
        <v>18</v>
      </c>
      <c r="C26" s="2" t="s">
        <v>6</v>
      </c>
      <c r="D26" s="36">
        <v>100.0</v>
      </c>
      <c r="E26" s="36">
        <v>1800.0</v>
      </c>
      <c r="F26" s="36">
        <v>929.0</v>
      </c>
      <c r="G26" s="36">
        <v>180000.0</v>
      </c>
      <c r="H26" s="36">
        <v>92900.0</v>
      </c>
      <c r="I26" s="36">
        <v>87100.0</v>
      </c>
    </row>
    <row r="27">
      <c r="A27" s="2" t="s">
        <v>1090</v>
      </c>
      <c r="B27" s="2" t="s">
        <v>19</v>
      </c>
      <c r="C27" s="2" t="s">
        <v>8</v>
      </c>
      <c r="D27" s="36">
        <v>221.0</v>
      </c>
      <c r="E27" s="36">
        <v>4250.0</v>
      </c>
      <c r="F27" s="36">
        <v>2670.0</v>
      </c>
      <c r="G27" s="36">
        <v>939250.0</v>
      </c>
      <c r="H27" s="36">
        <v>590070.0</v>
      </c>
      <c r="I27" s="36">
        <v>349180.0</v>
      </c>
    </row>
    <row r="28">
      <c r="A28" s="2" t="s">
        <v>1090</v>
      </c>
      <c r="B28" s="2" t="s">
        <v>20</v>
      </c>
      <c r="C28" s="2" t="s">
        <v>9</v>
      </c>
      <c r="D28" s="36">
        <v>631.0</v>
      </c>
      <c r="E28" s="36">
        <v>12000.0</v>
      </c>
      <c r="F28" s="36">
        <v>6942.86</v>
      </c>
      <c r="G28" s="36">
        <v>7572000.0</v>
      </c>
      <c r="H28" s="36">
        <v>4380945.0</v>
      </c>
      <c r="I28" s="36">
        <v>3191055.0</v>
      </c>
    </row>
    <row r="29">
      <c r="A29" s="2" t="s">
        <v>1091</v>
      </c>
      <c r="B29" s="2" t="s">
        <v>18</v>
      </c>
      <c r="C29" s="2" t="s">
        <v>6</v>
      </c>
      <c r="D29" s="36">
        <v>100.0</v>
      </c>
      <c r="E29" s="36">
        <v>1800.0</v>
      </c>
      <c r="F29" s="36">
        <v>929.0</v>
      </c>
      <c r="G29" s="36">
        <v>180000.0</v>
      </c>
      <c r="H29" s="36">
        <v>92900.0</v>
      </c>
      <c r="I29" s="36">
        <v>87100.0</v>
      </c>
    </row>
    <row r="30">
      <c r="A30" s="2" t="s">
        <v>1091</v>
      </c>
      <c r="B30" s="2" t="s">
        <v>19</v>
      </c>
      <c r="C30" s="2" t="s">
        <v>8</v>
      </c>
      <c r="D30" s="36">
        <v>221.0</v>
      </c>
      <c r="E30" s="36">
        <v>4250.0</v>
      </c>
      <c r="F30" s="36">
        <v>2670.0</v>
      </c>
      <c r="G30" s="36">
        <v>939250.0</v>
      </c>
      <c r="H30" s="36">
        <v>590070.0</v>
      </c>
      <c r="I30" s="36">
        <v>349180.0</v>
      </c>
    </row>
    <row r="31">
      <c r="A31" s="2" t="s">
        <v>1091</v>
      </c>
      <c r="B31" s="2" t="s">
        <v>20</v>
      </c>
      <c r="C31" s="2" t="s">
        <v>9</v>
      </c>
      <c r="D31" s="36">
        <v>631.0</v>
      </c>
      <c r="E31" s="36">
        <v>12000.0</v>
      </c>
      <c r="F31" s="36">
        <v>6942.86</v>
      </c>
      <c r="G31" s="36">
        <v>7572000.0</v>
      </c>
      <c r="H31" s="36">
        <v>4380945.0</v>
      </c>
      <c r="I31" s="36">
        <v>3191055.0</v>
      </c>
    </row>
    <row r="32">
      <c r="A32" s="2" t="s">
        <v>1092</v>
      </c>
      <c r="B32" s="2" t="s">
        <v>20</v>
      </c>
      <c r="C32" s="2" t="s">
        <v>9</v>
      </c>
      <c r="D32" s="36">
        <v>631.0</v>
      </c>
      <c r="E32" s="36">
        <v>12000.0</v>
      </c>
      <c r="F32" s="36">
        <v>6942.86</v>
      </c>
      <c r="G32" s="36">
        <v>7572000.0</v>
      </c>
      <c r="H32" s="36">
        <v>4380945.0</v>
      </c>
      <c r="I32" s="36">
        <v>3191055.0</v>
      </c>
    </row>
    <row r="33">
      <c r="A33" s="2" t="s">
        <v>1093</v>
      </c>
      <c r="B33" s="2" t="s">
        <v>19</v>
      </c>
      <c r="C33" s="2" t="s">
        <v>8</v>
      </c>
      <c r="D33" s="36">
        <v>221.0</v>
      </c>
      <c r="E33" s="36">
        <v>4250.0</v>
      </c>
      <c r="F33" s="36">
        <v>2670.0</v>
      </c>
      <c r="G33" s="36">
        <v>939250.0</v>
      </c>
      <c r="H33" s="36">
        <v>590070.0</v>
      </c>
      <c r="I33" s="36">
        <v>349180.0</v>
      </c>
    </row>
    <row r="34">
      <c r="A34" s="2" t="s">
        <v>1093</v>
      </c>
      <c r="B34" s="2" t="s">
        <v>18</v>
      </c>
      <c r="C34" s="2" t="s">
        <v>6</v>
      </c>
      <c r="D34" s="36">
        <v>100.0</v>
      </c>
      <c r="E34" s="36">
        <v>1800.0</v>
      </c>
      <c r="F34" s="36">
        <v>929.0</v>
      </c>
      <c r="G34" s="36">
        <v>180000.0</v>
      </c>
      <c r="H34" s="36">
        <v>92900.0</v>
      </c>
      <c r="I34" s="36">
        <v>87100.0</v>
      </c>
    </row>
    <row r="35">
      <c r="A35" s="2" t="s">
        <v>1094</v>
      </c>
      <c r="B35" s="2" t="s">
        <v>20</v>
      </c>
      <c r="C35" s="2" t="s">
        <v>9</v>
      </c>
      <c r="D35" s="36">
        <v>145.0</v>
      </c>
      <c r="E35" s="36">
        <v>12000.0</v>
      </c>
      <c r="F35" s="36">
        <v>6942.86</v>
      </c>
      <c r="G35" s="36">
        <v>1740000.0</v>
      </c>
      <c r="H35" s="36">
        <v>1006715.0</v>
      </c>
      <c r="I35" s="36">
        <v>733285.0</v>
      </c>
    </row>
    <row r="36">
      <c r="A36" s="2" t="s">
        <v>1095</v>
      </c>
      <c r="B36" s="2" t="s">
        <v>19</v>
      </c>
      <c r="C36" s="2" t="s">
        <v>8</v>
      </c>
      <c r="D36" s="36">
        <v>103.0</v>
      </c>
      <c r="E36" s="36">
        <v>4250.0</v>
      </c>
      <c r="F36" s="36">
        <v>2670.0</v>
      </c>
      <c r="G36" s="36">
        <v>437750.0</v>
      </c>
      <c r="H36" s="36">
        <v>275010.0</v>
      </c>
      <c r="I36" s="36">
        <v>162740.0</v>
      </c>
    </row>
    <row r="37">
      <c r="A37" s="2" t="s">
        <v>1096</v>
      </c>
      <c r="B37" s="2" t="s">
        <v>18</v>
      </c>
      <c r="C37" s="2" t="s">
        <v>6</v>
      </c>
      <c r="D37" s="36">
        <v>8.0</v>
      </c>
      <c r="E37" s="36">
        <v>1800.0</v>
      </c>
      <c r="F37" s="36">
        <v>929.0</v>
      </c>
      <c r="G37" s="36">
        <v>14400.0</v>
      </c>
      <c r="H37" s="36">
        <v>7432.0</v>
      </c>
      <c r="I37" s="36">
        <v>6968.0</v>
      </c>
    </row>
    <row r="38">
      <c r="A38" s="2" t="s">
        <v>1097</v>
      </c>
      <c r="B38" s="2" t="s">
        <v>18</v>
      </c>
      <c r="C38" s="2" t="s">
        <v>6</v>
      </c>
      <c r="D38" s="36">
        <v>474.0</v>
      </c>
      <c r="E38" s="36">
        <v>1800.0</v>
      </c>
      <c r="F38" s="36">
        <v>929.0</v>
      </c>
      <c r="G38" s="36">
        <v>853200.0</v>
      </c>
      <c r="H38" s="36">
        <v>440346.0</v>
      </c>
      <c r="I38" s="36">
        <v>412854.0</v>
      </c>
    </row>
    <row r="39">
      <c r="A39" s="2" t="s">
        <v>1097</v>
      </c>
      <c r="B39" s="2" t="s">
        <v>19</v>
      </c>
      <c r="C39" s="2" t="s">
        <v>8</v>
      </c>
      <c r="D39" s="36">
        <v>519.0</v>
      </c>
      <c r="E39" s="36">
        <v>4250.0</v>
      </c>
      <c r="F39" s="36">
        <v>2670.0</v>
      </c>
      <c r="G39" s="36">
        <v>2205750.0</v>
      </c>
      <c r="H39" s="36">
        <v>1385730.0</v>
      </c>
      <c r="I39" s="36">
        <v>820020.0</v>
      </c>
    </row>
    <row r="40">
      <c r="A40" s="2" t="s">
        <v>1097</v>
      </c>
      <c r="B40" s="2" t="s">
        <v>20</v>
      </c>
      <c r="C40" s="2" t="s">
        <v>9</v>
      </c>
      <c r="D40" s="36">
        <v>425.0</v>
      </c>
      <c r="E40" s="36">
        <v>12000.0</v>
      </c>
      <c r="F40" s="36">
        <v>6942.86</v>
      </c>
      <c r="G40" s="36">
        <v>5100000.0</v>
      </c>
      <c r="H40" s="36">
        <v>2950716.0</v>
      </c>
      <c r="I40" s="36">
        <v>2149284.0</v>
      </c>
    </row>
    <row r="41">
      <c r="A41" s="2" t="s">
        <v>1098</v>
      </c>
      <c r="B41" s="2" t="s">
        <v>18</v>
      </c>
      <c r="C41" s="2" t="s">
        <v>6</v>
      </c>
      <c r="D41" s="36">
        <v>205.0</v>
      </c>
      <c r="E41" s="36">
        <v>1800.0</v>
      </c>
      <c r="F41" s="36">
        <v>929.0</v>
      </c>
      <c r="G41" s="36">
        <v>369000.0</v>
      </c>
      <c r="H41" s="36">
        <v>190445.0</v>
      </c>
      <c r="I41" s="36">
        <v>178555.0</v>
      </c>
    </row>
    <row r="42">
      <c r="A42" s="2" t="s">
        <v>1099</v>
      </c>
      <c r="B42" s="2" t="s">
        <v>18</v>
      </c>
      <c r="C42" s="2" t="s">
        <v>6</v>
      </c>
      <c r="D42" s="36">
        <v>1819.0</v>
      </c>
      <c r="E42" s="36">
        <v>1800.0</v>
      </c>
      <c r="F42" s="36">
        <v>929.0</v>
      </c>
      <c r="G42" s="36">
        <v>3274200.0</v>
      </c>
      <c r="H42" s="36">
        <v>1689851.0</v>
      </c>
      <c r="I42" s="36">
        <v>1584349.0</v>
      </c>
    </row>
    <row r="43">
      <c r="A43" s="2" t="s">
        <v>1099</v>
      </c>
      <c r="B43" s="2" t="s">
        <v>19</v>
      </c>
      <c r="C43" s="2" t="s">
        <v>8</v>
      </c>
      <c r="D43" s="36">
        <v>75.0</v>
      </c>
      <c r="E43" s="36">
        <v>4250.0</v>
      </c>
      <c r="F43" s="36">
        <v>2670.0</v>
      </c>
      <c r="G43" s="36">
        <v>318750.0</v>
      </c>
      <c r="H43" s="36">
        <v>200250.0</v>
      </c>
      <c r="I43" s="36">
        <v>118500.0</v>
      </c>
    </row>
    <row r="44">
      <c r="A44" s="2" t="s">
        <v>1100</v>
      </c>
      <c r="B44" s="2" t="s">
        <v>20</v>
      </c>
      <c r="C44" s="2" t="s">
        <v>9</v>
      </c>
      <c r="D44" s="36">
        <v>807.0</v>
      </c>
      <c r="E44" s="36">
        <v>12000.0</v>
      </c>
      <c r="F44" s="36">
        <v>6942.86</v>
      </c>
      <c r="G44" s="36">
        <v>9684000.0</v>
      </c>
      <c r="H44" s="36">
        <v>5602888.0</v>
      </c>
      <c r="I44" s="36">
        <v>4081112.0</v>
      </c>
    </row>
    <row r="45">
      <c r="A45" s="2" t="s">
        <v>1101</v>
      </c>
      <c r="B45" s="2" t="s">
        <v>20</v>
      </c>
      <c r="C45" s="2" t="s">
        <v>9</v>
      </c>
      <c r="D45" s="36">
        <v>114.0</v>
      </c>
      <c r="E45" s="36">
        <v>12000.0</v>
      </c>
      <c r="F45" s="36">
        <v>6942.86</v>
      </c>
      <c r="G45" s="36">
        <v>1368000.0</v>
      </c>
      <c r="H45" s="36">
        <v>791486.0</v>
      </c>
      <c r="I45" s="36">
        <v>576514.0</v>
      </c>
    </row>
    <row r="46">
      <c r="A46" s="2" t="s">
        <v>1102</v>
      </c>
      <c r="B46" s="2" t="s">
        <v>19</v>
      </c>
      <c r="C46" s="2" t="s">
        <v>8</v>
      </c>
      <c r="D46" s="36">
        <v>1137.0</v>
      </c>
      <c r="E46" s="36">
        <v>4250.0</v>
      </c>
      <c r="F46" s="36">
        <v>2670.0</v>
      </c>
      <c r="G46" s="36">
        <v>4832250.0</v>
      </c>
      <c r="H46" s="36">
        <v>3035790.0</v>
      </c>
      <c r="I46" s="36">
        <v>1796460.0</v>
      </c>
    </row>
    <row r="47">
      <c r="A47" s="2" t="s">
        <v>1103</v>
      </c>
      <c r="B47" s="2" t="s">
        <v>18</v>
      </c>
      <c r="C47" s="2" t="s">
        <v>6</v>
      </c>
      <c r="D47" s="36">
        <v>389.0</v>
      </c>
      <c r="E47" s="36">
        <v>1800.0</v>
      </c>
      <c r="F47" s="36">
        <v>929.0</v>
      </c>
      <c r="G47" s="36">
        <v>700200.0</v>
      </c>
      <c r="H47" s="36">
        <v>361381.0</v>
      </c>
      <c r="I47" s="36">
        <v>338819.0</v>
      </c>
    </row>
    <row r="48">
      <c r="A48" s="2" t="s">
        <v>1104</v>
      </c>
      <c r="B48" s="2" t="s">
        <v>20</v>
      </c>
      <c r="C48" s="2" t="s">
        <v>9</v>
      </c>
      <c r="D48" s="36">
        <v>1563.0</v>
      </c>
      <c r="E48" s="36">
        <v>12000.0</v>
      </c>
      <c r="F48" s="36">
        <v>6942.86</v>
      </c>
      <c r="G48" s="36">
        <v>1.8756E7</v>
      </c>
      <c r="H48" s="36">
        <v>1.085169E7</v>
      </c>
      <c r="I48" s="36">
        <v>7904310.0</v>
      </c>
    </row>
    <row r="49">
      <c r="A49" s="2" t="s">
        <v>1105</v>
      </c>
      <c r="B49" s="2" t="s">
        <v>19</v>
      </c>
      <c r="C49" s="2" t="s">
        <v>8</v>
      </c>
      <c r="D49" s="36">
        <v>442.0</v>
      </c>
      <c r="E49" s="36">
        <v>4250.0</v>
      </c>
      <c r="F49" s="36">
        <v>2670.0</v>
      </c>
      <c r="G49" s="36">
        <v>1878500.0</v>
      </c>
      <c r="H49" s="36">
        <v>1180140.0</v>
      </c>
      <c r="I49" s="36">
        <v>698360.0</v>
      </c>
    </row>
    <row r="50">
      <c r="A50" s="2" t="s">
        <v>1106</v>
      </c>
      <c r="B50" s="2" t="s">
        <v>18</v>
      </c>
      <c r="C50" s="2" t="s">
        <v>6</v>
      </c>
      <c r="D50" s="36">
        <v>274.0</v>
      </c>
      <c r="E50" s="36">
        <v>1800.0</v>
      </c>
      <c r="F50" s="36">
        <v>929.0</v>
      </c>
      <c r="G50" s="36">
        <v>493200.0</v>
      </c>
      <c r="H50" s="36">
        <v>254546.0</v>
      </c>
      <c r="I50" s="36">
        <v>238654.0</v>
      </c>
    </row>
    <row r="51">
      <c r="A51" s="2" t="s">
        <v>1107</v>
      </c>
      <c r="B51" s="2" t="s">
        <v>20</v>
      </c>
      <c r="C51" s="2" t="s">
        <v>9</v>
      </c>
      <c r="D51" s="36">
        <v>249.0</v>
      </c>
      <c r="E51" s="36">
        <v>12000.0</v>
      </c>
      <c r="F51" s="36">
        <v>6942.86</v>
      </c>
      <c r="G51" s="36">
        <v>2988000.0</v>
      </c>
      <c r="H51" s="36">
        <v>1728772.0</v>
      </c>
      <c r="I51" s="36">
        <v>1259228.0</v>
      </c>
    </row>
    <row r="52">
      <c r="A52" s="2" t="s">
        <v>1108</v>
      </c>
      <c r="B52" s="2" t="s">
        <v>19</v>
      </c>
      <c r="C52" s="2" t="s">
        <v>8</v>
      </c>
      <c r="D52" s="36">
        <v>427.0</v>
      </c>
      <c r="E52" s="36">
        <v>4250.0</v>
      </c>
      <c r="F52" s="36">
        <v>2670.0</v>
      </c>
      <c r="G52" s="36">
        <v>1814750.0</v>
      </c>
      <c r="H52" s="36">
        <v>1140090.0</v>
      </c>
      <c r="I52" s="36">
        <v>674660.0</v>
      </c>
    </row>
    <row r="53">
      <c r="A53" s="2" t="s">
        <v>1109</v>
      </c>
      <c r="B53" s="2" t="s">
        <v>18</v>
      </c>
      <c r="C53" s="2" t="s">
        <v>6</v>
      </c>
      <c r="D53" s="36">
        <v>976.0</v>
      </c>
      <c r="E53" s="36">
        <v>1800.0</v>
      </c>
      <c r="F53" s="36">
        <v>929.0</v>
      </c>
      <c r="G53" s="36">
        <v>1756800.0</v>
      </c>
      <c r="H53" s="36">
        <v>906704.0</v>
      </c>
      <c r="I53" s="36">
        <v>850096.0</v>
      </c>
    </row>
    <row r="54">
      <c r="A54" s="2" t="s">
        <v>1110</v>
      </c>
      <c r="B54" s="2" t="s">
        <v>20</v>
      </c>
      <c r="C54" s="2" t="s">
        <v>9</v>
      </c>
      <c r="D54" s="36">
        <v>238.0</v>
      </c>
      <c r="E54" s="36">
        <v>12000.0</v>
      </c>
      <c r="F54" s="36">
        <v>6942.86</v>
      </c>
      <c r="G54" s="36">
        <v>2856000.0</v>
      </c>
      <c r="H54" s="36">
        <v>1652401.0</v>
      </c>
      <c r="I54" s="36">
        <v>1203599.0</v>
      </c>
    </row>
    <row r="55">
      <c r="A55" s="2" t="s">
        <v>1111</v>
      </c>
      <c r="B55" s="2" t="s">
        <v>19</v>
      </c>
      <c r="C55" s="2" t="s">
        <v>8</v>
      </c>
      <c r="D55" s="36">
        <v>15.0</v>
      </c>
      <c r="E55" s="36">
        <v>4250.0</v>
      </c>
      <c r="F55" s="36">
        <v>2670.0</v>
      </c>
      <c r="G55" s="36">
        <v>63750.0</v>
      </c>
      <c r="H55" s="36">
        <v>40050.0</v>
      </c>
      <c r="I55" s="36">
        <v>23700.0</v>
      </c>
    </row>
    <row r="56">
      <c r="A56" s="2" t="s">
        <v>1112</v>
      </c>
      <c r="B56" s="2" t="s">
        <v>18</v>
      </c>
      <c r="C56" s="2" t="s">
        <v>6</v>
      </c>
      <c r="D56" s="36">
        <v>281.0</v>
      </c>
      <c r="E56" s="36">
        <v>1800.0</v>
      </c>
      <c r="F56" s="36">
        <v>929.0</v>
      </c>
      <c r="G56" s="36">
        <v>505800.0</v>
      </c>
      <c r="H56" s="36">
        <v>261049.0</v>
      </c>
      <c r="I56" s="36">
        <v>244751.0</v>
      </c>
    </row>
    <row r="57">
      <c r="A57" s="2" t="s">
        <v>1113</v>
      </c>
      <c r="B57" s="2" t="s">
        <v>20</v>
      </c>
      <c r="C57" s="2" t="s">
        <v>9</v>
      </c>
      <c r="D57" s="36">
        <v>620.0</v>
      </c>
      <c r="E57" s="36">
        <v>12000.0</v>
      </c>
      <c r="F57" s="36">
        <v>6942.86</v>
      </c>
      <c r="G57" s="36">
        <v>7440000.0</v>
      </c>
      <c r="H57" s="36">
        <v>4304573.0</v>
      </c>
      <c r="I57" s="36">
        <v>3135427.0</v>
      </c>
    </row>
    <row r="58">
      <c r="A58" s="2" t="s">
        <v>1114</v>
      </c>
      <c r="B58" s="2" t="s">
        <v>19</v>
      </c>
      <c r="C58" s="2" t="s">
        <v>8</v>
      </c>
      <c r="D58" s="36">
        <v>206.0</v>
      </c>
      <c r="E58" s="36">
        <v>4250.0</v>
      </c>
      <c r="F58" s="36">
        <v>2670.0</v>
      </c>
      <c r="G58" s="36">
        <v>875500.0</v>
      </c>
      <c r="H58" s="36">
        <v>550020.0</v>
      </c>
      <c r="I58" s="36">
        <v>325480.0</v>
      </c>
    </row>
    <row r="59">
      <c r="A59" s="2" t="s">
        <v>1115</v>
      </c>
      <c r="B59" s="2" t="s">
        <v>18</v>
      </c>
      <c r="C59" s="2" t="s">
        <v>6</v>
      </c>
      <c r="D59" s="36">
        <v>16.0</v>
      </c>
      <c r="E59" s="36">
        <v>1800.0</v>
      </c>
      <c r="F59" s="36">
        <v>929.0</v>
      </c>
      <c r="G59" s="36">
        <v>28800.0</v>
      </c>
      <c r="H59" s="36">
        <v>14864.0</v>
      </c>
      <c r="I59" s="36">
        <v>13936.0</v>
      </c>
    </row>
    <row r="60">
      <c r="A60" s="2" t="s">
        <v>1116</v>
      </c>
      <c r="B60" s="2" t="s">
        <v>18</v>
      </c>
      <c r="C60" s="2" t="s">
        <v>6</v>
      </c>
      <c r="D60" s="36">
        <v>786.0</v>
      </c>
      <c r="E60" s="36">
        <v>1800.0</v>
      </c>
      <c r="F60" s="36">
        <v>929.0</v>
      </c>
      <c r="G60" s="36">
        <v>1414800.0</v>
      </c>
      <c r="H60" s="36">
        <v>730194.0</v>
      </c>
      <c r="I60" s="36">
        <v>684606.0</v>
      </c>
    </row>
    <row r="61">
      <c r="A61" s="2" t="s">
        <v>1117</v>
      </c>
      <c r="B61" s="2" t="s">
        <v>19</v>
      </c>
      <c r="C61" s="2" t="s">
        <v>8</v>
      </c>
      <c r="D61" s="36">
        <v>375.0</v>
      </c>
      <c r="E61" s="36">
        <v>4250.0</v>
      </c>
      <c r="F61" s="36">
        <v>2670.0</v>
      </c>
      <c r="G61" s="36">
        <v>1593750.0</v>
      </c>
      <c r="H61" s="36">
        <v>1001250.0</v>
      </c>
      <c r="I61" s="36">
        <v>592500.0</v>
      </c>
    </row>
    <row r="62">
      <c r="A62" s="2" t="s">
        <v>1117</v>
      </c>
      <c r="B62" s="2" t="s">
        <v>20</v>
      </c>
      <c r="C62" s="2" t="s">
        <v>9</v>
      </c>
      <c r="D62" s="36">
        <v>852.0</v>
      </c>
      <c r="E62" s="36">
        <v>12000.0</v>
      </c>
      <c r="F62" s="36">
        <v>6942.86</v>
      </c>
      <c r="G62" s="36">
        <v>1.0224E7</v>
      </c>
      <c r="H62" s="36">
        <v>5915317.0</v>
      </c>
      <c r="I62" s="36">
        <v>4308683.0</v>
      </c>
    </row>
    <row r="63">
      <c r="A63" s="2" t="s">
        <v>1118</v>
      </c>
      <c r="B63" s="2" t="s">
        <v>20</v>
      </c>
      <c r="C63" s="2" t="s">
        <v>9</v>
      </c>
      <c r="D63" s="36">
        <v>77.0</v>
      </c>
      <c r="E63" s="36">
        <v>12000.0</v>
      </c>
      <c r="F63" s="36">
        <v>6942.86</v>
      </c>
      <c r="G63" s="36">
        <v>924000.0</v>
      </c>
      <c r="H63" s="36">
        <v>534600.0</v>
      </c>
      <c r="I63" s="36">
        <v>389400.0</v>
      </c>
    </row>
    <row r="64">
      <c r="A64" s="2" t="s">
        <v>1119</v>
      </c>
      <c r="B64" s="2" t="s">
        <v>19</v>
      </c>
      <c r="C64" s="2" t="s">
        <v>8</v>
      </c>
      <c r="D64" s="36">
        <v>76.0</v>
      </c>
      <c r="E64" s="36">
        <v>4250.0</v>
      </c>
      <c r="F64" s="36">
        <v>2670.0</v>
      </c>
      <c r="G64" s="36">
        <v>323000.0</v>
      </c>
      <c r="H64" s="36">
        <v>202920.0</v>
      </c>
      <c r="I64" s="36">
        <v>120080.0</v>
      </c>
    </row>
    <row r="65">
      <c r="A65" s="2" t="s">
        <v>1120</v>
      </c>
      <c r="B65" s="2" t="s">
        <v>18</v>
      </c>
      <c r="C65" s="2" t="s">
        <v>6</v>
      </c>
      <c r="D65" s="36">
        <v>16.0</v>
      </c>
      <c r="E65" s="36">
        <v>1800.0</v>
      </c>
      <c r="F65" s="36">
        <v>929.0</v>
      </c>
      <c r="G65" s="36">
        <v>28800.0</v>
      </c>
      <c r="H65" s="36">
        <v>14864.0</v>
      </c>
      <c r="I65" s="36">
        <v>13936.0</v>
      </c>
    </row>
    <row r="66">
      <c r="A66" s="2" t="s">
        <v>1121</v>
      </c>
      <c r="B66" s="2" t="s">
        <v>20</v>
      </c>
      <c r="C66" s="2" t="s">
        <v>9</v>
      </c>
      <c r="D66" s="36">
        <v>170.0</v>
      </c>
      <c r="E66" s="36">
        <v>12000.0</v>
      </c>
      <c r="F66" s="36">
        <v>6942.86</v>
      </c>
      <c r="G66" s="36">
        <v>2040000.0</v>
      </c>
      <c r="H66" s="36">
        <v>1180286.0</v>
      </c>
      <c r="I66" s="36">
        <v>859714.0</v>
      </c>
    </row>
    <row r="67">
      <c r="A67" s="2" t="s">
        <v>1122</v>
      </c>
      <c r="B67" s="2" t="s">
        <v>19</v>
      </c>
      <c r="C67" s="2" t="s">
        <v>8</v>
      </c>
      <c r="D67" s="36">
        <v>420.0</v>
      </c>
      <c r="E67" s="36">
        <v>4250.0</v>
      </c>
      <c r="F67" s="36">
        <v>2670.0</v>
      </c>
      <c r="G67" s="36">
        <v>1785000.0</v>
      </c>
      <c r="H67" s="36">
        <v>1121400.0</v>
      </c>
      <c r="I67" s="36">
        <v>663600.0</v>
      </c>
    </row>
    <row r="68">
      <c r="A68" s="2" t="s">
        <v>1123</v>
      </c>
      <c r="B68" s="2" t="s">
        <v>18</v>
      </c>
      <c r="C68" s="2" t="s">
        <v>6</v>
      </c>
      <c r="D68" s="36">
        <v>78.0</v>
      </c>
      <c r="E68" s="36">
        <v>1800.0</v>
      </c>
      <c r="F68" s="36">
        <v>929.0</v>
      </c>
      <c r="G68" s="36">
        <v>140400.0</v>
      </c>
      <c r="H68" s="36">
        <v>72462.0</v>
      </c>
      <c r="I68" s="36">
        <v>67938.0</v>
      </c>
    </row>
    <row r="69">
      <c r="A69" s="2" t="s">
        <v>1124</v>
      </c>
      <c r="B69" s="2" t="s">
        <v>20</v>
      </c>
      <c r="C69" s="2" t="s">
        <v>9</v>
      </c>
      <c r="D69" s="36">
        <v>255.0</v>
      </c>
      <c r="E69" s="36">
        <v>12000.0</v>
      </c>
      <c r="F69" s="36">
        <v>6942.86</v>
      </c>
      <c r="G69" s="36">
        <v>3060000.0</v>
      </c>
      <c r="H69" s="36">
        <v>1770429.0</v>
      </c>
      <c r="I69" s="36">
        <v>1289571.0</v>
      </c>
    </row>
    <row r="70">
      <c r="A70" s="2" t="s">
        <v>1125</v>
      </c>
      <c r="B70" s="2" t="s">
        <v>19</v>
      </c>
      <c r="C70" s="2" t="s">
        <v>8</v>
      </c>
      <c r="D70" s="36">
        <v>2106.0</v>
      </c>
      <c r="E70" s="36">
        <v>4250.0</v>
      </c>
      <c r="F70" s="36">
        <v>2670.0</v>
      </c>
      <c r="G70" s="36">
        <v>8950500.0</v>
      </c>
      <c r="H70" s="36">
        <v>5623020.0</v>
      </c>
      <c r="I70" s="36">
        <v>3327480.0</v>
      </c>
    </row>
    <row r="71">
      <c r="A71" s="2" t="s">
        <v>1126</v>
      </c>
      <c r="B71" s="2" t="s">
        <v>18</v>
      </c>
      <c r="C71" s="2" t="s">
        <v>6</v>
      </c>
      <c r="D71" s="36">
        <v>1248.0</v>
      </c>
      <c r="E71" s="36">
        <v>1800.0</v>
      </c>
      <c r="F71" s="36">
        <v>929.0</v>
      </c>
      <c r="G71" s="36">
        <v>2246400.0</v>
      </c>
      <c r="H71" s="36">
        <v>1159392.0</v>
      </c>
      <c r="I71" s="36">
        <v>1087008.0</v>
      </c>
    </row>
    <row r="72">
      <c r="A72" s="2" t="s">
        <v>1127</v>
      </c>
      <c r="B72" s="2" t="s">
        <v>20</v>
      </c>
      <c r="C72" s="2" t="s">
        <v>9</v>
      </c>
      <c r="D72" s="36">
        <v>255.0</v>
      </c>
      <c r="E72" s="36">
        <v>12000.0</v>
      </c>
      <c r="F72" s="36">
        <v>6942.86</v>
      </c>
      <c r="G72" s="36">
        <v>3060000.0</v>
      </c>
      <c r="H72" s="36">
        <v>1770429.0</v>
      </c>
      <c r="I72" s="36">
        <v>1289571.0</v>
      </c>
    </row>
    <row r="73">
      <c r="A73" s="2" t="s">
        <v>1128</v>
      </c>
      <c r="B73" s="2" t="s">
        <v>19</v>
      </c>
      <c r="C73" s="2" t="s">
        <v>8</v>
      </c>
      <c r="D73" s="36">
        <v>2106.0</v>
      </c>
      <c r="E73" s="36">
        <v>4250.0</v>
      </c>
      <c r="F73" s="36">
        <v>2670.0</v>
      </c>
      <c r="G73" s="36">
        <v>8950500.0</v>
      </c>
      <c r="H73" s="36">
        <v>5623020.0</v>
      </c>
      <c r="I73" s="36">
        <v>3327480.0</v>
      </c>
    </row>
    <row r="74">
      <c r="A74" s="2" t="s">
        <v>1129</v>
      </c>
      <c r="B74" s="2" t="s">
        <v>18</v>
      </c>
      <c r="C74" s="2" t="s">
        <v>6</v>
      </c>
      <c r="D74" s="36">
        <v>1248.0</v>
      </c>
      <c r="E74" s="36">
        <v>1800.0</v>
      </c>
      <c r="F74" s="36">
        <v>929.0</v>
      </c>
      <c r="G74" s="36">
        <v>2246400.0</v>
      </c>
      <c r="H74" s="36">
        <v>1159392.0</v>
      </c>
      <c r="I74" s="36">
        <v>1087008.0</v>
      </c>
    </row>
    <row r="75">
      <c r="A75" s="2" t="s">
        <v>1130</v>
      </c>
      <c r="B75" s="2" t="s">
        <v>20</v>
      </c>
      <c r="C75" s="2" t="s">
        <v>9</v>
      </c>
      <c r="D75" s="36">
        <v>234.0</v>
      </c>
      <c r="E75" s="36">
        <v>12000.0</v>
      </c>
      <c r="F75" s="36">
        <v>6942.86</v>
      </c>
      <c r="G75" s="36">
        <v>2808000.0</v>
      </c>
      <c r="H75" s="36">
        <v>1624629.0</v>
      </c>
      <c r="I75" s="36">
        <v>1183371.0</v>
      </c>
    </row>
    <row r="76">
      <c r="A76" s="2" t="s">
        <v>1131</v>
      </c>
      <c r="B76" s="2" t="s">
        <v>19</v>
      </c>
      <c r="C76" s="2" t="s">
        <v>8</v>
      </c>
      <c r="D76" s="36">
        <v>1956.0</v>
      </c>
      <c r="E76" s="36">
        <v>4250.0</v>
      </c>
      <c r="F76" s="36">
        <v>2670.0</v>
      </c>
      <c r="G76" s="36">
        <v>8313000.0</v>
      </c>
      <c r="H76" s="36">
        <v>5222520.0</v>
      </c>
      <c r="I76" s="36">
        <v>3090480.0</v>
      </c>
    </row>
    <row r="77">
      <c r="A77" s="2" t="s">
        <v>1132</v>
      </c>
      <c r="B77" s="2" t="s">
        <v>18</v>
      </c>
      <c r="C77" s="2" t="s">
        <v>6</v>
      </c>
      <c r="D77" s="36">
        <v>212.0</v>
      </c>
      <c r="E77" s="36">
        <v>1800.0</v>
      </c>
      <c r="F77" s="36">
        <v>929.0</v>
      </c>
      <c r="G77" s="36">
        <v>381600.0</v>
      </c>
      <c r="H77" s="36">
        <v>196948.0</v>
      </c>
      <c r="I77" s="36">
        <v>184652.0</v>
      </c>
    </row>
    <row r="78">
      <c r="A78" s="2" t="s">
        <v>1133</v>
      </c>
      <c r="B78" s="2" t="s">
        <v>20</v>
      </c>
      <c r="C78" s="2" t="s">
        <v>9</v>
      </c>
      <c r="D78" s="36">
        <v>1718.0</v>
      </c>
      <c r="E78" s="36">
        <v>12000.0</v>
      </c>
      <c r="F78" s="36">
        <v>6942.86</v>
      </c>
      <c r="G78" s="36">
        <v>2.0616E7</v>
      </c>
      <c r="H78" s="36">
        <v>1.1927833E7</v>
      </c>
      <c r="I78" s="36">
        <v>8688167.0</v>
      </c>
    </row>
    <row r="79">
      <c r="A79" s="2" t="s">
        <v>1134</v>
      </c>
      <c r="B79" s="2" t="s">
        <v>19</v>
      </c>
      <c r="C79" s="2" t="s">
        <v>8</v>
      </c>
      <c r="D79" s="36">
        <v>69.0</v>
      </c>
      <c r="E79" s="36">
        <v>4250.0</v>
      </c>
      <c r="F79" s="36">
        <v>2670.0</v>
      </c>
      <c r="G79" s="36">
        <v>293250.0</v>
      </c>
      <c r="H79" s="36">
        <v>184230.0</v>
      </c>
      <c r="I79" s="36">
        <v>109020.0</v>
      </c>
    </row>
    <row r="80">
      <c r="A80" s="2" t="s">
        <v>1135</v>
      </c>
      <c r="B80" s="2" t="s">
        <v>18</v>
      </c>
      <c r="C80" s="2" t="s">
        <v>6</v>
      </c>
      <c r="D80" s="36">
        <v>126.0</v>
      </c>
      <c r="E80" s="36">
        <v>1800.0</v>
      </c>
      <c r="F80" s="36">
        <v>929.0</v>
      </c>
      <c r="G80" s="36">
        <v>226800.0</v>
      </c>
      <c r="H80" s="36">
        <v>117054.0</v>
      </c>
      <c r="I80" s="36">
        <v>109746.0</v>
      </c>
    </row>
    <row r="81">
      <c r="A81" s="2" t="s">
        <v>1136</v>
      </c>
      <c r="B81" s="2" t="s">
        <v>20</v>
      </c>
      <c r="C81" s="2" t="s">
        <v>9</v>
      </c>
      <c r="D81" s="36">
        <v>2379.0</v>
      </c>
      <c r="E81" s="36">
        <v>12000.0</v>
      </c>
      <c r="F81" s="36">
        <v>6942.86</v>
      </c>
      <c r="G81" s="36">
        <v>2.8548E7</v>
      </c>
      <c r="H81" s="36">
        <v>1.6517064E7</v>
      </c>
      <c r="I81" s="36">
        <v>1.2030936E7</v>
      </c>
    </row>
    <row r="82">
      <c r="A82" s="2" t="s">
        <v>1137</v>
      </c>
      <c r="B82" s="2" t="s">
        <v>19</v>
      </c>
      <c r="C82" s="2" t="s">
        <v>8</v>
      </c>
      <c r="D82" s="36">
        <v>243.0</v>
      </c>
      <c r="E82" s="36">
        <v>4250.0</v>
      </c>
      <c r="F82" s="36">
        <v>2670.0</v>
      </c>
      <c r="G82" s="36">
        <v>1032750.0</v>
      </c>
      <c r="H82" s="36">
        <v>648810.0</v>
      </c>
      <c r="I82" s="36">
        <v>383940.0</v>
      </c>
    </row>
    <row r="83">
      <c r="A83" s="2" t="s">
        <v>1138</v>
      </c>
      <c r="B83" s="2" t="s">
        <v>18</v>
      </c>
      <c r="C83" s="2" t="s">
        <v>6</v>
      </c>
      <c r="D83" s="36">
        <v>1088.0</v>
      </c>
      <c r="E83" s="36">
        <v>1800.0</v>
      </c>
      <c r="F83" s="36">
        <v>929.0</v>
      </c>
      <c r="G83" s="36">
        <v>1958400.0</v>
      </c>
      <c r="H83" s="36">
        <v>1010752.0</v>
      </c>
      <c r="I83" s="36">
        <v>947648.0</v>
      </c>
    </row>
    <row r="84">
      <c r="A84" s="2" t="s">
        <v>1139</v>
      </c>
      <c r="B84" s="2" t="s">
        <v>20</v>
      </c>
      <c r="C84" s="2" t="s">
        <v>9</v>
      </c>
      <c r="D84" s="36">
        <v>185.0</v>
      </c>
      <c r="E84" s="36">
        <v>12000.0</v>
      </c>
      <c r="F84" s="36">
        <v>6942.86</v>
      </c>
      <c r="G84" s="36">
        <v>2220000.0</v>
      </c>
      <c r="H84" s="36">
        <v>1284429.0</v>
      </c>
      <c r="I84" s="36">
        <v>935571.0</v>
      </c>
    </row>
    <row r="85">
      <c r="A85" s="2" t="s">
        <v>1140</v>
      </c>
      <c r="B85" s="2" t="s">
        <v>19</v>
      </c>
      <c r="C85" s="2" t="s">
        <v>8</v>
      </c>
      <c r="D85" s="36">
        <v>948.0</v>
      </c>
      <c r="E85" s="36">
        <v>4250.0</v>
      </c>
      <c r="F85" s="36">
        <v>2670.0</v>
      </c>
      <c r="G85" s="36">
        <v>4029000.0</v>
      </c>
      <c r="H85" s="36">
        <v>2531160.0</v>
      </c>
      <c r="I85" s="36">
        <v>1497840.0</v>
      </c>
    </row>
    <row r="86">
      <c r="A86" s="2" t="s">
        <v>1141</v>
      </c>
      <c r="B86" s="2" t="s">
        <v>18</v>
      </c>
      <c r="C86" s="2" t="s">
        <v>6</v>
      </c>
      <c r="D86" s="36">
        <v>585.0</v>
      </c>
      <c r="E86" s="36">
        <v>1800.0</v>
      </c>
      <c r="F86" s="36">
        <v>929.0</v>
      </c>
      <c r="G86" s="36">
        <v>1053000.0</v>
      </c>
      <c r="H86" s="36">
        <v>543465.0</v>
      </c>
      <c r="I86" s="36">
        <v>509535.0</v>
      </c>
    </row>
    <row r="87">
      <c r="A87" s="2" t="s">
        <v>1142</v>
      </c>
      <c r="B87" s="2" t="s">
        <v>20</v>
      </c>
      <c r="C87" s="2" t="s">
        <v>9</v>
      </c>
      <c r="D87" s="36">
        <v>261.0</v>
      </c>
      <c r="E87" s="36">
        <v>12000.0</v>
      </c>
      <c r="F87" s="36">
        <v>6942.86</v>
      </c>
      <c r="G87" s="36">
        <v>3132000.0</v>
      </c>
      <c r="H87" s="36">
        <v>1812086.0</v>
      </c>
      <c r="I87" s="36">
        <v>1319914.0</v>
      </c>
    </row>
    <row r="88">
      <c r="A88" s="2" t="s">
        <v>1143</v>
      </c>
      <c r="B88" s="2" t="s">
        <v>19</v>
      </c>
      <c r="C88" s="2" t="s">
        <v>8</v>
      </c>
      <c r="D88" s="36">
        <v>193.0</v>
      </c>
      <c r="E88" s="36">
        <v>4250.0</v>
      </c>
      <c r="F88" s="36">
        <v>2670.0</v>
      </c>
      <c r="G88" s="36">
        <v>820250.0</v>
      </c>
      <c r="H88" s="36">
        <v>515310.0</v>
      </c>
      <c r="I88" s="36">
        <v>304940.0</v>
      </c>
    </row>
    <row r="89">
      <c r="A89" s="2" t="s">
        <v>1144</v>
      </c>
      <c r="B89" s="2" t="s">
        <v>18</v>
      </c>
      <c r="C89" s="2" t="s">
        <v>6</v>
      </c>
      <c r="D89" s="36">
        <v>653.0</v>
      </c>
      <c r="E89" s="36">
        <v>1800.0</v>
      </c>
      <c r="F89" s="36">
        <v>929.0</v>
      </c>
      <c r="G89" s="36">
        <v>1175400.0</v>
      </c>
      <c r="H89" s="36">
        <v>606637.0</v>
      </c>
      <c r="I89" s="36">
        <v>568763.0</v>
      </c>
    </row>
    <row r="90">
      <c r="A90" s="2" t="s">
        <v>1145</v>
      </c>
      <c r="B90" s="2" t="s">
        <v>20</v>
      </c>
      <c r="C90" s="2" t="s">
        <v>9</v>
      </c>
      <c r="D90" s="36">
        <v>176.0</v>
      </c>
      <c r="E90" s="36">
        <v>12000.0</v>
      </c>
      <c r="F90" s="36">
        <v>6942.86</v>
      </c>
      <c r="G90" s="36">
        <v>2112000.0</v>
      </c>
      <c r="H90" s="36">
        <v>1221943.0</v>
      </c>
      <c r="I90" s="36">
        <v>890057.0</v>
      </c>
    </row>
    <row r="91">
      <c r="A91" s="2" t="s">
        <v>1146</v>
      </c>
      <c r="B91" s="2" t="s">
        <v>19</v>
      </c>
      <c r="C91" s="2" t="s">
        <v>8</v>
      </c>
      <c r="D91" s="36">
        <v>1086.0</v>
      </c>
      <c r="E91" s="36">
        <v>4250.0</v>
      </c>
      <c r="F91" s="36">
        <v>2670.0</v>
      </c>
      <c r="G91" s="36">
        <v>4615500.0</v>
      </c>
      <c r="H91" s="36">
        <v>2899620.0</v>
      </c>
      <c r="I91" s="36">
        <v>1715880.0</v>
      </c>
    </row>
    <row r="92">
      <c r="A92" s="2" t="s">
        <v>1147</v>
      </c>
      <c r="B92" s="2" t="s">
        <v>18</v>
      </c>
      <c r="C92" s="2" t="s">
        <v>6</v>
      </c>
      <c r="D92" s="36">
        <v>121.0</v>
      </c>
      <c r="E92" s="36">
        <v>1800.0</v>
      </c>
      <c r="F92" s="36">
        <v>929.0</v>
      </c>
      <c r="G92" s="36">
        <v>217800.0</v>
      </c>
      <c r="H92" s="36">
        <v>112409.0</v>
      </c>
      <c r="I92" s="36">
        <v>105391.0</v>
      </c>
    </row>
    <row r="93">
      <c r="A93" s="2" t="s">
        <v>1148</v>
      </c>
      <c r="B93" s="2" t="s">
        <v>20</v>
      </c>
      <c r="C93" s="2" t="s">
        <v>9</v>
      </c>
      <c r="D93" s="36">
        <v>277.0</v>
      </c>
      <c r="E93" s="36">
        <v>12000.0</v>
      </c>
      <c r="F93" s="36">
        <v>6942.86</v>
      </c>
      <c r="G93" s="36">
        <v>3324000.0</v>
      </c>
      <c r="H93" s="36">
        <v>1923172.0</v>
      </c>
      <c r="I93" s="36">
        <v>1400828.0</v>
      </c>
    </row>
    <row r="94">
      <c r="A94" s="2" t="s">
        <v>1149</v>
      </c>
      <c r="B94" s="2" t="s">
        <v>19</v>
      </c>
      <c r="C94" s="2" t="s">
        <v>8</v>
      </c>
      <c r="D94" s="36">
        <v>453.0</v>
      </c>
      <c r="E94" s="36">
        <v>4250.0</v>
      </c>
      <c r="F94" s="36">
        <v>2670.0</v>
      </c>
      <c r="G94" s="36">
        <v>1925250.0</v>
      </c>
      <c r="H94" s="36">
        <v>1209510.0</v>
      </c>
      <c r="I94" s="36">
        <v>715740.0</v>
      </c>
    </row>
    <row r="95">
      <c r="A95" s="2" t="s">
        <v>1150</v>
      </c>
      <c r="B95" s="2" t="s">
        <v>18</v>
      </c>
      <c r="C95" s="2" t="s">
        <v>6</v>
      </c>
      <c r="D95" s="36">
        <v>149.0</v>
      </c>
      <c r="E95" s="36">
        <v>1800.0</v>
      </c>
      <c r="F95" s="36">
        <v>929.0</v>
      </c>
      <c r="G95" s="36">
        <v>268200.0</v>
      </c>
      <c r="H95" s="36">
        <v>138421.0</v>
      </c>
      <c r="I95" s="36">
        <v>129779.0</v>
      </c>
    </row>
    <row r="96">
      <c r="A96" s="2" t="s">
        <v>1151</v>
      </c>
      <c r="B96" s="2" t="s">
        <v>18</v>
      </c>
      <c r="C96" s="2" t="s">
        <v>6</v>
      </c>
      <c r="D96" s="36">
        <v>11.0</v>
      </c>
      <c r="E96" s="36">
        <v>1800.0</v>
      </c>
      <c r="F96" s="36">
        <v>929.0</v>
      </c>
      <c r="G96" s="36">
        <v>19800.0</v>
      </c>
      <c r="H96" s="36">
        <v>10219.0</v>
      </c>
      <c r="I96" s="36">
        <v>9581.0</v>
      </c>
    </row>
    <row r="97">
      <c r="A97" s="2" t="s">
        <v>1151</v>
      </c>
      <c r="B97" s="2" t="s">
        <v>19</v>
      </c>
      <c r="C97" s="2" t="s">
        <v>8</v>
      </c>
      <c r="D97" s="36">
        <v>115.0</v>
      </c>
      <c r="E97" s="36">
        <v>4250.0</v>
      </c>
      <c r="F97" s="36">
        <v>2670.0</v>
      </c>
      <c r="G97" s="36">
        <v>488750.0</v>
      </c>
      <c r="H97" s="36">
        <v>307050.0</v>
      </c>
      <c r="I97" s="36">
        <v>181700.0</v>
      </c>
    </row>
    <row r="98">
      <c r="A98" s="2" t="s">
        <v>1152</v>
      </c>
      <c r="B98" s="2" t="s">
        <v>20</v>
      </c>
      <c r="C98" s="2" t="s">
        <v>9</v>
      </c>
      <c r="D98" s="36">
        <v>206.0</v>
      </c>
      <c r="E98" s="36">
        <v>12000.0</v>
      </c>
      <c r="F98" s="36">
        <v>6942.86</v>
      </c>
      <c r="G98" s="36">
        <v>2472000.0</v>
      </c>
      <c r="H98" s="36">
        <v>1430229.0</v>
      </c>
      <c r="I98" s="36">
        <v>1041771.0</v>
      </c>
    </row>
    <row r="99">
      <c r="A99" s="2" t="s">
        <v>1153</v>
      </c>
      <c r="B99" s="2" t="s">
        <v>20</v>
      </c>
      <c r="C99" s="2" t="s">
        <v>9</v>
      </c>
      <c r="D99" s="36">
        <v>335.0</v>
      </c>
      <c r="E99" s="36">
        <v>12000.0</v>
      </c>
      <c r="F99" s="36">
        <v>6942.86</v>
      </c>
      <c r="G99" s="36">
        <v>4020000.0</v>
      </c>
      <c r="H99" s="36">
        <v>2325858.0</v>
      </c>
      <c r="I99" s="36">
        <v>1694142.0</v>
      </c>
    </row>
    <row r="100">
      <c r="A100" s="2" t="s">
        <v>1154</v>
      </c>
      <c r="B100" s="2" t="s">
        <v>19</v>
      </c>
      <c r="C100" s="2" t="s">
        <v>8</v>
      </c>
      <c r="D100" s="36">
        <v>220.0</v>
      </c>
      <c r="E100" s="36">
        <v>4250.0</v>
      </c>
      <c r="F100" s="36">
        <v>2670.0</v>
      </c>
      <c r="G100" s="36">
        <v>935000.0</v>
      </c>
      <c r="H100" s="36">
        <v>587400.0</v>
      </c>
      <c r="I100" s="36">
        <v>347600.0</v>
      </c>
    </row>
    <row r="101">
      <c r="A101" s="2" t="s">
        <v>1155</v>
      </c>
      <c r="B101" s="2" t="s">
        <v>18</v>
      </c>
      <c r="C101" s="2" t="s">
        <v>6</v>
      </c>
      <c r="D101" s="36">
        <v>157.0</v>
      </c>
      <c r="E101" s="36">
        <v>1800.0</v>
      </c>
      <c r="F101" s="36">
        <v>929.0</v>
      </c>
      <c r="G101" s="36">
        <v>282600.0</v>
      </c>
      <c r="H101" s="36">
        <v>145853.0</v>
      </c>
      <c r="I101" s="36">
        <v>136747.0</v>
      </c>
    </row>
    <row r="102">
      <c r="A102" s="2" t="s">
        <v>1156</v>
      </c>
      <c r="B102" s="2" t="s">
        <v>20</v>
      </c>
      <c r="C102" s="2" t="s">
        <v>9</v>
      </c>
      <c r="D102" s="36">
        <v>349.0</v>
      </c>
      <c r="E102" s="36">
        <v>12000.0</v>
      </c>
      <c r="F102" s="36">
        <v>6942.86</v>
      </c>
      <c r="G102" s="36">
        <v>4188000.0</v>
      </c>
      <c r="H102" s="36">
        <v>2423058.0</v>
      </c>
      <c r="I102" s="36">
        <v>1764942.0</v>
      </c>
    </row>
    <row r="103">
      <c r="A103" s="2" t="s">
        <v>1157</v>
      </c>
      <c r="B103" s="2" t="s">
        <v>19</v>
      </c>
      <c r="C103" s="2" t="s">
        <v>8</v>
      </c>
      <c r="D103" s="36">
        <v>716.0</v>
      </c>
      <c r="E103" s="36">
        <v>4250.0</v>
      </c>
      <c r="F103" s="36">
        <v>2670.0</v>
      </c>
      <c r="G103" s="36">
        <v>3043000.0</v>
      </c>
      <c r="H103" s="36">
        <v>1911720.0</v>
      </c>
      <c r="I103" s="36">
        <v>1131280.0</v>
      </c>
    </row>
    <row r="104">
      <c r="A104" s="2" t="s">
        <v>1158</v>
      </c>
      <c r="B104" s="2" t="s">
        <v>18</v>
      </c>
      <c r="C104" s="2" t="s">
        <v>6</v>
      </c>
      <c r="D104" s="36">
        <v>99.0</v>
      </c>
      <c r="E104" s="36">
        <v>1800.0</v>
      </c>
      <c r="F104" s="36">
        <v>929.0</v>
      </c>
      <c r="G104" s="36">
        <v>178200.0</v>
      </c>
      <c r="H104" s="36">
        <v>91971.0</v>
      </c>
      <c r="I104" s="36">
        <v>86229.0</v>
      </c>
    </row>
    <row r="105">
      <c r="A105" s="2" t="s">
        <v>1159</v>
      </c>
      <c r="B105" s="2" t="s">
        <v>20</v>
      </c>
      <c r="C105" s="2" t="s">
        <v>9</v>
      </c>
      <c r="D105" s="36">
        <v>138.0</v>
      </c>
      <c r="E105" s="36">
        <v>12000.0</v>
      </c>
      <c r="F105" s="36">
        <v>6942.86</v>
      </c>
      <c r="G105" s="36">
        <v>1656000.0</v>
      </c>
      <c r="H105" s="36">
        <v>958115.0</v>
      </c>
      <c r="I105" s="36">
        <v>697885.0</v>
      </c>
    </row>
    <row r="106">
      <c r="A106" s="2" t="s">
        <v>1160</v>
      </c>
      <c r="B106" s="2" t="s">
        <v>19</v>
      </c>
      <c r="C106" s="2" t="s">
        <v>8</v>
      </c>
      <c r="D106" s="36">
        <v>39.0</v>
      </c>
      <c r="E106" s="36">
        <v>4250.0</v>
      </c>
      <c r="F106" s="36">
        <v>2670.0</v>
      </c>
      <c r="G106" s="36">
        <v>165750.0</v>
      </c>
      <c r="H106" s="36">
        <v>104130.0</v>
      </c>
      <c r="I106" s="36">
        <v>61620.0</v>
      </c>
    </row>
    <row r="107">
      <c r="A107" s="2" t="s">
        <v>1161</v>
      </c>
      <c r="B107" s="2" t="s">
        <v>18</v>
      </c>
      <c r="C107" s="2" t="s">
        <v>6</v>
      </c>
      <c r="D107" s="36">
        <v>2021.0</v>
      </c>
      <c r="E107" s="36">
        <v>1800.0</v>
      </c>
      <c r="F107" s="36">
        <v>929.0</v>
      </c>
      <c r="G107" s="36">
        <v>3637800.0</v>
      </c>
      <c r="H107" s="36">
        <v>1877509.0</v>
      </c>
      <c r="I107" s="36">
        <v>1760291.0</v>
      </c>
    </row>
    <row r="108">
      <c r="A108" s="2" t="s">
        <v>1162</v>
      </c>
      <c r="B108" s="2" t="s">
        <v>20</v>
      </c>
      <c r="C108" s="2" t="s">
        <v>9</v>
      </c>
      <c r="D108" s="36">
        <v>40.0</v>
      </c>
      <c r="E108" s="36">
        <v>12000.0</v>
      </c>
      <c r="F108" s="36">
        <v>6942.86</v>
      </c>
      <c r="G108" s="36">
        <v>480000.0</v>
      </c>
      <c r="H108" s="36">
        <v>277714.0</v>
      </c>
      <c r="I108" s="36">
        <v>202286.0</v>
      </c>
    </row>
    <row r="109">
      <c r="A109" s="2" t="s">
        <v>1163</v>
      </c>
      <c r="B109" s="2" t="s">
        <v>19</v>
      </c>
      <c r="C109" s="2" t="s">
        <v>8</v>
      </c>
      <c r="D109" s="36">
        <v>419.0</v>
      </c>
      <c r="E109" s="36">
        <v>4250.0</v>
      </c>
      <c r="F109" s="36">
        <v>2670.0</v>
      </c>
      <c r="G109" s="36">
        <v>1780750.0</v>
      </c>
      <c r="H109" s="36">
        <v>1118730.0</v>
      </c>
      <c r="I109" s="36">
        <v>662020.0</v>
      </c>
    </row>
    <row r="110">
      <c r="A110" s="2" t="s">
        <v>1163</v>
      </c>
      <c r="B110" s="2" t="s">
        <v>18</v>
      </c>
      <c r="C110" s="2" t="s">
        <v>6</v>
      </c>
      <c r="D110" s="36">
        <v>38.0</v>
      </c>
      <c r="E110" s="36">
        <v>1800.0</v>
      </c>
      <c r="F110" s="36">
        <v>929.0</v>
      </c>
      <c r="G110" s="36">
        <v>68400.0</v>
      </c>
      <c r="H110" s="36">
        <v>35302.0</v>
      </c>
      <c r="I110" s="36">
        <v>33098.0</v>
      </c>
    </row>
    <row r="111">
      <c r="A111" s="2" t="s">
        <v>1164</v>
      </c>
      <c r="B111" s="2" t="s">
        <v>18</v>
      </c>
      <c r="C111" s="2" t="s">
        <v>6</v>
      </c>
      <c r="D111" s="36">
        <v>63.0</v>
      </c>
      <c r="E111" s="36">
        <v>1800.0</v>
      </c>
      <c r="F111" s="36">
        <v>929.0</v>
      </c>
      <c r="G111" s="36">
        <v>113400.0</v>
      </c>
      <c r="H111" s="36">
        <v>58527.0</v>
      </c>
      <c r="I111" s="36">
        <v>54873.0</v>
      </c>
    </row>
    <row r="112">
      <c r="A112" s="2" t="s">
        <v>1164</v>
      </c>
      <c r="B112" s="2" t="s">
        <v>19</v>
      </c>
      <c r="C112" s="2" t="s">
        <v>8</v>
      </c>
      <c r="D112" s="36">
        <v>107.0</v>
      </c>
      <c r="E112" s="36">
        <v>4250.0</v>
      </c>
      <c r="F112" s="36">
        <v>2670.0</v>
      </c>
      <c r="G112" s="36">
        <v>454750.0</v>
      </c>
      <c r="H112" s="36">
        <v>285690.0</v>
      </c>
      <c r="I112" s="36">
        <v>169060.0</v>
      </c>
    </row>
    <row r="113">
      <c r="A113" s="2" t="s">
        <v>1164</v>
      </c>
      <c r="B113" s="2" t="s">
        <v>20</v>
      </c>
      <c r="C113" s="2" t="s">
        <v>9</v>
      </c>
      <c r="D113" s="36">
        <v>69.0</v>
      </c>
      <c r="E113" s="36">
        <v>12000.0</v>
      </c>
      <c r="F113" s="36">
        <v>6942.86</v>
      </c>
      <c r="G113" s="36">
        <v>828000.0</v>
      </c>
      <c r="H113" s="36">
        <v>479057.0</v>
      </c>
      <c r="I113" s="36">
        <v>348943.0</v>
      </c>
    </row>
    <row r="114">
      <c r="A114" s="2" t="s">
        <v>1165</v>
      </c>
      <c r="B114" s="2" t="s">
        <v>18</v>
      </c>
      <c r="C114" s="2" t="s">
        <v>6</v>
      </c>
      <c r="D114" s="36">
        <v>20.0</v>
      </c>
      <c r="E114" s="36">
        <v>1800.0</v>
      </c>
      <c r="F114" s="36">
        <v>929.0</v>
      </c>
      <c r="G114" s="36">
        <v>36000.0</v>
      </c>
      <c r="H114" s="36">
        <v>18580.0</v>
      </c>
      <c r="I114" s="36">
        <v>17420.0</v>
      </c>
    </row>
    <row r="115">
      <c r="A115" s="2" t="s">
        <v>1166</v>
      </c>
      <c r="B115" s="2" t="s">
        <v>18</v>
      </c>
      <c r="C115" s="2" t="s">
        <v>6</v>
      </c>
      <c r="D115" s="36">
        <v>13.0</v>
      </c>
      <c r="E115" s="36">
        <v>1800.0</v>
      </c>
      <c r="F115" s="36">
        <v>929.0</v>
      </c>
      <c r="G115" s="36">
        <v>23400.0</v>
      </c>
      <c r="H115" s="36">
        <v>12077.0</v>
      </c>
      <c r="I115" s="36">
        <v>11323.0</v>
      </c>
    </row>
    <row r="116">
      <c r="A116" s="2" t="s">
        <v>1167</v>
      </c>
      <c r="B116" s="2" t="s">
        <v>18</v>
      </c>
      <c r="C116" s="2" t="s">
        <v>6</v>
      </c>
      <c r="D116" s="36">
        <v>6.0</v>
      </c>
      <c r="E116" s="36">
        <v>1800.0</v>
      </c>
      <c r="F116" s="36">
        <v>929.0</v>
      </c>
      <c r="G116" s="36">
        <v>10800.0</v>
      </c>
      <c r="H116" s="36">
        <v>5574.0</v>
      </c>
      <c r="I116" s="36">
        <v>5226.0</v>
      </c>
    </row>
    <row r="117">
      <c r="A117" s="2" t="s">
        <v>1167</v>
      </c>
      <c r="B117" s="2" t="s">
        <v>18</v>
      </c>
      <c r="C117" s="2" t="s">
        <v>6</v>
      </c>
      <c r="D117" s="36">
        <v>264.0</v>
      </c>
      <c r="E117" s="36">
        <v>1800.0</v>
      </c>
      <c r="F117" s="36">
        <v>929.0</v>
      </c>
      <c r="G117" s="36">
        <v>475200.0</v>
      </c>
      <c r="H117" s="36">
        <v>245256.0</v>
      </c>
      <c r="I117" s="36">
        <v>229944.0</v>
      </c>
    </row>
    <row r="118">
      <c r="A118" s="2" t="s">
        <v>1168</v>
      </c>
      <c r="B118" s="2" t="s">
        <v>20</v>
      </c>
      <c r="C118" s="2" t="s">
        <v>9</v>
      </c>
      <c r="D118" s="36">
        <v>834.0</v>
      </c>
      <c r="E118" s="36">
        <v>12000.0</v>
      </c>
      <c r="F118" s="36">
        <v>6942.86</v>
      </c>
      <c r="G118" s="36">
        <v>1.0008E7</v>
      </c>
      <c r="H118" s="36">
        <v>5790345.0</v>
      </c>
      <c r="I118" s="36">
        <v>4217655.0</v>
      </c>
    </row>
    <row r="119">
      <c r="A119" s="2" t="s">
        <v>1168</v>
      </c>
      <c r="B119" s="2" t="s">
        <v>19</v>
      </c>
      <c r="C119" s="2" t="s">
        <v>8</v>
      </c>
      <c r="D119" s="36">
        <v>298.0</v>
      </c>
      <c r="E119" s="36">
        <v>4250.0</v>
      </c>
      <c r="F119" s="36">
        <v>2670.0</v>
      </c>
      <c r="G119" s="36">
        <v>1266500.0</v>
      </c>
      <c r="H119" s="36">
        <v>795660.0</v>
      </c>
      <c r="I119" s="36">
        <v>470840.0</v>
      </c>
    </row>
    <row r="120">
      <c r="A120" s="2" t="s">
        <v>1169</v>
      </c>
      <c r="B120" s="2" t="s">
        <v>18</v>
      </c>
      <c r="C120" s="2" t="s">
        <v>6</v>
      </c>
      <c r="D120" s="36">
        <v>264.0</v>
      </c>
      <c r="E120" s="36">
        <v>1800.0</v>
      </c>
      <c r="F120" s="36">
        <v>929.0</v>
      </c>
      <c r="G120" s="36">
        <v>475200.0</v>
      </c>
      <c r="H120" s="36">
        <v>245256.0</v>
      </c>
      <c r="I120" s="36">
        <v>229944.0</v>
      </c>
    </row>
    <row r="121">
      <c r="A121" s="2" t="s">
        <v>1170</v>
      </c>
      <c r="B121" s="2" t="s">
        <v>20</v>
      </c>
      <c r="C121" s="2" t="s">
        <v>9</v>
      </c>
      <c r="D121" s="36">
        <v>84.0</v>
      </c>
      <c r="E121" s="36">
        <v>12000.0</v>
      </c>
      <c r="F121" s="36">
        <v>6942.86</v>
      </c>
      <c r="G121" s="36">
        <v>1008000.0</v>
      </c>
      <c r="H121" s="36">
        <v>583200.0</v>
      </c>
      <c r="I121" s="36">
        <v>424800.0</v>
      </c>
    </row>
    <row r="122">
      <c r="A122" s="2" t="s">
        <v>1171</v>
      </c>
      <c r="B122" s="2" t="s">
        <v>19</v>
      </c>
      <c r="C122" s="2" t="s">
        <v>8</v>
      </c>
      <c r="D122" s="36">
        <v>1934.0</v>
      </c>
      <c r="E122" s="36">
        <v>4250.0</v>
      </c>
      <c r="F122" s="36">
        <v>2670.0</v>
      </c>
      <c r="G122" s="36">
        <v>8219500.0</v>
      </c>
      <c r="H122" s="36">
        <v>5163780.0</v>
      </c>
      <c r="I122" s="36">
        <v>3055720.0</v>
      </c>
    </row>
    <row r="123">
      <c r="A123" s="2" t="s">
        <v>1172</v>
      </c>
      <c r="B123" s="2" t="s">
        <v>18</v>
      </c>
      <c r="C123" s="2" t="s">
        <v>6</v>
      </c>
      <c r="D123" s="36">
        <v>697.0</v>
      </c>
      <c r="E123" s="36">
        <v>1800.0</v>
      </c>
      <c r="F123" s="36">
        <v>929.0</v>
      </c>
      <c r="G123" s="36">
        <v>1254600.0</v>
      </c>
      <c r="H123" s="36">
        <v>647513.0</v>
      </c>
      <c r="I123" s="36">
        <v>607087.0</v>
      </c>
    </row>
    <row r="124">
      <c r="A124" s="2" t="s">
        <v>1173</v>
      </c>
      <c r="B124" s="2" t="s">
        <v>20</v>
      </c>
      <c r="C124" s="2" t="s">
        <v>9</v>
      </c>
      <c r="D124" s="36">
        <v>1061.0</v>
      </c>
      <c r="E124" s="36">
        <v>12000.0</v>
      </c>
      <c r="F124" s="36">
        <v>6942.86</v>
      </c>
      <c r="G124" s="36">
        <v>1.2732E7</v>
      </c>
      <c r="H124" s="36">
        <v>7366374.0</v>
      </c>
      <c r="I124" s="36">
        <v>5365626.0</v>
      </c>
    </row>
    <row r="125">
      <c r="A125" s="2" t="s">
        <v>1174</v>
      </c>
      <c r="B125" s="2" t="s">
        <v>19</v>
      </c>
      <c r="C125" s="2" t="s">
        <v>8</v>
      </c>
      <c r="D125" s="36">
        <v>233.0</v>
      </c>
      <c r="E125" s="36">
        <v>4250.0</v>
      </c>
      <c r="F125" s="36">
        <v>2670.0</v>
      </c>
      <c r="G125" s="36">
        <v>990250.0</v>
      </c>
      <c r="H125" s="36">
        <v>622110.0</v>
      </c>
      <c r="I125" s="36">
        <v>368140.0</v>
      </c>
    </row>
    <row r="126">
      <c r="A126" s="2" t="s">
        <v>1175</v>
      </c>
      <c r="B126" s="2" t="s">
        <v>18</v>
      </c>
      <c r="C126" s="2" t="s">
        <v>6</v>
      </c>
      <c r="D126" s="36">
        <v>226.0</v>
      </c>
      <c r="E126" s="36">
        <v>1800.0</v>
      </c>
      <c r="F126" s="36">
        <v>929.0</v>
      </c>
      <c r="G126" s="36">
        <v>406800.0</v>
      </c>
      <c r="H126" s="36">
        <v>209954.0</v>
      </c>
      <c r="I126" s="36">
        <v>196846.0</v>
      </c>
    </row>
    <row r="127">
      <c r="A127" s="2" t="s">
        <v>1176</v>
      </c>
      <c r="B127" s="2" t="s">
        <v>20</v>
      </c>
      <c r="C127" s="2" t="s">
        <v>9</v>
      </c>
      <c r="D127" s="36">
        <v>2389.0</v>
      </c>
      <c r="E127" s="36">
        <v>12000.0</v>
      </c>
      <c r="F127" s="36">
        <v>6942.86</v>
      </c>
      <c r="G127" s="36">
        <v>2.8668E7</v>
      </c>
      <c r="H127" s="36">
        <v>1.6586493E7</v>
      </c>
      <c r="I127" s="36">
        <v>1.2081507E7</v>
      </c>
    </row>
    <row r="128">
      <c r="A128" s="2" t="s">
        <v>1177</v>
      </c>
      <c r="B128" s="2" t="s">
        <v>19</v>
      </c>
      <c r="C128" s="2" t="s">
        <v>8</v>
      </c>
      <c r="D128" s="36">
        <v>28.0</v>
      </c>
      <c r="E128" s="36">
        <v>4250.0</v>
      </c>
      <c r="F128" s="36">
        <v>2670.0</v>
      </c>
      <c r="G128" s="36">
        <v>119000.0</v>
      </c>
      <c r="H128" s="36">
        <v>74760.0</v>
      </c>
      <c r="I128" s="36">
        <v>44240.0</v>
      </c>
    </row>
    <row r="129">
      <c r="A129" s="2" t="s">
        <v>1178</v>
      </c>
      <c r="B129" s="2" t="s">
        <v>18</v>
      </c>
      <c r="C129" s="2" t="s">
        <v>6</v>
      </c>
      <c r="D129" s="36">
        <v>32.0</v>
      </c>
      <c r="E129" s="36">
        <v>1800.0</v>
      </c>
      <c r="F129" s="36">
        <v>929.0</v>
      </c>
      <c r="G129" s="36">
        <v>57600.0</v>
      </c>
      <c r="H129" s="36">
        <v>29728.0</v>
      </c>
      <c r="I129" s="36">
        <v>27872.0</v>
      </c>
    </row>
    <row r="130">
      <c r="A130" s="2" t="s">
        <v>1179</v>
      </c>
      <c r="B130" s="2" t="s">
        <v>18</v>
      </c>
      <c r="C130" s="2" t="s">
        <v>6</v>
      </c>
      <c r="D130" s="36">
        <v>41.0</v>
      </c>
      <c r="E130" s="36">
        <v>1800.0</v>
      </c>
      <c r="F130" s="36">
        <v>929.0</v>
      </c>
      <c r="G130" s="36">
        <v>73800.0</v>
      </c>
      <c r="H130" s="36">
        <v>38089.0</v>
      </c>
      <c r="I130" s="36">
        <v>35711.0</v>
      </c>
    </row>
    <row r="131">
      <c r="A131" s="2" t="s">
        <v>1179</v>
      </c>
      <c r="B131" s="2" t="s">
        <v>19</v>
      </c>
      <c r="C131" s="2" t="s">
        <v>8</v>
      </c>
      <c r="D131" s="36">
        <v>180.0</v>
      </c>
      <c r="E131" s="36">
        <v>4250.0</v>
      </c>
      <c r="F131" s="36">
        <v>2670.0</v>
      </c>
      <c r="G131" s="36">
        <v>765000.0</v>
      </c>
      <c r="H131" s="36">
        <v>480600.0</v>
      </c>
      <c r="I131" s="36">
        <v>284400.0</v>
      </c>
    </row>
    <row r="132">
      <c r="A132" s="2" t="s">
        <v>1179</v>
      </c>
      <c r="B132" s="2" t="s">
        <v>20</v>
      </c>
      <c r="C132" s="2" t="s">
        <v>9</v>
      </c>
      <c r="D132" s="36">
        <v>860.0</v>
      </c>
      <c r="E132" s="36">
        <v>12000.0</v>
      </c>
      <c r="F132" s="36">
        <v>6942.86</v>
      </c>
      <c r="G132" s="36">
        <v>1.032E7</v>
      </c>
      <c r="H132" s="36">
        <v>5970860.0</v>
      </c>
      <c r="I132" s="36">
        <v>4349140.0</v>
      </c>
    </row>
    <row r="133">
      <c r="A133" s="2" t="s">
        <v>1180</v>
      </c>
      <c r="B133" s="2" t="s">
        <v>20</v>
      </c>
      <c r="C133" s="2" t="s">
        <v>9</v>
      </c>
      <c r="D133" s="36">
        <v>1671.0</v>
      </c>
      <c r="E133" s="36">
        <v>12000.0</v>
      </c>
      <c r="F133" s="36">
        <v>6942.86</v>
      </c>
      <c r="G133" s="36">
        <v>2.0052E7</v>
      </c>
      <c r="H133" s="36">
        <v>1.1601519E7</v>
      </c>
      <c r="I133" s="36">
        <v>8450481.0</v>
      </c>
    </row>
    <row r="134">
      <c r="A134" s="2" t="s">
        <v>1181</v>
      </c>
      <c r="B134" s="2" t="s">
        <v>19</v>
      </c>
      <c r="C134" s="2" t="s">
        <v>8</v>
      </c>
      <c r="D134" s="36">
        <v>162.0</v>
      </c>
      <c r="E134" s="36">
        <v>4250.0</v>
      </c>
      <c r="F134" s="36">
        <v>2670.0</v>
      </c>
      <c r="G134" s="36">
        <v>688500.0</v>
      </c>
      <c r="H134" s="36">
        <v>432540.0</v>
      </c>
      <c r="I134" s="36">
        <v>255960.0</v>
      </c>
    </row>
    <row r="135">
      <c r="A135" s="2" t="s">
        <v>1182</v>
      </c>
      <c r="B135" s="2" t="s">
        <v>18</v>
      </c>
      <c r="C135" s="2" t="s">
        <v>6</v>
      </c>
      <c r="D135" s="36">
        <v>69.0</v>
      </c>
      <c r="E135" s="36">
        <v>1800.0</v>
      </c>
      <c r="F135" s="36">
        <v>929.0</v>
      </c>
      <c r="G135" s="36">
        <v>124200.0</v>
      </c>
      <c r="H135" s="36">
        <v>64101.0</v>
      </c>
      <c r="I135" s="36">
        <v>60099.0</v>
      </c>
    </row>
    <row r="136">
      <c r="A136" s="2" t="s">
        <v>1183</v>
      </c>
      <c r="B136" s="2" t="s">
        <v>18</v>
      </c>
      <c r="C136" s="2" t="s">
        <v>6</v>
      </c>
      <c r="D136" s="36">
        <v>415.0</v>
      </c>
      <c r="E136" s="36">
        <v>1800.0</v>
      </c>
      <c r="F136" s="36">
        <v>929.0</v>
      </c>
      <c r="G136" s="36">
        <v>747000.0</v>
      </c>
      <c r="H136" s="36">
        <v>385535.0</v>
      </c>
      <c r="I136" s="36">
        <v>361465.0</v>
      </c>
    </row>
    <row r="137">
      <c r="A137" s="2" t="s">
        <v>1183</v>
      </c>
      <c r="B137" s="2" t="s">
        <v>19</v>
      </c>
      <c r="C137" s="2" t="s">
        <v>8</v>
      </c>
      <c r="D137" s="36">
        <v>889.0</v>
      </c>
      <c r="E137" s="36">
        <v>4250.0</v>
      </c>
      <c r="F137" s="36">
        <v>2670.0</v>
      </c>
      <c r="G137" s="36">
        <v>3778250.0</v>
      </c>
      <c r="H137" s="36">
        <v>2373630.0</v>
      </c>
      <c r="I137" s="36">
        <v>1404620.0</v>
      </c>
    </row>
    <row r="138">
      <c r="A138" s="2" t="s">
        <v>1183</v>
      </c>
      <c r="B138" s="2" t="s">
        <v>20</v>
      </c>
      <c r="C138" s="2" t="s">
        <v>9</v>
      </c>
      <c r="D138" s="36">
        <v>118.0</v>
      </c>
      <c r="E138" s="36">
        <v>12000.0</v>
      </c>
      <c r="F138" s="36">
        <v>6942.86</v>
      </c>
      <c r="G138" s="36">
        <v>1416000.0</v>
      </c>
      <c r="H138" s="36">
        <v>819257.0</v>
      </c>
      <c r="I138" s="36">
        <v>596743.0</v>
      </c>
    </row>
    <row r="139">
      <c r="A139" s="2" t="s">
        <v>1184</v>
      </c>
      <c r="B139" s="2" t="s">
        <v>20</v>
      </c>
      <c r="C139" s="2" t="s">
        <v>9</v>
      </c>
      <c r="D139" s="36">
        <v>326.0</v>
      </c>
      <c r="E139" s="36">
        <v>12000.0</v>
      </c>
      <c r="F139" s="36">
        <v>6942.86</v>
      </c>
      <c r="G139" s="36">
        <v>3912000.0</v>
      </c>
      <c r="H139" s="36">
        <v>2263372.0</v>
      </c>
      <c r="I139" s="36">
        <v>1648628.0</v>
      </c>
    </row>
    <row r="140">
      <c r="A140" s="2" t="s">
        <v>1185</v>
      </c>
      <c r="B140" s="2" t="s">
        <v>19</v>
      </c>
      <c r="C140" s="2" t="s">
        <v>8</v>
      </c>
      <c r="D140" s="36">
        <v>238.0</v>
      </c>
      <c r="E140" s="36">
        <v>4250.0</v>
      </c>
      <c r="F140" s="36">
        <v>2670.0</v>
      </c>
      <c r="G140" s="36">
        <v>1011500.0</v>
      </c>
      <c r="H140" s="36">
        <v>635460.0</v>
      </c>
      <c r="I140" s="36">
        <v>376040.0</v>
      </c>
    </row>
    <row r="141">
      <c r="A141" s="2" t="s">
        <v>1186</v>
      </c>
      <c r="B141" s="2" t="s">
        <v>18</v>
      </c>
      <c r="C141" s="2" t="s">
        <v>6</v>
      </c>
      <c r="D141" s="36">
        <v>929.0</v>
      </c>
      <c r="E141" s="36">
        <v>1800.0</v>
      </c>
      <c r="F141" s="36">
        <v>929.0</v>
      </c>
      <c r="G141" s="36">
        <v>1672200.0</v>
      </c>
      <c r="H141" s="36">
        <v>863041.0</v>
      </c>
      <c r="I141" s="36">
        <v>809159.0</v>
      </c>
    </row>
    <row r="142">
      <c r="A142" s="2" t="s">
        <v>1187</v>
      </c>
      <c r="B142" s="2" t="s">
        <v>20</v>
      </c>
      <c r="C142" s="2" t="s">
        <v>9</v>
      </c>
      <c r="D142" s="36">
        <v>11.0</v>
      </c>
      <c r="E142" s="36">
        <v>12000.0</v>
      </c>
      <c r="F142" s="36">
        <v>6942.86</v>
      </c>
      <c r="G142" s="36">
        <v>132000.0</v>
      </c>
      <c r="H142" s="36">
        <v>76371.0</v>
      </c>
      <c r="I142" s="36">
        <v>55629.0</v>
      </c>
    </row>
    <row r="143">
      <c r="A143" s="2" t="s">
        <v>1188</v>
      </c>
      <c r="B143" s="2" t="s">
        <v>19</v>
      </c>
      <c r="C143" s="2" t="s">
        <v>8</v>
      </c>
      <c r="D143" s="36">
        <v>761.0</v>
      </c>
      <c r="E143" s="36">
        <v>4250.0</v>
      </c>
      <c r="F143" s="36">
        <v>2670.0</v>
      </c>
      <c r="G143" s="36">
        <v>3234250.0</v>
      </c>
      <c r="H143" s="36">
        <v>2031870.0</v>
      </c>
      <c r="I143" s="36">
        <v>1202380.0</v>
      </c>
    </row>
    <row r="144">
      <c r="A144" s="2" t="s">
        <v>1188</v>
      </c>
      <c r="B144" s="2" t="s">
        <v>18</v>
      </c>
      <c r="C144" s="2" t="s">
        <v>6</v>
      </c>
      <c r="D144" s="36">
        <v>136.0</v>
      </c>
      <c r="E144" s="36">
        <v>1800.0</v>
      </c>
      <c r="F144" s="36">
        <v>929.0</v>
      </c>
      <c r="G144" s="36">
        <v>244800.0</v>
      </c>
      <c r="H144" s="36">
        <v>126344.0</v>
      </c>
      <c r="I144" s="36">
        <v>118456.0</v>
      </c>
    </row>
    <row r="145">
      <c r="A145" s="2" t="s">
        <v>1189</v>
      </c>
      <c r="B145" s="2" t="s">
        <v>20</v>
      </c>
      <c r="C145" s="2" t="s">
        <v>9</v>
      </c>
      <c r="D145" s="36">
        <v>134.0</v>
      </c>
      <c r="E145" s="36">
        <v>12000.0</v>
      </c>
      <c r="F145" s="36">
        <v>6942.86</v>
      </c>
      <c r="G145" s="36">
        <v>1608000.0</v>
      </c>
      <c r="H145" s="36">
        <v>930343.0</v>
      </c>
      <c r="I145" s="36">
        <v>677657.0</v>
      </c>
    </row>
    <row r="146">
      <c r="A146" s="2" t="s">
        <v>1190</v>
      </c>
      <c r="B146" s="2" t="s">
        <v>19</v>
      </c>
      <c r="C146" s="2" t="s">
        <v>8</v>
      </c>
      <c r="D146" s="36">
        <v>497.0</v>
      </c>
      <c r="E146" s="36">
        <v>4250.0</v>
      </c>
      <c r="F146" s="36">
        <v>2670.0</v>
      </c>
      <c r="G146" s="36">
        <v>2112250.0</v>
      </c>
      <c r="H146" s="36">
        <v>1326990.0</v>
      </c>
      <c r="I146" s="36">
        <v>785260.0</v>
      </c>
    </row>
    <row r="147">
      <c r="A147" s="2" t="s">
        <v>1190</v>
      </c>
      <c r="B147" s="2" t="s">
        <v>18</v>
      </c>
      <c r="C147" s="2" t="s">
        <v>6</v>
      </c>
      <c r="D147" s="36">
        <v>164.0</v>
      </c>
      <c r="E147" s="36">
        <v>1800.0</v>
      </c>
      <c r="F147" s="36">
        <v>929.0</v>
      </c>
      <c r="G147" s="36">
        <v>295200.0</v>
      </c>
      <c r="H147" s="36">
        <v>152356.0</v>
      </c>
      <c r="I147" s="36">
        <v>142844.0</v>
      </c>
    </row>
    <row r="148">
      <c r="A148" s="2" t="s">
        <v>1191</v>
      </c>
      <c r="B148" s="2" t="s">
        <v>20</v>
      </c>
      <c r="C148" s="2" t="s">
        <v>9</v>
      </c>
      <c r="D148" s="36">
        <v>67.0</v>
      </c>
      <c r="E148" s="36">
        <v>12000.0</v>
      </c>
      <c r="F148" s="36">
        <v>6942.86</v>
      </c>
      <c r="G148" s="36">
        <v>804000.0</v>
      </c>
      <c r="H148" s="36">
        <v>465172.0</v>
      </c>
      <c r="I148" s="36">
        <v>338828.0</v>
      </c>
    </row>
    <row r="149">
      <c r="A149" s="2" t="s">
        <v>1192</v>
      </c>
      <c r="B149" s="2" t="s">
        <v>19</v>
      </c>
      <c r="C149" s="2" t="s">
        <v>8</v>
      </c>
      <c r="D149" s="36">
        <v>192.0</v>
      </c>
      <c r="E149" s="36">
        <v>4250.0</v>
      </c>
      <c r="F149" s="36">
        <v>2670.0</v>
      </c>
      <c r="G149" s="36">
        <v>816000.0</v>
      </c>
      <c r="H149" s="36">
        <v>512640.0</v>
      </c>
      <c r="I149" s="36">
        <v>303360.0</v>
      </c>
    </row>
    <row r="150">
      <c r="A150" s="2" t="s">
        <v>1193</v>
      </c>
      <c r="B150" s="2" t="s">
        <v>20</v>
      </c>
      <c r="C150" s="2" t="s">
        <v>9</v>
      </c>
      <c r="D150" s="36">
        <v>11.0</v>
      </c>
      <c r="E150" s="36">
        <v>12000.0</v>
      </c>
      <c r="F150" s="36">
        <v>6942.86</v>
      </c>
      <c r="G150" s="36">
        <v>132000.0</v>
      </c>
      <c r="H150" s="36">
        <v>76371.0</v>
      </c>
      <c r="I150" s="36">
        <v>55629.0</v>
      </c>
    </row>
    <row r="151">
      <c r="A151" s="2" t="s">
        <v>1194</v>
      </c>
      <c r="B151" s="2" t="s">
        <v>19</v>
      </c>
      <c r="C151" s="2" t="s">
        <v>8</v>
      </c>
      <c r="D151" s="36">
        <v>761.0</v>
      </c>
      <c r="E151" s="36">
        <v>4250.0</v>
      </c>
      <c r="F151" s="36">
        <v>2670.0</v>
      </c>
      <c r="G151" s="36">
        <v>3234250.0</v>
      </c>
      <c r="H151" s="36">
        <v>2031870.0</v>
      </c>
      <c r="I151" s="36">
        <v>1202380.0</v>
      </c>
    </row>
    <row r="152">
      <c r="A152" s="2" t="s">
        <v>1195</v>
      </c>
      <c r="B152" s="2" t="s">
        <v>18</v>
      </c>
      <c r="C152" s="2" t="s">
        <v>6</v>
      </c>
      <c r="D152" s="36">
        <v>136.0</v>
      </c>
      <c r="E152" s="36">
        <v>1800.0</v>
      </c>
      <c r="F152" s="36">
        <v>929.0</v>
      </c>
      <c r="G152" s="36">
        <v>244800.0</v>
      </c>
      <c r="H152" s="36">
        <v>126344.0</v>
      </c>
      <c r="I152" s="36">
        <v>118456.0</v>
      </c>
    </row>
    <row r="153">
      <c r="A153" s="2" t="s">
        <v>1196</v>
      </c>
      <c r="B153" s="2" t="s">
        <v>20</v>
      </c>
      <c r="C153" s="2" t="s">
        <v>9</v>
      </c>
      <c r="D153" s="36">
        <v>134.0</v>
      </c>
      <c r="E153" s="36">
        <v>12000.0</v>
      </c>
      <c r="F153" s="36">
        <v>6942.86</v>
      </c>
      <c r="G153" s="36">
        <v>1608000.0</v>
      </c>
      <c r="H153" s="36">
        <v>930343.0</v>
      </c>
      <c r="I153" s="36">
        <v>677657.0</v>
      </c>
    </row>
    <row r="154">
      <c r="A154" s="2" t="s">
        <v>1197</v>
      </c>
      <c r="B154" s="2" t="s">
        <v>19</v>
      </c>
      <c r="C154" s="2" t="s">
        <v>8</v>
      </c>
      <c r="D154" s="36">
        <v>497.0</v>
      </c>
      <c r="E154" s="36">
        <v>4250.0</v>
      </c>
      <c r="F154" s="36">
        <v>2670.0</v>
      </c>
      <c r="G154" s="36">
        <v>2112250.0</v>
      </c>
      <c r="H154" s="36">
        <v>1326990.0</v>
      </c>
      <c r="I154" s="36">
        <v>785260.0</v>
      </c>
    </row>
    <row r="155">
      <c r="A155" s="2" t="s">
        <v>1198</v>
      </c>
      <c r="B155" s="2" t="s">
        <v>18</v>
      </c>
      <c r="C155" s="2" t="s">
        <v>6</v>
      </c>
      <c r="D155" s="36">
        <v>164.0</v>
      </c>
      <c r="E155" s="36">
        <v>1800.0</v>
      </c>
      <c r="F155" s="36">
        <v>929.0</v>
      </c>
      <c r="G155" s="36">
        <v>295200.0</v>
      </c>
      <c r="H155" s="36">
        <v>152356.0</v>
      </c>
      <c r="I155" s="36">
        <v>142844.0</v>
      </c>
    </row>
    <row r="156">
      <c r="A156" s="2" t="s">
        <v>1199</v>
      </c>
      <c r="B156" s="2" t="s">
        <v>20</v>
      </c>
      <c r="C156" s="2" t="s">
        <v>9</v>
      </c>
      <c r="D156" s="36">
        <v>67.0</v>
      </c>
      <c r="E156" s="36">
        <v>12000.0</v>
      </c>
      <c r="F156" s="36">
        <v>6942.86</v>
      </c>
      <c r="G156" s="36">
        <v>804000.0</v>
      </c>
      <c r="H156" s="36">
        <v>465172.0</v>
      </c>
      <c r="I156" s="36">
        <v>338828.0</v>
      </c>
    </row>
    <row r="157">
      <c r="A157" s="2" t="s">
        <v>1200</v>
      </c>
      <c r="B157" s="2" t="s">
        <v>19</v>
      </c>
      <c r="C157" s="2" t="s">
        <v>8</v>
      </c>
      <c r="D157" s="36">
        <v>192.0</v>
      </c>
      <c r="E157" s="36">
        <v>4250.0</v>
      </c>
      <c r="F157" s="36">
        <v>2670.0</v>
      </c>
      <c r="G157" s="36">
        <v>816000.0</v>
      </c>
      <c r="H157" s="36">
        <v>512640.0</v>
      </c>
      <c r="I157" s="36">
        <v>303360.0</v>
      </c>
    </row>
    <row r="158">
      <c r="A158" s="2" t="s">
        <v>1201</v>
      </c>
      <c r="B158" s="2" t="s">
        <v>18</v>
      </c>
      <c r="C158" s="2" t="s">
        <v>6</v>
      </c>
      <c r="D158" s="36">
        <v>316.0</v>
      </c>
      <c r="E158" s="36">
        <v>1800.0</v>
      </c>
      <c r="F158" s="36">
        <v>929.0</v>
      </c>
      <c r="G158" s="36">
        <v>568800.0</v>
      </c>
      <c r="H158" s="36">
        <v>293564.0</v>
      </c>
      <c r="I158" s="36">
        <v>275236.0</v>
      </c>
    </row>
    <row r="159">
      <c r="A159" s="2" t="s">
        <v>1202</v>
      </c>
      <c r="B159" s="2" t="s">
        <v>20</v>
      </c>
      <c r="C159" s="2" t="s">
        <v>9</v>
      </c>
      <c r="D159" s="36">
        <v>1357.0</v>
      </c>
      <c r="E159" s="36">
        <v>12000.0</v>
      </c>
      <c r="F159" s="36">
        <v>6942.86</v>
      </c>
      <c r="G159" s="36">
        <v>1.6284E7</v>
      </c>
      <c r="H159" s="36">
        <v>9421461.0</v>
      </c>
      <c r="I159" s="36">
        <v>6862539.0</v>
      </c>
    </row>
    <row r="160">
      <c r="A160" s="2" t="s">
        <v>1203</v>
      </c>
      <c r="B160" s="2" t="s">
        <v>19</v>
      </c>
      <c r="C160" s="2" t="s">
        <v>8</v>
      </c>
      <c r="D160" s="36">
        <v>577.0</v>
      </c>
      <c r="E160" s="36">
        <v>4250.0</v>
      </c>
      <c r="F160" s="36">
        <v>2670.0</v>
      </c>
      <c r="G160" s="36">
        <v>2452250.0</v>
      </c>
      <c r="H160" s="36">
        <v>1540590.0</v>
      </c>
      <c r="I160" s="36">
        <v>911660.0</v>
      </c>
    </row>
    <row r="161">
      <c r="A161" s="2" t="s">
        <v>1204</v>
      </c>
      <c r="B161" s="2" t="s">
        <v>18</v>
      </c>
      <c r="C161" s="2" t="s">
        <v>6</v>
      </c>
      <c r="D161" s="36">
        <v>65.0</v>
      </c>
      <c r="E161" s="36">
        <v>1800.0</v>
      </c>
      <c r="F161" s="36">
        <v>929.0</v>
      </c>
      <c r="G161" s="36">
        <v>117000.0</v>
      </c>
      <c r="H161" s="36">
        <v>60385.0</v>
      </c>
      <c r="I161" s="36">
        <v>56615.0</v>
      </c>
    </row>
    <row r="162">
      <c r="A162" s="2" t="s">
        <v>1205</v>
      </c>
      <c r="B162" s="2" t="s">
        <v>18</v>
      </c>
      <c r="C162" s="2" t="s">
        <v>6</v>
      </c>
      <c r="D162" s="36">
        <v>271.0</v>
      </c>
      <c r="E162" s="36">
        <v>1800.0</v>
      </c>
      <c r="F162" s="36">
        <v>929.0</v>
      </c>
      <c r="G162" s="36">
        <v>487800.0</v>
      </c>
      <c r="H162" s="36">
        <v>251759.0</v>
      </c>
      <c r="I162" s="36">
        <v>236041.0</v>
      </c>
    </row>
    <row r="163">
      <c r="A163" s="2" t="s">
        <v>1205</v>
      </c>
      <c r="B163" s="2" t="s">
        <v>19</v>
      </c>
      <c r="C163" s="2" t="s">
        <v>8</v>
      </c>
      <c r="D163" s="36">
        <v>494.0</v>
      </c>
      <c r="E163" s="36">
        <v>4250.0</v>
      </c>
      <c r="F163" s="36">
        <v>2670.0</v>
      </c>
      <c r="G163" s="36">
        <v>2099500.0</v>
      </c>
      <c r="H163" s="36">
        <v>1318980.0</v>
      </c>
      <c r="I163" s="36">
        <v>780520.0</v>
      </c>
    </row>
    <row r="164">
      <c r="A164" s="2" t="s">
        <v>1205</v>
      </c>
      <c r="B164" s="2" t="s">
        <v>20</v>
      </c>
      <c r="C164" s="2" t="s">
        <v>9</v>
      </c>
      <c r="D164" s="36">
        <v>69.0</v>
      </c>
      <c r="E164" s="36">
        <v>12000.0</v>
      </c>
      <c r="F164" s="36">
        <v>6942.86</v>
      </c>
      <c r="G164" s="36">
        <v>828000.0</v>
      </c>
      <c r="H164" s="36">
        <v>479057.0</v>
      </c>
      <c r="I164" s="36">
        <v>348943.0</v>
      </c>
    </row>
    <row r="165">
      <c r="A165" s="2" t="s">
        <v>1206</v>
      </c>
      <c r="B165" s="2" t="s">
        <v>20</v>
      </c>
      <c r="C165" s="2" t="s">
        <v>9</v>
      </c>
      <c r="D165" s="36">
        <v>69.0</v>
      </c>
      <c r="E165" s="36">
        <v>12000.0</v>
      </c>
      <c r="F165" s="36">
        <v>6942.86</v>
      </c>
      <c r="G165" s="36">
        <v>828000.0</v>
      </c>
      <c r="H165" s="36">
        <v>479057.0</v>
      </c>
      <c r="I165" s="36">
        <v>348943.0</v>
      </c>
    </row>
    <row r="166">
      <c r="A166" s="2" t="s">
        <v>1207</v>
      </c>
      <c r="B166" s="2" t="s">
        <v>19</v>
      </c>
      <c r="C166" s="2" t="s">
        <v>8</v>
      </c>
      <c r="D166" s="36">
        <v>494.0</v>
      </c>
      <c r="E166" s="36">
        <v>4250.0</v>
      </c>
      <c r="F166" s="36">
        <v>2670.0</v>
      </c>
      <c r="G166" s="36">
        <v>2099500.0</v>
      </c>
      <c r="H166" s="36">
        <v>1318980.0</v>
      </c>
      <c r="I166" s="36">
        <v>780520.0</v>
      </c>
    </row>
    <row r="167">
      <c r="A167" s="2" t="s">
        <v>1208</v>
      </c>
      <c r="B167" s="2" t="s">
        <v>18</v>
      </c>
      <c r="C167" s="2" t="s">
        <v>6</v>
      </c>
      <c r="D167" s="36">
        <v>271.0</v>
      </c>
      <c r="E167" s="36">
        <v>1800.0</v>
      </c>
      <c r="F167" s="36">
        <v>929.0</v>
      </c>
      <c r="G167" s="36">
        <v>487800.0</v>
      </c>
      <c r="H167" s="36">
        <v>251759.0</v>
      </c>
      <c r="I167" s="36">
        <v>236041.0</v>
      </c>
    </row>
    <row r="168">
      <c r="A168" s="2" t="s">
        <v>1209</v>
      </c>
      <c r="B168" s="2" t="s">
        <v>20</v>
      </c>
      <c r="C168" s="2" t="s">
        <v>9</v>
      </c>
      <c r="D168" s="36">
        <v>130.0</v>
      </c>
      <c r="E168" s="36">
        <v>12000.0</v>
      </c>
      <c r="F168" s="36">
        <v>6942.86</v>
      </c>
      <c r="G168" s="36">
        <v>1560000.0</v>
      </c>
      <c r="H168" s="36">
        <v>902572.0</v>
      </c>
      <c r="I168" s="36">
        <v>657428.0</v>
      </c>
    </row>
    <row r="169">
      <c r="A169" s="2" t="s">
        <v>1210</v>
      </c>
      <c r="B169" s="2" t="s">
        <v>19</v>
      </c>
      <c r="C169" s="2" t="s">
        <v>8</v>
      </c>
      <c r="D169" s="36">
        <v>382.0</v>
      </c>
      <c r="E169" s="36">
        <v>4250.0</v>
      </c>
      <c r="F169" s="36">
        <v>2670.0</v>
      </c>
      <c r="G169" s="36">
        <v>1623500.0</v>
      </c>
      <c r="H169" s="36">
        <v>1019940.0</v>
      </c>
      <c r="I169" s="36">
        <v>603560.0</v>
      </c>
    </row>
    <row r="170">
      <c r="A170" s="2" t="s">
        <v>1211</v>
      </c>
      <c r="B170" s="2" t="s">
        <v>18</v>
      </c>
      <c r="C170" s="2" t="s">
        <v>6</v>
      </c>
      <c r="D170" s="36">
        <v>699.0</v>
      </c>
      <c r="E170" s="36">
        <v>1800.0</v>
      </c>
      <c r="F170" s="36">
        <v>929.0</v>
      </c>
      <c r="G170" s="36">
        <v>1258200.0</v>
      </c>
      <c r="H170" s="36">
        <v>649371.0</v>
      </c>
      <c r="I170" s="36">
        <v>608829.0</v>
      </c>
    </row>
    <row r="171">
      <c r="A171" s="2" t="s">
        <v>1212</v>
      </c>
      <c r="B171" s="2" t="s">
        <v>20</v>
      </c>
      <c r="C171" s="2" t="s">
        <v>9</v>
      </c>
      <c r="D171" s="36">
        <v>204.0</v>
      </c>
      <c r="E171" s="36">
        <v>12000.0</v>
      </c>
      <c r="F171" s="36">
        <v>6942.86</v>
      </c>
      <c r="G171" s="36">
        <v>2448000.0</v>
      </c>
      <c r="H171" s="36">
        <v>1416343.0</v>
      </c>
      <c r="I171" s="36">
        <v>1031657.0</v>
      </c>
    </row>
    <row r="172">
      <c r="A172" s="2" t="s">
        <v>1213</v>
      </c>
      <c r="B172" s="2" t="s">
        <v>19</v>
      </c>
      <c r="C172" s="2" t="s">
        <v>8</v>
      </c>
      <c r="D172" s="36">
        <v>753.0</v>
      </c>
      <c r="E172" s="36">
        <v>4250.0</v>
      </c>
      <c r="F172" s="36">
        <v>2670.0</v>
      </c>
      <c r="G172" s="36">
        <v>3200250.0</v>
      </c>
      <c r="H172" s="36">
        <v>2010510.0</v>
      </c>
      <c r="I172" s="36">
        <v>1189740.0</v>
      </c>
    </row>
    <row r="173">
      <c r="A173" s="2" t="s">
        <v>1214</v>
      </c>
      <c r="B173" s="2" t="s">
        <v>18</v>
      </c>
      <c r="C173" s="2" t="s">
        <v>6</v>
      </c>
      <c r="D173" s="36">
        <v>1770.0</v>
      </c>
      <c r="E173" s="36">
        <v>1800.0</v>
      </c>
      <c r="F173" s="36">
        <v>929.0</v>
      </c>
      <c r="G173" s="36">
        <v>3186000.0</v>
      </c>
      <c r="H173" s="36">
        <v>1644330.0</v>
      </c>
      <c r="I173" s="36">
        <v>1541670.0</v>
      </c>
    </row>
    <row r="174">
      <c r="A174" s="2" t="s">
        <v>1215</v>
      </c>
      <c r="B174" s="2" t="s">
        <v>20</v>
      </c>
      <c r="C174" s="2" t="s">
        <v>9</v>
      </c>
      <c r="D174" s="36">
        <v>362.0</v>
      </c>
      <c r="E174" s="36">
        <v>12000.0</v>
      </c>
      <c r="F174" s="36">
        <v>6942.86</v>
      </c>
      <c r="G174" s="36">
        <v>4344000.0</v>
      </c>
      <c r="H174" s="36">
        <v>2513315.0</v>
      </c>
      <c r="I174" s="36">
        <v>1830685.0</v>
      </c>
    </row>
    <row r="175">
      <c r="A175" s="2" t="s">
        <v>1216</v>
      </c>
      <c r="B175" s="2" t="s">
        <v>19</v>
      </c>
      <c r="C175" s="2" t="s">
        <v>8</v>
      </c>
      <c r="D175" s="36">
        <v>201.0</v>
      </c>
      <c r="E175" s="36">
        <v>4250.0</v>
      </c>
      <c r="F175" s="36">
        <v>2670.0</v>
      </c>
      <c r="G175" s="36">
        <v>854250.0</v>
      </c>
      <c r="H175" s="36">
        <v>536670.0</v>
      </c>
      <c r="I175" s="36">
        <v>317580.0</v>
      </c>
    </row>
    <row r="176">
      <c r="A176" s="2" t="s">
        <v>1217</v>
      </c>
      <c r="B176" s="2" t="s">
        <v>20</v>
      </c>
      <c r="C176" s="2" t="s">
        <v>9</v>
      </c>
      <c r="D176" s="36">
        <v>362.0</v>
      </c>
      <c r="E176" s="36">
        <v>12000.0</v>
      </c>
      <c r="F176" s="36">
        <v>6942.86</v>
      </c>
      <c r="G176" s="36">
        <v>4344000.0</v>
      </c>
      <c r="H176" s="36">
        <v>2513315.0</v>
      </c>
      <c r="I176" s="36">
        <v>1830685.0</v>
      </c>
    </row>
    <row r="177">
      <c r="A177" s="2" t="s">
        <v>1218</v>
      </c>
      <c r="B177" s="2" t="s">
        <v>19</v>
      </c>
      <c r="C177" s="2" t="s">
        <v>8</v>
      </c>
      <c r="D177" s="36">
        <v>201.0</v>
      </c>
      <c r="E177" s="36">
        <v>4250.0</v>
      </c>
      <c r="F177" s="36">
        <v>2670.0</v>
      </c>
      <c r="G177" s="36">
        <v>854250.0</v>
      </c>
      <c r="H177" s="36">
        <v>536670.0</v>
      </c>
      <c r="I177" s="36">
        <v>317580.0</v>
      </c>
    </row>
    <row r="178">
      <c r="A178" s="2" t="s">
        <v>1219</v>
      </c>
      <c r="B178" s="2" t="s">
        <v>18</v>
      </c>
      <c r="C178" s="2" t="s">
        <v>6</v>
      </c>
      <c r="D178" s="36">
        <v>376.0</v>
      </c>
      <c r="E178" s="36">
        <v>1800.0</v>
      </c>
      <c r="F178" s="36">
        <v>929.0</v>
      </c>
      <c r="G178" s="36">
        <v>676800.0</v>
      </c>
      <c r="H178" s="36">
        <v>349304.0</v>
      </c>
      <c r="I178" s="36">
        <v>327496.0</v>
      </c>
    </row>
    <row r="179">
      <c r="A179" s="2" t="s">
        <v>1220</v>
      </c>
      <c r="B179" s="2" t="s">
        <v>20</v>
      </c>
      <c r="C179" s="2" t="s">
        <v>9</v>
      </c>
      <c r="D179" s="36">
        <v>138.0</v>
      </c>
      <c r="E179" s="36">
        <v>12000.0</v>
      </c>
      <c r="F179" s="36">
        <v>6942.86</v>
      </c>
      <c r="G179" s="36">
        <v>1656000.0</v>
      </c>
      <c r="H179" s="36">
        <v>958115.0</v>
      </c>
      <c r="I179" s="36">
        <v>697885.0</v>
      </c>
    </row>
    <row r="180">
      <c r="A180" s="2" t="s">
        <v>1221</v>
      </c>
      <c r="B180" s="2" t="s">
        <v>19</v>
      </c>
      <c r="C180" s="2" t="s">
        <v>8</v>
      </c>
      <c r="D180" s="36">
        <v>165.0</v>
      </c>
      <c r="E180" s="36">
        <v>4250.0</v>
      </c>
      <c r="F180" s="36">
        <v>2670.0</v>
      </c>
      <c r="G180" s="36">
        <v>701250.0</v>
      </c>
      <c r="H180" s="36">
        <v>440550.0</v>
      </c>
      <c r="I180" s="36">
        <v>260700.0</v>
      </c>
    </row>
    <row r="181">
      <c r="A181" s="2" t="s">
        <v>1222</v>
      </c>
      <c r="B181" s="2" t="s">
        <v>18</v>
      </c>
      <c r="C181" s="2" t="s">
        <v>6</v>
      </c>
      <c r="D181" s="36">
        <v>251.0</v>
      </c>
      <c r="E181" s="36">
        <v>1800.0</v>
      </c>
      <c r="F181" s="36">
        <v>929.0</v>
      </c>
      <c r="G181" s="36">
        <v>451800.0</v>
      </c>
      <c r="H181" s="36">
        <v>233179.0</v>
      </c>
      <c r="I181" s="36">
        <v>218621.0</v>
      </c>
    </row>
    <row r="182">
      <c r="A182" s="2" t="s">
        <v>1223</v>
      </c>
      <c r="B182" s="2" t="s">
        <v>20</v>
      </c>
      <c r="C182" s="2" t="s">
        <v>9</v>
      </c>
      <c r="D182" s="36">
        <v>290.0</v>
      </c>
      <c r="E182" s="36">
        <v>12000.0</v>
      </c>
      <c r="F182" s="36">
        <v>6942.86</v>
      </c>
      <c r="G182" s="36">
        <v>3480000.0</v>
      </c>
      <c r="H182" s="36">
        <v>2013429.0</v>
      </c>
      <c r="I182" s="36">
        <v>1466571.0</v>
      </c>
    </row>
    <row r="183">
      <c r="A183" s="2" t="s">
        <v>1224</v>
      </c>
      <c r="B183" s="2" t="s">
        <v>19</v>
      </c>
      <c r="C183" s="2" t="s">
        <v>8</v>
      </c>
      <c r="D183" s="36">
        <v>242.0</v>
      </c>
      <c r="E183" s="36">
        <v>4250.0</v>
      </c>
      <c r="F183" s="36">
        <v>2670.0</v>
      </c>
      <c r="G183" s="36">
        <v>1028500.0</v>
      </c>
      <c r="H183" s="36">
        <v>646140.0</v>
      </c>
      <c r="I183" s="36">
        <v>382360.0</v>
      </c>
    </row>
    <row r="184">
      <c r="A184" s="2" t="s">
        <v>1225</v>
      </c>
      <c r="B184" s="2" t="s">
        <v>18</v>
      </c>
      <c r="C184" s="2" t="s">
        <v>6</v>
      </c>
      <c r="D184" s="36">
        <v>753.0</v>
      </c>
      <c r="E184" s="36">
        <v>1800.0</v>
      </c>
      <c r="F184" s="36">
        <v>929.0</v>
      </c>
      <c r="G184" s="36">
        <v>1355400.0</v>
      </c>
      <c r="H184" s="36">
        <v>699537.0</v>
      </c>
      <c r="I184" s="36">
        <v>655863.0</v>
      </c>
    </row>
    <row r="185">
      <c r="A185" s="2" t="s">
        <v>1226</v>
      </c>
      <c r="B185" s="2" t="s">
        <v>20</v>
      </c>
      <c r="C185" s="2" t="s">
        <v>9</v>
      </c>
      <c r="D185" s="36">
        <v>256.0</v>
      </c>
      <c r="E185" s="36">
        <v>12000.0</v>
      </c>
      <c r="F185" s="36">
        <v>6942.86</v>
      </c>
      <c r="G185" s="36">
        <v>3072000.0</v>
      </c>
      <c r="H185" s="36">
        <v>1777372.0</v>
      </c>
      <c r="I185" s="36">
        <v>1294628.0</v>
      </c>
    </row>
    <row r="186">
      <c r="A186" s="2" t="s">
        <v>1226</v>
      </c>
      <c r="B186" s="2" t="s">
        <v>19</v>
      </c>
      <c r="C186" s="2" t="s">
        <v>8</v>
      </c>
      <c r="D186" s="36">
        <v>27.0</v>
      </c>
      <c r="E186" s="36">
        <v>4250.0</v>
      </c>
      <c r="F186" s="36">
        <v>2670.0</v>
      </c>
      <c r="G186" s="36">
        <v>114750.0</v>
      </c>
      <c r="H186" s="36">
        <v>72090.0</v>
      </c>
      <c r="I186" s="36">
        <v>42660.0</v>
      </c>
    </row>
    <row r="187">
      <c r="A187" s="2" t="s">
        <v>1227</v>
      </c>
      <c r="B187" s="2" t="s">
        <v>18</v>
      </c>
      <c r="C187" s="2" t="s">
        <v>6</v>
      </c>
      <c r="D187" s="36">
        <v>53.0</v>
      </c>
      <c r="E187" s="36">
        <v>1800.0</v>
      </c>
      <c r="F187" s="36">
        <v>929.0</v>
      </c>
      <c r="G187" s="36">
        <v>95400.0</v>
      </c>
      <c r="H187" s="36">
        <v>49237.0</v>
      </c>
      <c r="I187" s="36">
        <v>46163.0</v>
      </c>
    </row>
    <row r="188">
      <c r="A188" s="2" t="s">
        <v>1228</v>
      </c>
      <c r="B188" s="2" t="s">
        <v>20</v>
      </c>
      <c r="C188" s="2" t="s">
        <v>9</v>
      </c>
      <c r="D188" s="36">
        <v>608.0</v>
      </c>
      <c r="E188" s="36">
        <v>12000.0</v>
      </c>
      <c r="F188" s="36">
        <v>6942.86</v>
      </c>
      <c r="G188" s="36">
        <v>7296000.0</v>
      </c>
      <c r="H188" s="36">
        <v>4221259.0</v>
      </c>
      <c r="I188" s="36">
        <v>3074741.0</v>
      </c>
    </row>
    <row r="189">
      <c r="A189" s="2" t="s">
        <v>1229</v>
      </c>
      <c r="B189" s="2" t="s">
        <v>19</v>
      </c>
      <c r="C189" s="2" t="s">
        <v>8</v>
      </c>
      <c r="D189" s="36">
        <v>194.0</v>
      </c>
      <c r="E189" s="36">
        <v>4250.0</v>
      </c>
      <c r="F189" s="36">
        <v>2670.0</v>
      </c>
      <c r="G189" s="36">
        <v>824500.0</v>
      </c>
      <c r="H189" s="36">
        <v>517980.0</v>
      </c>
      <c r="I189" s="36">
        <v>306520.0</v>
      </c>
    </row>
    <row r="190">
      <c r="A190" s="2" t="s">
        <v>1230</v>
      </c>
      <c r="B190" s="2" t="s">
        <v>18</v>
      </c>
      <c r="C190" s="2" t="s">
        <v>6</v>
      </c>
      <c r="D190" s="36">
        <v>555.0</v>
      </c>
      <c r="E190" s="36">
        <v>1800.0</v>
      </c>
      <c r="F190" s="36">
        <v>929.0</v>
      </c>
      <c r="G190" s="36">
        <v>999000.0</v>
      </c>
      <c r="H190" s="36">
        <v>515595.0</v>
      </c>
      <c r="I190" s="36">
        <v>483405.0</v>
      </c>
    </row>
    <row r="191">
      <c r="A191" s="2" t="s">
        <v>1231</v>
      </c>
      <c r="B191" s="2" t="s">
        <v>18</v>
      </c>
      <c r="C191" s="2" t="s">
        <v>6</v>
      </c>
      <c r="D191" s="36">
        <v>99.0</v>
      </c>
      <c r="E191" s="36">
        <v>1800.0</v>
      </c>
      <c r="F191" s="36">
        <v>929.0</v>
      </c>
      <c r="G191" s="36">
        <v>178200.0</v>
      </c>
      <c r="H191" s="36">
        <v>91971.0</v>
      </c>
      <c r="I191" s="36">
        <v>86229.0</v>
      </c>
    </row>
    <row r="192">
      <c r="A192" s="2" t="s">
        <v>1232</v>
      </c>
      <c r="B192" s="2" t="s">
        <v>19</v>
      </c>
      <c r="C192" s="2" t="s">
        <v>8</v>
      </c>
      <c r="D192" s="36">
        <v>411.0</v>
      </c>
      <c r="E192" s="36">
        <v>4250.0</v>
      </c>
      <c r="F192" s="36">
        <v>2670.0</v>
      </c>
      <c r="G192" s="36">
        <v>1746750.0</v>
      </c>
      <c r="H192" s="36">
        <v>1097370.0</v>
      </c>
      <c r="I192" s="36">
        <v>649380.0</v>
      </c>
    </row>
    <row r="193">
      <c r="A193" s="2" t="s">
        <v>1232</v>
      </c>
      <c r="B193" s="2" t="s">
        <v>20</v>
      </c>
      <c r="C193" s="2" t="s">
        <v>9</v>
      </c>
      <c r="D193" s="36">
        <v>253.0</v>
      </c>
      <c r="E193" s="36">
        <v>12000.0</v>
      </c>
      <c r="F193" s="36">
        <v>6942.86</v>
      </c>
      <c r="G193" s="36">
        <v>3036000.0</v>
      </c>
      <c r="H193" s="36">
        <v>1756544.0</v>
      </c>
      <c r="I193" s="36">
        <v>1279456.0</v>
      </c>
    </row>
    <row r="194">
      <c r="A194" s="2" t="s">
        <v>1233</v>
      </c>
      <c r="B194" s="2" t="s">
        <v>20</v>
      </c>
      <c r="C194" s="2" t="s">
        <v>9</v>
      </c>
      <c r="D194" s="36">
        <v>742.0</v>
      </c>
      <c r="E194" s="36">
        <v>12000.0</v>
      </c>
      <c r="F194" s="36">
        <v>6942.86</v>
      </c>
      <c r="G194" s="36">
        <v>8904000.0</v>
      </c>
      <c r="H194" s="36">
        <v>5151602.0</v>
      </c>
      <c r="I194" s="36">
        <v>3752398.0</v>
      </c>
    </row>
    <row r="195">
      <c r="A195" s="2" t="s">
        <v>1234</v>
      </c>
      <c r="B195" s="2" t="s">
        <v>19</v>
      </c>
      <c r="C195" s="2" t="s">
        <v>8</v>
      </c>
      <c r="D195" s="36">
        <v>1213.0</v>
      </c>
      <c r="E195" s="36">
        <v>4250.0</v>
      </c>
      <c r="F195" s="36">
        <v>2670.0</v>
      </c>
      <c r="G195" s="36">
        <v>5155250.0</v>
      </c>
      <c r="H195" s="36">
        <v>3238710.0</v>
      </c>
      <c r="I195" s="36">
        <v>1916540.0</v>
      </c>
    </row>
    <row r="196">
      <c r="A196" s="2" t="s">
        <v>1235</v>
      </c>
      <c r="B196" s="2" t="s">
        <v>18</v>
      </c>
      <c r="C196" s="2" t="s">
        <v>6</v>
      </c>
      <c r="D196" s="36">
        <v>41.0</v>
      </c>
      <c r="E196" s="36">
        <v>1800.0</v>
      </c>
      <c r="F196" s="36">
        <v>929.0</v>
      </c>
      <c r="G196" s="36">
        <v>73800.0</v>
      </c>
      <c r="H196" s="36">
        <v>38089.0</v>
      </c>
      <c r="I196" s="36">
        <v>35711.0</v>
      </c>
    </row>
    <row r="197">
      <c r="A197" s="2" t="s">
        <v>1236</v>
      </c>
      <c r="B197" s="2" t="s">
        <v>18</v>
      </c>
      <c r="C197" s="2" t="s">
        <v>6</v>
      </c>
      <c r="D197" s="36">
        <v>398.0</v>
      </c>
      <c r="E197" s="36">
        <v>1800.0</v>
      </c>
      <c r="F197" s="36">
        <v>929.0</v>
      </c>
      <c r="G197" s="36">
        <v>716400.0</v>
      </c>
      <c r="H197" s="36">
        <v>369742.0</v>
      </c>
      <c r="I197" s="36">
        <v>346658.0</v>
      </c>
    </row>
    <row r="198">
      <c r="A198" s="2" t="s">
        <v>1236</v>
      </c>
      <c r="B198" s="2" t="s">
        <v>19</v>
      </c>
      <c r="C198" s="2" t="s">
        <v>8</v>
      </c>
      <c r="D198" s="36">
        <v>99.0</v>
      </c>
      <c r="E198" s="36">
        <v>4250.0</v>
      </c>
      <c r="F198" s="36">
        <v>2670.0</v>
      </c>
      <c r="G198" s="36">
        <v>420750.0</v>
      </c>
      <c r="H198" s="36">
        <v>264330.0</v>
      </c>
      <c r="I198" s="36">
        <v>156420.0</v>
      </c>
    </row>
    <row r="199">
      <c r="A199" s="2" t="s">
        <v>1236</v>
      </c>
      <c r="B199" s="2" t="s">
        <v>20</v>
      </c>
      <c r="C199" s="2" t="s">
        <v>9</v>
      </c>
      <c r="D199" s="36">
        <v>2307.0</v>
      </c>
      <c r="E199" s="36">
        <v>12000.0</v>
      </c>
      <c r="F199" s="36">
        <v>6942.86</v>
      </c>
      <c r="G199" s="36">
        <v>2.7684E7</v>
      </c>
      <c r="H199" s="36">
        <v>1.6017178E7</v>
      </c>
      <c r="I199" s="36">
        <v>1.1666822E7</v>
      </c>
    </row>
    <row r="200">
      <c r="A200" s="2" t="s">
        <v>1237</v>
      </c>
      <c r="B200" s="2" t="s">
        <v>20</v>
      </c>
      <c r="C200" s="2" t="s">
        <v>9</v>
      </c>
      <c r="D200" s="36">
        <v>2307.0</v>
      </c>
      <c r="E200" s="36">
        <v>12000.0</v>
      </c>
      <c r="F200" s="36">
        <v>6942.86</v>
      </c>
      <c r="G200" s="36">
        <v>2.7684E7</v>
      </c>
      <c r="H200" s="36">
        <v>1.6017178E7</v>
      </c>
      <c r="I200" s="36">
        <v>1.1666822E7</v>
      </c>
    </row>
    <row r="201">
      <c r="A201" s="2" t="s">
        <v>1238</v>
      </c>
      <c r="B201" s="2" t="s">
        <v>19</v>
      </c>
      <c r="C201" s="2" t="s">
        <v>8</v>
      </c>
      <c r="D201" s="36">
        <v>99.0</v>
      </c>
      <c r="E201" s="36">
        <v>4250.0</v>
      </c>
      <c r="F201" s="36">
        <v>2670.0</v>
      </c>
      <c r="G201" s="36">
        <v>420750.0</v>
      </c>
      <c r="H201" s="36">
        <v>264330.0</v>
      </c>
      <c r="I201" s="36">
        <v>156420.0</v>
      </c>
    </row>
    <row r="202">
      <c r="A202" s="2" t="s">
        <v>1239</v>
      </c>
      <c r="B202" s="2" t="s">
        <v>18</v>
      </c>
      <c r="C202" s="2" t="s">
        <v>6</v>
      </c>
      <c r="D202" s="36">
        <v>398.0</v>
      </c>
      <c r="E202" s="36">
        <v>1800.0</v>
      </c>
      <c r="F202" s="36">
        <v>929.0</v>
      </c>
      <c r="G202" s="36">
        <v>716400.0</v>
      </c>
      <c r="H202" s="36">
        <v>369742.0</v>
      </c>
      <c r="I202" s="36">
        <v>346658.0</v>
      </c>
    </row>
    <row r="203">
      <c r="A203" s="2" t="s">
        <v>1240</v>
      </c>
      <c r="B203" s="2" t="s">
        <v>20</v>
      </c>
      <c r="C203" s="2" t="s">
        <v>9</v>
      </c>
      <c r="D203" s="36">
        <v>2268.0</v>
      </c>
      <c r="E203" s="36">
        <v>12000.0</v>
      </c>
      <c r="F203" s="36">
        <v>6942.86</v>
      </c>
      <c r="G203" s="36">
        <v>2.7216E7</v>
      </c>
      <c r="H203" s="36">
        <v>1.5746406E7</v>
      </c>
      <c r="I203" s="36">
        <v>1.1469594E7</v>
      </c>
    </row>
    <row r="204">
      <c r="A204" s="2" t="s">
        <v>1241</v>
      </c>
      <c r="B204" s="2" t="s">
        <v>19</v>
      </c>
      <c r="C204" s="2" t="s">
        <v>8</v>
      </c>
      <c r="D204" s="36">
        <v>310.0</v>
      </c>
      <c r="E204" s="36">
        <v>4250.0</v>
      </c>
      <c r="F204" s="36">
        <v>2670.0</v>
      </c>
      <c r="G204" s="36">
        <v>1317500.0</v>
      </c>
      <c r="H204" s="36">
        <v>827700.0</v>
      </c>
      <c r="I204" s="36">
        <v>489800.0</v>
      </c>
    </row>
    <row r="205">
      <c r="A205" s="2" t="s">
        <v>1242</v>
      </c>
      <c r="B205" s="2" t="s">
        <v>18</v>
      </c>
      <c r="C205" s="2" t="s">
        <v>6</v>
      </c>
      <c r="D205" s="36">
        <v>993.0</v>
      </c>
      <c r="E205" s="36">
        <v>1800.0</v>
      </c>
      <c r="F205" s="36">
        <v>929.0</v>
      </c>
      <c r="G205" s="36">
        <v>1787400.0</v>
      </c>
      <c r="H205" s="36">
        <v>922497.0</v>
      </c>
      <c r="I205" s="36">
        <v>864903.0</v>
      </c>
    </row>
    <row r="206">
      <c r="A206" s="2" t="s">
        <v>1243</v>
      </c>
      <c r="B206" s="2" t="s">
        <v>20</v>
      </c>
      <c r="C206" s="2" t="s">
        <v>9</v>
      </c>
      <c r="D206" s="36">
        <v>127.0</v>
      </c>
      <c r="E206" s="36">
        <v>12000.0</v>
      </c>
      <c r="F206" s="36">
        <v>6942.86</v>
      </c>
      <c r="G206" s="36">
        <v>1524000.0</v>
      </c>
      <c r="H206" s="36">
        <v>881743.0</v>
      </c>
      <c r="I206" s="36">
        <v>642257.0</v>
      </c>
    </row>
    <row r="207">
      <c r="A207" s="2" t="s">
        <v>1244</v>
      </c>
      <c r="B207" s="2" t="s">
        <v>19</v>
      </c>
      <c r="C207" s="2" t="s">
        <v>8</v>
      </c>
      <c r="D207" s="36">
        <v>58.0</v>
      </c>
      <c r="E207" s="36">
        <v>4250.0</v>
      </c>
      <c r="F207" s="36">
        <v>2670.0</v>
      </c>
      <c r="G207" s="36">
        <v>246500.0</v>
      </c>
      <c r="H207" s="36">
        <v>154860.0</v>
      </c>
      <c r="I207" s="36">
        <v>91640.0</v>
      </c>
    </row>
    <row r="208">
      <c r="A208" s="2" t="s">
        <v>1245</v>
      </c>
      <c r="B208" s="2" t="s">
        <v>18</v>
      </c>
      <c r="C208" s="2" t="s">
        <v>6</v>
      </c>
      <c r="D208" s="36">
        <v>167.0</v>
      </c>
      <c r="E208" s="36">
        <v>1800.0</v>
      </c>
      <c r="F208" s="36">
        <v>929.0</v>
      </c>
      <c r="G208" s="36">
        <v>300600.0</v>
      </c>
      <c r="H208" s="36">
        <v>155143.0</v>
      </c>
      <c r="I208" s="36">
        <v>145457.0</v>
      </c>
    </row>
    <row r="209">
      <c r="A209" s="2" t="s">
        <v>1246</v>
      </c>
      <c r="B209" s="2" t="s">
        <v>20</v>
      </c>
      <c r="C209" s="2" t="s">
        <v>9</v>
      </c>
      <c r="D209" s="36">
        <v>454.0</v>
      </c>
      <c r="E209" s="36">
        <v>12000.0</v>
      </c>
      <c r="F209" s="36">
        <v>6942.86</v>
      </c>
      <c r="G209" s="36">
        <v>5448000.0</v>
      </c>
      <c r="H209" s="36">
        <v>3152058.0</v>
      </c>
      <c r="I209" s="36">
        <v>2295942.0</v>
      </c>
    </row>
    <row r="210">
      <c r="A210" s="2" t="s">
        <v>1247</v>
      </c>
      <c r="B210" s="2" t="s">
        <v>19</v>
      </c>
      <c r="C210" s="2" t="s">
        <v>8</v>
      </c>
      <c r="D210" s="36">
        <v>54.0</v>
      </c>
      <c r="E210" s="36">
        <v>4250.0</v>
      </c>
      <c r="F210" s="36">
        <v>2670.0</v>
      </c>
      <c r="G210" s="36">
        <v>229500.0</v>
      </c>
      <c r="H210" s="36">
        <v>144180.0</v>
      </c>
      <c r="I210" s="36">
        <v>85320.0</v>
      </c>
    </row>
    <row r="211">
      <c r="A211" s="2" t="s">
        <v>1247</v>
      </c>
      <c r="B211" s="2" t="s">
        <v>18</v>
      </c>
      <c r="C211" s="2" t="s">
        <v>6</v>
      </c>
      <c r="D211" s="36">
        <v>132.0</v>
      </c>
      <c r="E211" s="36">
        <v>1800.0</v>
      </c>
      <c r="F211" s="36">
        <v>929.0</v>
      </c>
      <c r="G211" s="36">
        <v>237600.0</v>
      </c>
      <c r="H211" s="36">
        <v>122628.0</v>
      </c>
      <c r="I211" s="36">
        <v>114972.0</v>
      </c>
    </row>
    <row r="212">
      <c r="A212" s="2" t="s">
        <v>1248</v>
      </c>
      <c r="B212" s="2" t="s">
        <v>20</v>
      </c>
      <c r="C212" s="2" t="s">
        <v>9</v>
      </c>
      <c r="D212" s="36">
        <v>936.0</v>
      </c>
      <c r="E212" s="36">
        <v>12000.0</v>
      </c>
      <c r="F212" s="36">
        <v>6942.86</v>
      </c>
      <c r="G212" s="36">
        <v>1.1232E7</v>
      </c>
      <c r="H212" s="36">
        <v>6498517.0</v>
      </c>
      <c r="I212" s="36">
        <v>4733483.0</v>
      </c>
    </row>
    <row r="213">
      <c r="A213" s="2" t="s">
        <v>1249</v>
      </c>
      <c r="B213" s="2" t="s">
        <v>19</v>
      </c>
      <c r="C213" s="2" t="s">
        <v>8</v>
      </c>
      <c r="D213" s="36">
        <v>1596.0</v>
      </c>
      <c r="E213" s="36">
        <v>4250.0</v>
      </c>
      <c r="F213" s="36">
        <v>2670.0</v>
      </c>
      <c r="G213" s="36">
        <v>6783000.0</v>
      </c>
      <c r="H213" s="36">
        <v>4261320.0</v>
      </c>
      <c r="I213" s="36">
        <v>2521680.0</v>
      </c>
    </row>
    <row r="214">
      <c r="A214" s="2" t="s">
        <v>1250</v>
      </c>
      <c r="B214" s="2" t="s">
        <v>18</v>
      </c>
      <c r="C214" s="2" t="s">
        <v>6</v>
      </c>
      <c r="D214" s="36">
        <v>7.0</v>
      </c>
      <c r="E214" s="36">
        <v>1800.0</v>
      </c>
      <c r="F214" s="36">
        <v>929.0</v>
      </c>
      <c r="G214" s="36">
        <v>12600.0</v>
      </c>
      <c r="H214" s="36">
        <v>6503.0</v>
      </c>
      <c r="I214" s="36">
        <v>6097.0</v>
      </c>
    </row>
    <row r="215">
      <c r="A215" s="2" t="s">
        <v>1251</v>
      </c>
      <c r="B215" s="2" t="s">
        <v>20</v>
      </c>
      <c r="C215" s="2" t="s">
        <v>9</v>
      </c>
      <c r="D215" s="36">
        <v>175.0</v>
      </c>
      <c r="E215" s="36">
        <v>12000.0</v>
      </c>
      <c r="F215" s="36">
        <v>6942.86</v>
      </c>
      <c r="G215" s="36">
        <v>2100000.0</v>
      </c>
      <c r="H215" s="36">
        <v>1215000.0</v>
      </c>
      <c r="I215" s="36">
        <v>885000.0</v>
      </c>
    </row>
    <row r="216">
      <c r="A216" s="2" t="s">
        <v>1252</v>
      </c>
      <c r="B216" s="2" t="s">
        <v>19</v>
      </c>
      <c r="C216" s="2" t="s">
        <v>8</v>
      </c>
      <c r="D216" s="36">
        <v>2182.0</v>
      </c>
      <c r="E216" s="36">
        <v>4250.0</v>
      </c>
      <c r="F216" s="36">
        <v>2670.0</v>
      </c>
      <c r="G216" s="36">
        <v>9273500.0</v>
      </c>
      <c r="H216" s="36">
        <v>5825940.0</v>
      </c>
      <c r="I216" s="36">
        <v>3447560.0</v>
      </c>
    </row>
    <row r="217">
      <c r="A217" s="2" t="s">
        <v>1253</v>
      </c>
      <c r="B217" s="2" t="s">
        <v>18</v>
      </c>
      <c r="C217" s="2" t="s">
        <v>6</v>
      </c>
      <c r="D217" s="36">
        <v>2223.0</v>
      </c>
      <c r="E217" s="36">
        <v>1800.0</v>
      </c>
      <c r="F217" s="36">
        <v>929.0</v>
      </c>
      <c r="G217" s="36">
        <v>4001400.0</v>
      </c>
      <c r="H217" s="36">
        <v>2065167.0</v>
      </c>
      <c r="I217" s="36">
        <v>1936233.0</v>
      </c>
    </row>
    <row r="218">
      <c r="A218" s="2" t="s">
        <v>1254</v>
      </c>
      <c r="B218" s="2" t="s">
        <v>20</v>
      </c>
      <c r="C218" s="2" t="s">
        <v>9</v>
      </c>
      <c r="D218" s="36">
        <v>656.0</v>
      </c>
      <c r="E218" s="36">
        <v>12000.0</v>
      </c>
      <c r="F218" s="36">
        <v>6942.86</v>
      </c>
      <c r="G218" s="36">
        <v>7872000.0</v>
      </c>
      <c r="H218" s="36">
        <v>4554516.0</v>
      </c>
      <c r="I218" s="36">
        <v>3317484.0</v>
      </c>
    </row>
    <row r="219">
      <c r="A219" s="2" t="s">
        <v>1255</v>
      </c>
      <c r="B219" s="2" t="s">
        <v>19</v>
      </c>
      <c r="C219" s="2" t="s">
        <v>8</v>
      </c>
      <c r="D219" s="36">
        <v>244.0</v>
      </c>
      <c r="E219" s="36">
        <v>4250.0</v>
      </c>
      <c r="F219" s="36">
        <v>2670.0</v>
      </c>
      <c r="G219" s="36">
        <v>1037000.0</v>
      </c>
      <c r="H219" s="36">
        <v>651480.0</v>
      </c>
      <c r="I219" s="36">
        <v>385520.0</v>
      </c>
    </row>
    <row r="220">
      <c r="A220" s="2" t="s">
        <v>1256</v>
      </c>
      <c r="B220" s="2" t="s">
        <v>18</v>
      </c>
      <c r="C220" s="2" t="s">
        <v>6</v>
      </c>
      <c r="D220" s="36">
        <v>185.0</v>
      </c>
      <c r="E220" s="36">
        <v>1800.0</v>
      </c>
      <c r="F220" s="36">
        <v>929.0</v>
      </c>
      <c r="G220" s="36">
        <v>333000.0</v>
      </c>
      <c r="H220" s="36">
        <v>171865.0</v>
      </c>
      <c r="I220" s="36">
        <v>161135.0</v>
      </c>
    </row>
    <row r="221">
      <c r="A221" s="2" t="s">
        <v>1257</v>
      </c>
      <c r="B221" s="2" t="s">
        <v>20</v>
      </c>
      <c r="C221" s="2" t="s">
        <v>9</v>
      </c>
      <c r="D221" s="36">
        <v>936.0</v>
      </c>
      <c r="E221" s="36">
        <v>12000.0</v>
      </c>
      <c r="F221" s="36">
        <v>6942.86</v>
      </c>
      <c r="G221" s="36">
        <v>1.1232E7</v>
      </c>
      <c r="H221" s="36">
        <v>6498517.0</v>
      </c>
      <c r="I221" s="36">
        <v>4733483.0</v>
      </c>
    </row>
    <row r="222">
      <c r="A222" s="2" t="s">
        <v>1258</v>
      </c>
      <c r="B222" s="2" t="s">
        <v>19</v>
      </c>
      <c r="C222" s="2" t="s">
        <v>8</v>
      </c>
      <c r="D222" s="36">
        <v>1596.0</v>
      </c>
      <c r="E222" s="36">
        <v>4250.0</v>
      </c>
      <c r="F222" s="36">
        <v>2670.0</v>
      </c>
      <c r="G222" s="36">
        <v>6783000.0</v>
      </c>
      <c r="H222" s="36">
        <v>4261320.0</v>
      </c>
      <c r="I222" s="36">
        <v>2521680.0</v>
      </c>
    </row>
    <row r="223">
      <c r="A223" s="2" t="s">
        <v>1259</v>
      </c>
      <c r="B223" s="2" t="s">
        <v>18</v>
      </c>
      <c r="C223" s="2" t="s">
        <v>6</v>
      </c>
      <c r="D223" s="36">
        <v>7.0</v>
      </c>
      <c r="E223" s="36">
        <v>1800.0</v>
      </c>
      <c r="F223" s="36">
        <v>929.0</v>
      </c>
      <c r="G223" s="36">
        <v>12600.0</v>
      </c>
      <c r="H223" s="36">
        <v>6503.0</v>
      </c>
      <c r="I223" s="36">
        <v>6097.0</v>
      </c>
    </row>
    <row r="224">
      <c r="A224" s="2" t="s">
        <v>1260</v>
      </c>
      <c r="B224" s="2" t="s">
        <v>20</v>
      </c>
      <c r="C224" s="2" t="s">
        <v>9</v>
      </c>
      <c r="D224" s="36">
        <v>175.0</v>
      </c>
      <c r="E224" s="36">
        <v>12000.0</v>
      </c>
      <c r="F224" s="36">
        <v>6942.86</v>
      </c>
      <c r="G224" s="36">
        <v>2100000.0</v>
      </c>
      <c r="H224" s="36">
        <v>1215000.0</v>
      </c>
      <c r="I224" s="36">
        <v>885000.0</v>
      </c>
    </row>
    <row r="225">
      <c r="A225" s="2" t="s">
        <v>1261</v>
      </c>
      <c r="B225" s="2" t="s">
        <v>19</v>
      </c>
      <c r="C225" s="2" t="s">
        <v>8</v>
      </c>
      <c r="D225" s="36">
        <v>2182.0</v>
      </c>
      <c r="E225" s="36">
        <v>4250.0</v>
      </c>
      <c r="F225" s="36">
        <v>2670.0</v>
      </c>
      <c r="G225" s="36">
        <v>9273500.0</v>
      </c>
      <c r="H225" s="36">
        <v>5825940.0</v>
      </c>
      <c r="I225" s="36">
        <v>3447560.0</v>
      </c>
    </row>
    <row r="226">
      <c r="A226" s="2" t="s">
        <v>1262</v>
      </c>
      <c r="B226" s="2" t="s">
        <v>18</v>
      </c>
      <c r="C226" s="2" t="s">
        <v>6</v>
      </c>
      <c r="D226" s="36">
        <v>2223.0</v>
      </c>
      <c r="E226" s="36">
        <v>1800.0</v>
      </c>
      <c r="F226" s="36">
        <v>929.0</v>
      </c>
      <c r="G226" s="36">
        <v>4001400.0</v>
      </c>
      <c r="H226" s="36">
        <v>2065167.0</v>
      </c>
      <c r="I226" s="36">
        <v>1936233.0</v>
      </c>
    </row>
    <row r="227">
      <c r="A227" s="2" t="s">
        <v>1263</v>
      </c>
      <c r="B227" s="2" t="s">
        <v>20</v>
      </c>
      <c r="C227" s="2" t="s">
        <v>9</v>
      </c>
      <c r="D227" s="36">
        <v>656.0</v>
      </c>
      <c r="E227" s="36">
        <v>12000.0</v>
      </c>
      <c r="F227" s="36">
        <v>6942.86</v>
      </c>
      <c r="G227" s="36">
        <v>7872000.0</v>
      </c>
      <c r="H227" s="36">
        <v>4554516.0</v>
      </c>
      <c r="I227" s="36">
        <v>3317484.0</v>
      </c>
    </row>
    <row r="228">
      <c r="A228" s="2" t="s">
        <v>1264</v>
      </c>
      <c r="B228" s="2" t="s">
        <v>19</v>
      </c>
      <c r="C228" s="2" t="s">
        <v>8</v>
      </c>
      <c r="D228" s="36">
        <v>244.0</v>
      </c>
      <c r="E228" s="36">
        <v>4250.0</v>
      </c>
      <c r="F228" s="36">
        <v>2670.0</v>
      </c>
      <c r="G228" s="36">
        <v>1037000.0</v>
      </c>
      <c r="H228" s="36">
        <v>651480.0</v>
      </c>
      <c r="I228" s="36">
        <v>385520.0</v>
      </c>
    </row>
    <row r="229">
      <c r="A229" s="2" t="s">
        <v>1265</v>
      </c>
      <c r="B229" s="2" t="s">
        <v>18</v>
      </c>
      <c r="C229" s="2" t="s">
        <v>6</v>
      </c>
      <c r="D229" s="36">
        <v>185.0</v>
      </c>
      <c r="E229" s="36">
        <v>1800.0</v>
      </c>
      <c r="F229" s="36">
        <v>929.0</v>
      </c>
      <c r="G229" s="36">
        <v>333000.0</v>
      </c>
      <c r="H229" s="36">
        <v>171865.0</v>
      </c>
      <c r="I229" s="36">
        <v>161135.0</v>
      </c>
    </row>
    <row r="230">
      <c r="A230" s="2" t="s">
        <v>1266</v>
      </c>
      <c r="B230" s="2" t="s">
        <v>20</v>
      </c>
      <c r="C230" s="2" t="s">
        <v>9</v>
      </c>
      <c r="D230" s="36">
        <v>204.0</v>
      </c>
      <c r="E230" s="36">
        <v>12000.0</v>
      </c>
      <c r="F230" s="36">
        <v>6942.86</v>
      </c>
      <c r="G230" s="36">
        <v>2448000.0</v>
      </c>
      <c r="H230" s="36">
        <v>1416343.0</v>
      </c>
      <c r="I230" s="36">
        <v>1031657.0</v>
      </c>
    </row>
    <row r="231">
      <c r="A231" s="2" t="s">
        <v>1267</v>
      </c>
      <c r="B231" s="2" t="s">
        <v>19</v>
      </c>
      <c r="C231" s="2" t="s">
        <v>8</v>
      </c>
      <c r="D231" s="36">
        <v>495.0</v>
      </c>
      <c r="E231" s="36">
        <v>4250.0</v>
      </c>
      <c r="F231" s="36">
        <v>2670.0</v>
      </c>
      <c r="G231" s="36">
        <v>2103750.0</v>
      </c>
      <c r="H231" s="36">
        <v>1321650.0</v>
      </c>
      <c r="I231" s="36">
        <v>782100.0</v>
      </c>
    </row>
    <row r="232">
      <c r="A232" s="2" t="s">
        <v>1268</v>
      </c>
      <c r="B232" s="2" t="s">
        <v>18</v>
      </c>
      <c r="C232" s="2" t="s">
        <v>6</v>
      </c>
      <c r="D232" s="36">
        <v>485.0</v>
      </c>
      <c r="E232" s="36">
        <v>1800.0</v>
      </c>
      <c r="F232" s="36">
        <v>929.0</v>
      </c>
      <c r="G232" s="36">
        <v>873000.0</v>
      </c>
      <c r="H232" s="36">
        <v>450565.0</v>
      </c>
      <c r="I232" s="36">
        <v>422435.0</v>
      </c>
    </row>
    <row r="233">
      <c r="A233" s="2" t="s">
        <v>1269</v>
      </c>
      <c r="B233" s="2" t="s">
        <v>20</v>
      </c>
      <c r="C233" s="2" t="s">
        <v>9</v>
      </c>
      <c r="D233" s="36">
        <v>255.0</v>
      </c>
      <c r="E233" s="36">
        <v>12000.0</v>
      </c>
      <c r="F233" s="36">
        <v>6942.86</v>
      </c>
      <c r="G233" s="36">
        <v>3060000.0</v>
      </c>
      <c r="H233" s="36">
        <v>1770429.0</v>
      </c>
      <c r="I233" s="36">
        <v>1289571.0</v>
      </c>
    </row>
    <row r="234">
      <c r="A234" s="2" t="s">
        <v>1269</v>
      </c>
      <c r="B234" s="2" t="s">
        <v>19</v>
      </c>
      <c r="C234" s="2" t="s">
        <v>8</v>
      </c>
      <c r="D234" s="36">
        <v>894.0</v>
      </c>
      <c r="E234" s="36">
        <v>4250.0</v>
      </c>
      <c r="F234" s="36">
        <v>2670.0</v>
      </c>
      <c r="G234" s="36">
        <v>3799500.0</v>
      </c>
      <c r="H234" s="36">
        <v>2386980.0</v>
      </c>
      <c r="I234" s="36">
        <v>1412520.0</v>
      </c>
    </row>
    <row r="235">
      <c r="A235" s="2" t="s">
        <v>1270</v>
      </c>
      <c r="B235" s="2" t="s">
        <v>18</v>
      </c>
      <c r="C235" s="2" t="s">
        <v>6</v>
      </c>
      <c r="D235" s="36">
        <v>518.0</v>
      </c>
      <c r="E235" s="36">
        <v>1800.0</v>
      </c>
      <c r="F235" s="36">
        <v>929.0</v>
      </c>
      <c r="G235" s="36">
        <v>932400.0</v>
      </c>
      <c r="H235" s="36">
        <v>481222.0</v>
      </c>
      <c r="I235" s="36">
        <v>451178.0</v>
      </c>
    </row>
    <row r="236">
      <c r="A236" s="2" t="s">
        <v>1271</v>
      </c>
      <c r="B236" s="2" t="s">
        <v>20</v>
      </c>
      <c r="C236" s="2" t="s">
        <v>9</v>
      </c>
      <c r="D236" s="36">
        <v>889.0</v>
      </c>
      <c r="E236" s="36">
        <v>12000.0</v>
      </c>
      <c r="F236" s="36">
        <v>6942.86</v>
      </c>
      <c r="G236" s="36">
        <v>1.0668E7</v>
      </c>
      <c r="H236" s="36">
        <v>6172203.0</v>
      </c>
      <c r="I236" s="36">
        <v>4495797.0</v>
      </c>
    </row>
    <row r="237">
      <c r="A237" s="2" t="s">
        <v>1272</v>
      </c>
      <c r="B237" s="2" t="s">
        <v>19</v>
      </c>
      <c r="C237" s="2" t="s">
        <v>8</v>
      </c>
      <c r="D237" s="36">
        <v>1384.0</v>
      </c>
      <c r="E237" s="36">
        <v>4250.0</v>
      </c>
      <c r="F237" s="36">
        <v>2670.0</v>
      </c>
      <c r="G237" s="36">
        <v>5882000.0</v>
      </c>
      <c r="H237" s="36">
        <v>3695280.0</v>
      </c>
      <c r="I237" s="36">
        <v>2186720.0</v>
      </c>
    </row>
    <row r="238">
      <c r="A238" s="2" t="s">
        <v>1273</v>
      </c>
      <c r="B238" s="2" t="s">
        <v>18</v>
      </c>
      <c r="C238" s="2" t="s">
        <v>6</v>
      </c>
      <c r="D238" s="36">
        <v>186.0</v>
      </c>
      <c r="E238" s="36">
        <v>1800.0</v>
      </c>
      <c r="F238" s="36">
        <v>929.0</v>
      </c>
      <c r="G238" s="36">
        <v>334800.0</v>
      </c>
      <c r="H238" s="36">
        <v>172794.0</v>
      </c>
      <c r="I238" s="36">
        <v>162006.0</v>
      </c>
    </row>
    <row r="239">
      <c r="A239" s="2" t="s">
        <v>1274</v>
      </c>
      <c r="B239" s="2" t="s">
        <v>20</v>
      </c>
      <c r="C239" s="2" t="s">
        <v>9</v>
      </c>
      <c r="D239" s="36">
        <v>73.0</v>
      </c>
      <c r="E239" s="36">
        <v>12000.0</v>
      </c>
      <c r="F239" s="36">
        <v>6942.86</v>
      </c>
      <c r="G239" s="36">
        <v>876000.0</v>
      </c>
      <c r="H239" s="36">
        <v>506829.0</v>
      </c>
      <c r="I239" s="36">
        <v>369171.0</v>
      </c>
    </row>
    <row r="240">
      <c r="A240" s="2" t="s">
        <v>1275</v>
      </c>
      <c r="B240" s="2" t="s">
        <v>19</v>
      </c>
      <c r="C240" s="2" t="s">
        <v>8</v>
      </c>
      <c r="D240" s="36">
        <v>1272.0</v>
      </c>
      <c r="E240" s="36">
        <v>4250.0</v>
      </c>
      <c r="F240" s="36">
        <v>2670.0</v>
      </c>
      <c r="G240" s="36">
        <v>5406000.0</v>
      </c>
      <c r="H240" s="36">
        <v>3396240.0</v>
      </c>
      <c r="I240" s="36">
        <v>2009760.0</v>
      </c>
    </row>
    <row r="241">
      <c r="A241" s="2" t="s">
        <v>1276</v>
      </c>
      <c r="B241" s="2" t="s">
        <v>18</v>
      </c>
      <c r="C241" s="2" t="s">
        <v>6</v>
      </c>
      <c r="D241" s="36">
        <v>135.0</v>
      </c>
      <c r="E241" s="36">
        <v>1800.0</v>
      </c>
      <c r="F241" s="36">
        <v>929.0</v>
      </c>
      <c r="G241" s="36">
        <v>243000.0</v>
      </c>
      <c r="H241" s="36">
        <v>125415.0</v>
      </c>
      <c r="I241" s="36">
        <v>117585.0</v>
      </c>
    </row>
    <row r="242">
      <c r="A242" s="2" t="s">
        <v>1277</v>
      </c>
      <c r="B242" s="2" t="s">
        <v>20</v>
      </c>
      <c r="C242" s="2" t="s">
        <v>9</v>
      </c>
      <c r="D242" s="36">
        <v>2224.0</v>
      </c>
      <c r="E242" s="36">
        <v>12000.0</v>
      </c>
      <c r="F242" s="36">
        <v>6942.86</v>
      </c>
      <c r="G242" s="36">
        <v>2.6688E7</v>
      </c>
      <c r="H242" s="36">
        <v>1.5440921E7</v>
      </c>
      <c r="I242" s="36">
        <v>1.1247079E7</v>
      </c>
    </row>
    <row r="243">
      <c r="A243" s="2" t="s">
        <v>1278</v>
      </c>
      <c r="B243" s="2" t="s">
        <v>19</v>
      </c>
      <c r="C243" s="2" t="s">
        <v>8</v>
      </c>
      <c r="D243" s="36">
        <v>745.0</v>
      </c>
      <c r="E243" s="36">
        <v>4250.0</v>
      </c>
      <c r="F243" s="36">
        <v>2670.0</v>
      </c>
      <c r="G243" s="36">
        <v>3166250.0</v>
      </c>
      <c r="H243" s="36">
        <v>1989150.0</v>
      </c>
      <c r="I243" s="36">
        <v>1177100.0</v>
      </c>
    </row>
    <row r="244">
      <c r="A244" s="2" t="s">
        <v>1279</v>
      </c>
      <c r="B244" s="2" t="s">
        <v>18</v>
      </c>
      <c r="C244" s="2" t="s">
        <v>6</v>
      </c>
      <c r="D244" s="36">
        <v>108.0</v>
      </c>
      <c r="E244" s="36">
        <v>1800.0</v>
      </c>
      <c r="F244" s="36">
        <v>929.0</v>
      </c>
      <c r="G244" s="36">
        <v>194400.0</v>
      </c>
      <c r="H244" s="36">
        <v>100332.0</v>
      </c>
      <c r="I244" s="36">
        <v>94068.0</v>
      </c>
    </row>
    <row r="245">
      <c r="A245" s="2" t="s">
        <v>1280</v>
      </c>
      <c r="B245" s="2" t="s">
        <v>18</v>
      </c>
      <c r="C245" s="2" t="s">
        <v>6</v>
      </c>
      <c r="D245" s="36">
        <v>2144.0</v>
      </c>
      <c r="E245" s="36">
        <v>1800.0</v>
      </c>
      <c r="F245" s="36">
        <v>929.0</v>
      </c>
      <c r="G245" s="36">
        <v>3859200.0</v>
      </c>
      <c r="H245" s="36">
        <v>1991776.0</v>
      </c>
      <c r="I245" s="36">
        <v>1867424.0</v>
      </c>
    </row>
    <row r="246">
      <c r="A246" s="2" t="s">
        <v>1280</v>
      </c>
      <c r="B246" s="2" t="s">
        <v>19</v>
      </c>
      <c r="C246" s="2" t="s">
        <v>8</v>
      </c>
      <c r="D246" s="36">
        <v>454.0</v>
      </c>
      <c r="E246" s="36">
        <v>4250.0</v>
      </c>
      <c r="F246" s="36">
        <v>2670.0</v>
      </c>
      <c r="G246" s="36">
        <v>1929500.0</v>
      </c>
      <c r="H246" s="36">
        <v>1212180.0</v>
      </c>
      <c r="I246" s="36">
        <v>717320.0</v>
      </c>
    </row>
    <row r="247">
      <c r="A247" s="2" t="s">
        <v>1280</v>
      </c>
      <c r="B247" s="2" t="s">
        <v>20</v>
      </c>
      <c r="C247" s="2" t="s">
        <v>9</v>
      </c>
      <c r="D247" s="36">
        <v>673.0</v>
      </c>
      <c r="E247" s="36">
        <v>12000.0</v>
      </c>
      <c r="F247" s="36">
        <v>6942.86</v>
      </c>
      <c r="G247" s="36">
        <v>8076000.0</v>
      </c>
      <c r="H247" s="36">
        <v>4672545.0</v>
      </c>
      <c r="I247" s="36">
        <v>3403455.0</v>
      </c>
    </row>
    <row r="248">
      <c r="A248" s="2" t="s">
        <v>1281</v>
      </c>
      <c r="B248" s="2" t="s">
        <v>20</v>
      </c>
      <c r="C248" s="2" t="s">
        <v>9</v>
      </c>
      <c r="D248" s="36">
        <v>205.0</v>
      </c>
      <c r="E248" s="36">
        <v>12000.0</v>
      </c>
      <c r="F248" s="36">
        <v>6942.86</v>
      </c>
      <c r="G248" s="36">
        <v>2460000.0</v>
      </c>
      <c r="H248" s="36">
        <v>1423286.0</v>
      </c>
      <c r="I248" s="36">
        <v>1036714.0</v>
      </c>
    </row>
    <row r="249">
      <c r="A249" s="2" t="s">
        <v>1282</v>
      </c>
      <c r="B249" s="2" t="s">
        <v>19</v>
      </c>
      <c r="C249" s="2" t="s">
        <v>8</v>
      </c>
      <c r="D249" s="36">
        <v>2108.0</v>
      </c>
      <c r="E249" s="36">
        <v>4250.0</v>
      </c>
      <c r="F249" s="36">
        <v>2670.0</v>
      </c>
      <c r="G249" s="36">
        <v>8959000.0</v>
      </c>
      <c r="H249" s="36">
        <v>5628360.0</v>
      </c>
      <c r="I249" s="36">
        <v>3330640.0</v>
      </c>
    </row>
    <row r="250">
      <c r="A250" s="2" t="s">
        <v>1283</v>
      </c>
      <c r="B250" s="2" t="s">
        <v>18</v>
      </c>
      <c r="C250" s="2" t="s">
        <v>6</v>
      </c>
      <c r="D250" s="36">
        <v>664.0</v>
      </c>
      <c r="E250" s="36">
        <v>1800.0</v>
      </c>
      <c r="F250" s="36">
        <v>929.0</v>
      </c>
      <c r="G250" s="36">
        <v>1195200.0</v>
      </c>
      <c r="H250" s="36">
        <v>616856.0</v>
      </c>
      <c r="I250" s="36">
        <v>578344.0</v>
      </c>
    </row>
    <row r="251">
      <c r="A251" s="2" t="s">
        <v>1284</v>
      </c>
      <c r="B251" s="2" t="s">
        <v>20</v>
      </c>
      <c r="C251" s="2" t="s">
        <v>9</v>
      </c>
      <c r="D251" s="36">
        <v>465.0</v>
      </c>
      <c r="E251" s="36">
        <v>12000.0</v>
      </c>
      <c r="F251" s="36">
        <v>6942.86</v>
      </c>
      <c r="G251" s="36">
        <v>5580000.0</v>
      </c>
      <c r="H251" s="36">
        <v>3228430.0</v>
      </c>
      <c r="I251" s="36">
        <v>2351570.0</v>
      </c>
    </row>
    <row r="252">
      <c r="A252" s="2" t="s">
        <v>1285</v>
      </c>
      <c r="B252" s="2" t="s">
        <v>19</v>
      </c>
      <c r="C252" s="2" t="s">
        <v>8</v>
      </c>
      <c r="D252" s="36">
        <v>292.0</v>
      </c>
      <c r="E252" s="36">
        <v>4250.0</v>
      </c>
      <c r="F252" s="36">
        <v>2670.0</v>
      </c>
      <c r="G252" s="36">
        <v>1241000.0</v>
      </c>
      <c r="H252" s="36">
        <v>779640.0</v>
      </c>
      <c r="I252" s="36">
        <v>461360.0</v>
      </c>
    </row>
    <row r="253">
      <c r="A253" s="2" t="s">
        <v>1286</v>
      </c>
      <c r="B253" s="2" t="s">
        <v>18</v>
      </c>
      <c r="C253" s="2" t="s">
        <v>6</v>
      </c>
      <c r="D253" s="36">
        <v>2446.0</v>
      </c>
      <c r="E253" s="36">
        <v>1800.0</v>
      </c>
      <c r="F253" s="36">
        <v>929.0</v>
      </c>
      <c r="G253" s="36">
        <v>4402800.0</v>
      </c>
      <c r="H253" s="36">
        <v>2272334.0</v>
      </c>
      <c r="I253" s="36">
        <v>2130466.0</v>
      </c>
    </row>
    <row r="254">
      <c r="A254" s="2" t="s">
        <v>1287</v>
      </c>
      <c r="B254" s="2" t="s">
        <v>20</v>
      </c>
      <c r="C254" s="2" t="s">
        <v>9</v>
      </c>
      <c r="D254" s="36">
        <v>978.0</v>
      </c>
      <c r="E254" s="36">
        <v>12000.0</v>
      </c>
      <c r="F254" s="36">
        <v>6942.86</v>
      </c>
      <c r="G254" s="36">
        <v>1.1736E7</v>
      </c>
      <c r="H254" s="36">
        <v>6790117.0</v>
      </c>
      <c r="I254" s="36">
        <v>4945883.0</v>
      </c>
    </row>
    <row r="255">
      <c r="A255" s="2" t="s">
        <v>1288</v>
      </c>
      <c r="B255" s="2" t="s">
        <v>19</v>
      </c>
      <c r="C255" s="2" t="s">
        <v>8</v>
      </c>
      <c r="D255" s="36">
        <v>176.0</v>
      </c>
      <c r="E255" s="36">
        <v>4250.0</v>
      </c>
      <c r="F255" s="36">
        <v>2670.0</v>
      </c>
      <c r="G255" s="36">
        <v>748000.0</v>
      </c>
      <c r="H255" s="36">
        <v>469920.0</v>
      </c>
      <c r="I255" s="36">
        <v>278080.0</v>
      </c>
    </row>
    <row r="256">
      <c r="A256" s="2" t="s">
        <v>1289</v>
      </c>
      <c r="B256" s="2" t="s">
        <v>18</v>
      </c>
      <c r="C256" s="2" t="s">
        <v>6</v>
      </c>
      <c r="D256" s="36">
        <v>206.0</v>
      </c>
      <c r="E256" s="36">
        <v>1800.0</v>
      </c>
      <c r="F256" s="36">
        <v>929.0</v>
      </c>
      <c r="G256" s="36">
        <v>370800.0</v>
      </c>
      <c r="H256" s="36">
        <v>191374.0</v>
      </c>
      <c r="I256" s="36">
        <v>179426.0</v>
      </c>
    </row>
    <row r="257">
      <c r="A257" s="2" t="s">
        <v>1290</v>
      </c>
      <c r="B257" s="2" t="s">
        <v>20</v>
      </c>
      <c r="C257" s="2" t="s">
        <v>9</v>
      </c>
      <c r="D257" s="36">
        <v>225.0</v>
      </c>
      <c r="E257" s="36">
        <v>12000.0</v>
      </c>
      <c r="F257" s="36">
        <v>6942.86</v>
      </c>
      <c r="G257" s="36">
        <v>2700000.0</v>
      </c>
      <c r="H257" s="36">
        <v>1562144.0</v>
      </c>
      <c r="I257" s="36">
        <v>1137856.0</v>
      </c>
    </row>
    <row r="258">
      <c r="A258" s="2" t="s">
        <v>1291</v>
      </c>
      <c r="B258" s="2" t="s">
        <v>19</v>
      </c>
      <c r="C258" s="2" t="s">
        <v>8</v>
      </c>
      <c r="D258" s="36">
        <v>1752.0</v>
      </c>
      <c r="E258" s="36">
        <v>4250.0</v>
      </c>
      <c r="F258" s="36">
        <v>2670.0</v>
      </c>
      <c r="G258" s="36">
        <v>7446000.0</v>
      </c>
      <c r="H258" s="36">
        <v>4677840.0</v>
      </c>
      <c r="I258" s="36">
        <v>2768160.0</v>
      </c>
    </row>
    <row r="259">
      <c r="A259" s="2" t="s">
        <v>1292</v>
      </c>
      <c r="B259" s="2" t="s">
        <v>18</v>
      </c>
      <c r="C259" s="2" t="s">
        <v>6</v>
      </c>
      <c r="D259" s="36">
        <v>98.0</v>
      </c>
      <c r="E259" s="36">
        <v>1800.0</v>
      </c>
      <c r="F259" s="36">
        <v>929.0</v>
      </c>
      <c r="G259" s="36">
        <v>176400.0</v>
      </c>
      <c r="H259" s="36">
        <v>91042.0</v>
      </c>
      <c r="I259" s="36">
        <v>85358.0</v>
      </c>
    </row>
    <row r="260">
      <c r="A260" s="2" t="s">
        <v>1293</v>
      </c>
      <c r="B260" s="2" t="s">
        <v>18</v>
      </c>
      <c r="C260" s="2" t="s">
        <v>6</v>
      </c>
      <c r="D260" s="36">
        <v>382.0</v>
      </c>
      <c r="E260" s="36">
        <v>1800.0</v>
      </c>
      <c r="F260" s="36">
        <v>929.0</v>
      </c>
      <c r="G260" s="36">
        <v>687600.0</v>
      </c>
      <c r="H260" s="36">
        <v>354878.0</v>
      </c>
      <c r="I260" s="36">
        <v>332722.0</v>
      </c>
    </row>
    <row r="261">
      <c r="A261" s="2" t="s">
        <v>1293</v>
      </c>
      <c r="B261" s="2" t="s">
        <v>19</v>
      </c>
      <c r="C261" s="2" t="s">
        <v>8</v>
      </c>
      <c r="D261" s="36">
        <v>153.0</v>
      </c>
      <c r="E261" s="36">
        <v>4250.0</v>
      </c>
      <c r="F261" s="36">
        <v>2670.0</v>
      </c>
      <c r="G261" s="36">
        <v>650250.0</v>
      </c>
      <c r="H261" s="36">
        <v>408510.0</v>
      </c>
      <c r="I261" s="36">
        <v>241740.0</v>
      </c>
    </row>
    <row r="262">
      <c r="A262" s="2" t="s">
        <v>1294</v>
      </c>
      <c r="B262" s="2" t="s">
        <v>20</v>
      </c>
      <c r="C262" s="2" t="s">
        <v>9</v>
      </c>
      <c r="D262" s="36">
        <v>370.0</v>
      </c>
      <c r="E262" s="36">
        <v>12000.0</v>
      </c>
      <c r="F262" s="36">
        <v>6942.86</v>
      </c>
      <c r="G262" s="36">
        <v>4440000.0</v>
      </c>
      <c r="H262" s="36">
        <v>2568858.0</v>
      </c>
      <c r="I262" s="36">
        <v>1871142.0</v>
      </c>
    </row>
    <row r="263">
      <c r="A263" s="2" t="s">
        <v>1295</v>
      </c>
      <c r="B263" s="2" t="s">
        <v>20</v>
      </c>
      <c r="C263" s="2" t="s">
        <v>9</v>
      </c>
      <c r="D263" s="36">
        <v>234.0</v>
      </c>
      <c r="E263" s="36">
        <v>12000.0</v>
      </c>
      <c r="F263" s="36">
        <v>6942.86</v>
      </c>
      <c r="G263" s="36">
        <v>2808000.0</v>
      </c>
      <c r="H263" s="36">
        <v>1624629.0</v>
      </c>
      <c r="I263" s="36">
        <v>1183371.0</v>
      </c>
    </row>
    <row r="264">
      <c r="A264" s="2" t="s">
        <v>1295</v>
      </c>
      <c r="B264" s="2" t="s">
        <v>19</v>
      </c>
      <c r="C264" s="2" t="s">
        <v>8</v>
      </c>
      <c r="D264" s="36">
        <v>184.0</v>
      </c>
      <c r="E264" s="36">
        <v>4250.0</v>
      </c>
      <c r="F264" s="36">
        <v>2670.0</v>
      </c>
      <c r="G264" s="36">
        <v>782000.0</v>
      </c>
      <c r="H264" s="36">
        <v>491280.0</v>
      </c>
      <c r="I264" s="36">
        <v>290720.0</v>
      </c>
    </row>
    <row r="265">
      <c r="A265" s="2" t="s">
        <v>1296</v>
      </c>
      <c r="B265" s="2" t="s">
        <v>18</v>
      </c>
      <c r="C265" s="2" t="s">
        <v>6</v>
      </c>
      <c r="D265" s="36">
        <v>1391.0</v>
      </c>
      <c r="E265" s="36">
        <v>1800.0</v>
      </c>
      <c r="F265" s="36">
        <v>929.0</v>
      </c>
      <c r="G265" s="36">
        <v>2503800.0</v>
      </c>
      <c r="H265" s="36">
        <v>1292239.0</v>
      </c>
      <c r="I265" s="36">
        <v>1211561.0</v>
      </c>
    </row>
    <row r="266">
      <c r="A266" s="2" t="s">
        <v>1297</v>
      </c>
      <c r="B266" s="2" t="s">
        <v>20</v>
      </c>
      <c r="C266" s="2" t="s">
        <v>9</v>
      </c>
      <c r="D266" s="36">
        <v>31.0</v>
      </c>
      <c r="E266" s="36">
        <v>12000.0</v>
      </c>
      <c r="F266" s="36">
        <v>6942.86</v>
      </c>
      <c r="G266" s="36">
        <v>372000.0</v>
      </c>
      <c r="H266" s="36">
        <v>215229.0</v>
      </c>
      <c r="I266" s="36">
        <v>156771.0</v>
      </c>
    </row>
    <row r="267">
      <c r="A267" s="2" t="s">
        <v>1298</v>
      </c>
      <c r="B267" s="2" t="s">
        <v>19</v>
      </c>
      <c r="C267" s="2" t="s">
        <v>8</v>
      </c>
      <c r="D267" s="36">
        <v>414.0</v>
      </c>
      <c r="E267" s="36">
        <v>4250.0</v>
      </c>
      <c r="F267" s="36">
        <v>2670.0</v>
      </c>
      <c r="G267" s="36">
        <v>1759500.0</v>
      </c>
      <c r="H267" s="36">
        <v>1105380.0</v>
      </c>
      <c r="I267" s="36">
        <v>654120.0</v>
      </c>
    </row>
    <row r="268">
      <c r="A268" s="2" t="s">
        <v>1299</v>
      </c>
      <c r="B268" s="2" t="s">
        <v>18</v>
      </c>
      <c r="C268" s="2" t="s">
        <v>6</v>
      </c>
      <c r="D268" s="36">
        <v>134.0</v>
      </c>
      <c r="E268" s="36">
        <v>1800.0</v>
      </c>
      <c r="F268" s="36">
        <v>929.0</v>
      </c>
      <c r="G268" s="36">
        <v>241200.0</v>
      </c>
      <c r="H268" s="36">
        <v>124486.0</v>
      </c>
      <c r="I268" s="36">
        <v>116714.0</v>
      </c>
    </row>
    <row r="269">
      <c r="A269" s="2" t="s">
        <v>1300</v>
      </c>
      <c r="B269" s="2" t="s">
        <v>20</v>
      </c>
      <c r="C269" s="2" t="s">
        <v>9</v>
      </c>
      <c r="D269" s="36">
        <v>464.0</v>
      </c>
      <c r="E269" s="36">
        <v>12000.0</v>
      </c>
      <c r="F269" s="36">
        <v>6942.86</v>
      </c>
      <c r="G269" s="36">
        <v>5568000.0</v>
      </c>
      <c r="H269" s="36">
        <v>3221487.0</v>
      </c>
      <c r="I269" s="36">
        <v>2346513.0</v>
      </c>
    </row>
    <row r="270">
      <c r="A270" s="2" t="s">
        <v>1300</v>
      </c>
      <c r="B270" s="2" t="s">
        <v>19</v>
      </c>
      <c r="C270" s="2" t="s">
        <v>8</v>
      </c>
      <c r="D270" s="36">
        <v>107.0</v>
      </c>
      <c r="E270" s="36">
        <v>4250.0</v>
      </c>
      <c r="F270" s="36">
        <v>2670.0</v>
      </c>
      <c r="G270" s="36">
        <v>454750.0</v>
      </c>
      <c r="H270" s="36">
        <v>285690.0</v>
      </c>
      <c r="I270" s="36">
        <v>169060.0</v>
      </c>
    </row>
    <row r="271">
      <c r="A271" s="2" t="s">
        <v>1301</v>
      </c>
      <c r="B271" s="2" t="s">
        <v>18</v>
      </c>
      <c r="C271" s="2" t="s">
        <v>6</v>
      </c>
      <c r="D271" s="36">
        <v>1302.0</v>
      </c>
      <c r="E271" s="36">
        <v>1800.0</v>
      </c>
      <c r="F271" s="36">
        <v>929.0</v>
      </c>
      <c r="G271" s="36">
        <v>2343600.0</v>
      </c>
      <c r="H271" s="36">
        <v>1209558.0</v>
      </c>
      <c r="I271" s="36">
        <v>1134042.0</v>
      </c>
    </row>
    <row r="272">
      <c r="A272" s="2" t="s">
        <v>1302</v>
      </c>
      <c r="B272" s="2" t="s">
        <v>18</v>
      </c>
      <c r="C272" s="2" t="s">
        <v>6</v>
      </c>
      <c r="D272" s="36">
        <v>643.0</v>
      </c>
      <c r="E272" s="36">
        <v>1800.0</v>
      </c>
      <c r="F272" s="36">
        <v>929.0</v>
      </c>
      <c r="G272" s="36">
        <v>1157400.0</v>
      </c>
      <c r="H272" s="36">
        <v>597347.0</v>
      </c>
      <c r="I272" s="36">
        <v>560053.0</v>
      </c>
    </row>
    <row r="273">
      <c r="A273" s="2" t="s">
        <v>1302</v>
      </c>
      <c r="B273" s="2" t="s">
        <v>19</v>
      </c>
      <c r="C273" s="2" t="s">
        <v>8</v>
      </c>
      <c r="D273" s="36">
        <v>145.0</v>
      </c>
      <c r="E273" s="36">
        <v>4250.0</v>
      </c>
      <c r="F273" s="36">
        <v>2670.0</v>
      </c>
      <c r="G273" s="36">
        <v>616250.0</v>
      </c>
      <c r="H273" s="36">
        <v>387150.0</v>
      </c>
      <c r="I273" s="36">
        <v>229100.0</v>
      </c>
    </row>
    <row r="274">
      <c r="A274" s="2" t="s">
        <v>1302</v>
      </c>
      <c r="B274" s="2" t="s">
        <v>20</v>
      </c>
      <c r="C274" s="2" t="s">
        <v>9</v>
      </c>
      <c r="D274" s="36">
        <v>402.0</v>
      </c>
      <c r="E274" s="36">
        <v>12000.0</v>
      </c>
      <c r="F274" s="36">
        <v>6942.86</v>
      </c>
      <c r="G274" s="36">
        <v>4824000.0</v>
      </c>
      <c r="H274" s="36">
        <v>2791030.0</v>
      </c>
      <c r="I274" s="36">
        <v>2032970.0</v>
      </c>
    </row>
    <row r="275">
      <c r="A275" s="2" t="s">
        <v>1303</v>
      </c>
      <c r="B275" s="2" t="s">
        <v>20</v>
      </c>
      <c r="C275" s="2" t="s">
        <v>9</v>
      </c>
      <c r="D275" s="36">
        <v>402.0</v>
      </c>
      <c r="E275" s="36">
        <v>12000.0</v>
      </c>
      <c r="F275" s="36">
        <v>6942.86</v>
      </c>
      <c r="G275" s="36">
        <v>4824000.0</v>
      </c>
      <c r="H275" s="36">
        <v>2791030.0</v>
      </c>
      <c r="I275" s="36">
        <v>2032970.0</v>
      </c>
    </row>
    <row r="276">
      <c r="A276" s="2" t="s">
        <v>1304</v>
      </c>
      <c r="B276" s="2" t="s">
        <v>19</v>
      </c>
      <c r="C276" s="2" t="s">
        <v>8</v>
      </c>
      <c r="D276" s="36">
        <v>145.0</v>
      </c>
      <c r="E276" s="36">
        <v>4250.0</v>
      </c>
      <c r="F276" s="36">
        <v>2670.0</v>
      </c>
      <c r="G276" s="36">
        <v>616250.0</v>
      </c>
      <c r="H276" s="36">
        <v>387150.0</v>
      </c>
      <c r="I276" s="36">
        <v>229100.0</v>
      </c>
    </row>
    <row r="277">
      <c r="A277" s="2" t="s">
        <v>1305</v>
      </c>
      <c r="B277" s="2" t="s">
        <v>18</v>
      </c>
      <c r="C277" s="2" t="s">
        <v>6</v>
      </c>
      <c r="D277" s="36">
        <v>643.0</v>
      </c>
      <c r="E277" s="36">
        <v>1800.0</v>
      </c>
      <c r="F277" s="36">
        <v>929.0</v>
      </c>
      <c r="G277" s="36">
        <v>1157400.0</v>
      </c>
      <c r="H277" s="36">
        <v>597347.0</v>
      </c>
      <c r="I277" s="36">
        <v>560053.0</v>
      </c>
    </row>
    <row r="278">
      <c r="A278" s="2" t="s">
        <v>1306</v>
      </c>
      <c r="B278" s="2" t="s">
        <v>20</v>
      </c>
      <c r="C278" s="2" t="s">
        <v>9</v>
      </c>
      <c r="D278" s="36">
        <v>80.0</v>
      </c>
      <c r="E278" s="36">
        <v>12000.0</v>
      </c>
      <c r="F278" s="36">
        <v>6942.86</v>
      </c>
      <c r="G278" s="36">
        <v>960000.0</v>
      </c>
      <c r="H278" s="36">
        <v>555429.0</v>
      </c>
      <c r="I278" s="36">
        <v>404571.0</v>
      </c>
    </row>
    <row r="279">
      <c r="A279" s="2" t="s">
        <v>1307</v>
      </c>
      <c r="B279" s="2" t="s">
        <v>20</v>
      </c>
      <c r="C279" s="2" t="s">
        <v>9</v>
      </c>
      <c r="D279" s="36">
        <v>402.0</v>
      </c>
      <c r="E279" s="36">
        <v>12000.0</v>
      </c>
      <c r="F279" s="36">
        <v>6942.86</v>
      </c>
      <c r="G279" s="36">
        <v>4824000.0</v>
      </c>
      <c r="H279" s="36">
        <v>2791030.0</v>
      </c>
      <c r="I279" s="36">
        <v>2032970.0</v>
      </c>
    </row>
    <row r="280">
      <c r="A280" s="2" t="s">
        <v>1308</v>
      </c>
      <c r="B280" s="2" t="s">
        <v>19</v>
      </c>
      <c r="C280" s="2" t="s">
        <v>8</v>
      </c>
      <c r="D280" s="36">
        <v>145.0</v>
      </c>
      <c r="E280" s="36">
        <v>4250.0</v>
      </c>
      <c r="F280" s="36">
        <v>2670.0</v>
      </c>
      <c r="G280" s="36">
        <v>616250.0</v>
      </c>
      <c r="H280" s="36">
        <v>387150.0</v>
      </c>
      <c r="I280" s="36">
        <v>229100.0</v>
      </c>
    </row>
    <row r="281">
      <c r="A281" s="2" t="s">
        <v>1309</v>
      </c>
      <c r="B281" s="2" t="s">
        <v>18</v>
      </c>
      <c r="C281" s="2" t="s">
        <v>6</v>
      </c>
      <c r="D281" s="36">
        <v>643.0</v>
      </c>
      <c r="E281" s="36">
        <v>1800.0</v>
      </c>
      <c r="F281" s="36">
        <v>929.0</v>
      </c>
      <c r="G281" s="36">
        <v>1157400.0</v>
      </c>
      <c r="H281" s="36">
        <v>597347.0</v>
      </c>
      <c r="I281" s="36">
        <v>560053.0</v>
      </c>
    </row>
    <row r="282">
      <c r="A282" s="2" t="s">
        <v>1310</v>
      </c>
      <c r="B282" s="2" t="s">
        <v>20</v>
      </c>
      <c r="C282" s="2" t="s">
        <v>9</v>
      </c>
      <c r="D282" s="36">
        <v>80.0</v>
      </c>
      <c r="E282" s="36">
        <v>12000.0</v>
      </c>
      <c r="F282" s="36">
        <v>6942.86</v>
      </c>
      <c r="G282" s="36">
        <v>960000.0</v>
      </c>
      <c r="H282" s="36">
        <v>555429.0</v>
      </c>
      <c r="I282" s="36">
        <v>404571.0</v>
      </c>
    </row>
    <row r="283">
      <c r="A283" s="2" t="s">
        <v>1311</v>
      </c>
      <c r="B283" s="2" t="s">
        <v>19</v>
      </c>
      <c r="C283" s="2" t="s">
        <v>8</v>
      </c>
      <c r="D283" s="36">
        <v>910.0</v>
      </c>
      <c r="E283" s="36">
        <v>4250.0</v>
      </c>
      <c r="F283" s="36">
        <v>2670.0</v>
      </c>
      <c r="G283" s="36">
        <v>3867500.0</v>
      </c>
      <c r="H283" s="36">
        <v>2429700.0</v>
      </c>
      <c r="I283" s="36">
        <v>1437800.0</v>
      </c>
    </row>
    <row r="284">
      <c r="A284" s="2" t="s">
        <v>1312</v>
      </c>
      <c r="B284" s="2" t="s">
        <v>18</v>
      </c>
      <c r="C284" s="2" t="s">
        <v>6</v>
      </c>
      <c r="D284" s="36">
        <v>641.0</v>
      </c>
      <c r="E284" s="36">
        <v>1800.0</v>
      </c>
      <c r="F284" s="36">
        <v>929.0</v>
      </c>
      <c r="G284" s="36">
        <v>1153800.0</v>
      </c>
      <c r="H284" s="36">
        <v>595489.0</v>
      </c>
      <c r="I284" s="36">
        <v>558311.0</v>
      </c>
    </row>
    <row r="285">
      <c r="A285" s="2" t="s">
        <v>1313</v>
      </c>
      <c r="B285" s="2" t="s">
        <v>20</v>
      </c>
      <c r="C285" s="2" t="s">
        <v>9</v>
      </c>
      <c r="D285" s="36">
        <v>370.0</v>
      </c>
      <c r="E285" s="36">
        <v>12000.0</v>
      </c>
      <c r="F285" s="36">
        <v>6942.86</v>
      </c>
      <c r="G285" s="36">
        <v>4440000.0</v>
      </c>
      <c r="H285" s="36">
        <v>2568858.0</v>
      </c>
      <c r="I285" s="36">
        <v>1871142.0</v>
      </c>
    </row>
    <row r="286">
      <c r="A286" s="2" t="s">
        <v>1314</v>
      </c>
      <c r="B286" s="2" t="s">
        <v>19</v>
      </c>
      <c r="C286" s="2" t="s">
        <v>8</v>
      </c>
      <c r="D286" s="36">
        <v>484.0</v>
      </c>
      <c r="E286" s="36">
        <v>4250.0</v>
      </c>
      <c r="F286" s="36">
        <v>2670.0</v>
      </c>
      <c r="G286" s="36">
        <v>2057000.0</v>
      </c>
      <c r="H286" s="36">
        <v>1292280.0</v>
      </c>
      <c r="I286" s="36">
        <v>764720.0</v>
      </c>
    </row>
    <row r="287">
      <c r="A287" s="2" t="s">
        <v>1315</v>
      </c>
      <c r="B287" s="2" t="s">
        <v>18</v>
      </c>
      <c r="C287" s="2" t="s">
        <v>6</v>
      </c>
      <c r="D287" s="36">
        <v>391.0</v>
      </c>
      <c r="E287" s="36">
        <v>1800.0</v>
      </c>
      <c r="F287" s="36">
        <v>929.0</v>
      </c>
      <c r="G287" s="36">
        <v>703800.0</v>
      </c>
      <c r="H287" s="36">
        <v>363239.0</v>
      </c>
      <c r="I287" s="36">
        <v>340561.0</v>
      </c>
    </row>
    <row r="288">
      <c r="A288" s="2" t="s">
        <v>1316</v>
      </c>
      <c r="B288" s="2" t="s">
        <v>20</v>
      </c>
      <c r="C288" s="2" t="s">
        <v>9</v>
      </c>
      <c r="D288" s="36">
        <v>740.0</v>
      </c>
      <c r="E288" s="36">
        <v>12000.0</v>
      </c>
      <c r="F288" s="36">
        <v>6942.86</v>
      </c>
      <c r="G288" s="36">
        <v>8880000.0</v>
      </c>
      <c r="H288" s="36">
        <v>5137716.0</v>
      </c>
      <c r="I288" s="36">
        <v>3742284.0</v>
      </c>
    </row>
    <row r="289">
      <c r="A289" s="2" t="s">
        <v>1317</v>
      </c>
      <c r="B289" s="2" t="s">
        <v>19</v>
      </c>
      <c r="C289" s="2" t="s">
        <v>8</v>
      </c>
      <c r="D289" s="36">
        <v>198.0</v>
      </c>
      <c r="E289" s="36">
        <v>4250.0</v>
      </c>
      <c r="F289" s="36">
        <v>2670.0</v>
      </c>
      <c r="G289" s="36">
        <v>841500.0</v>
      </c>
      <c r="H289" s="36">
        <v>528660.0</v>
      </c>
      <c r="I289" s="36">
        <v>312840.0</v>
      </c>
    </row>
    <row r="290">
      <c r="A290" s="2" t="s">
        <v>1318</v>
      </c>
      <c r="B290" s="2" t="s">
        <v>18</v>
      </c>
      <c r="C290" s="2" t="s">
        <v>6</v>
      </c>
      <c r="D290" s="36">
        <v>149.0</v>
      </c>
      <c r="E290" s="36">
        <v>1800.0</v>
      </c>
      <c r="F290" s="36">
        <v>929.0</v>
      </c>
      <c r="G290" s="36">
        <v>268200.0</v>
      </c>
      <c r="H290" s="36">
        <v>138421.0</v>
      </c>
      <c r="I290" s="36">
        <v>129779.0</v>
      </c>
    </row>
    <row r="291">
      <c r="A291" s="2" t="s">
        <v>1319</v>
      </c>
      <c r="B291" s="2" t="s">
        <v>20</v>
      </c>
      <c r="C291" s="2" t="s">
        <v>9</v>
      </c>
      <c r="D291" s="36">
        <v>447.0</v>
      </c>
      <c r="E291" s="36">
        <v>12000.0</v>
      </c>
      <c r="F291" s="36">
        <v>6942.86</v>
      </c>
      <c r="G291" s="36">
        <v>5364000.0</v>
      </c>
      <c r="H291" s="36">
        <v>3103458.0</v>
      </c>
      <c r="I291" s="36">
        <v>2260542.0</v>
      </c>
    </row>
    <row r="292">
      <c r="A292" s="2" t="s">
        <v>1320</v>
      </c>
      <c r="B292" s="2" t="s">
        <v>19</v>
      </c>
      <c r="C292" s="2" t="s">
        <v>8</v>
      </c>
      <c r="D292" s="36">
        <v>343.0</v>
      </c>
      <c r="E292" s="36">
        <v>4250.0</v>
      </c>
      <c r="F292" s="36">
        <v>2670.0</v>
      </c>
      <c r="G292" s="36">
        <v>1457750.0</v>
      </c>
      <c r="H292" s="36">
        <v>915810.0</v>
      </c>
      <c r="I292" s="36">
        <v>541940.0</v>
      </c>
    </row>
    <row r="293">
      <c r="A293" s="2" t="s">
        <v>1320</v>
      </c>
      <c r="B293" s="2" t="s">
        <v>18</v>
      </c>
      <c r="C293" s="2" t="s">
        <v>6</v>
      </c>
      <c r="D293" s="36">
        <v>1515.0</v>
      </c>
      <c r="E293" s="36">
        <v>1800.0</v>
      </c>
      <c r="F293" s="36">
        <v>929.0</v>
      </c>
      <c r="G293" s="36">
        <v>2727000.0</v>
      </c>
      <c r="H293" s="36">
        <v>1407435.0</v>
      </c>
      <c r="I293" s="36">
        <v>1319565.0</v>
      </c>
    </row>
    <row r="294">
      <c r="A294" s="2" t="s">
        <v>1321</v>
      </c>
      <c r="B294" s="2" t="s">
        <v>20</v>
      </c>
      <c r="C294" s="2" t="s">
        <v>9</v>
      </c>
      <c r="D294" s="36">
        <v>355.0</v>
      </c>
      <c r="E294" s="36">
        <v>12000.0</v>
      </c>
      <c r="F294" s="36">
        <v>6942.86</v>
      </c>
      <c r="G294" s="36">
        <v>4260000.0</v>
      </c>
      <c r="H294" s="36">
        <v>2464715.0</v>
      </c>
      <c r="I294" s="36">
        <v>1795285.0</v>
      </c>
    </row>
    <row r="295">
      <c r="A295" s="2" t="s">
        <v>1322</v>
      </c>
      <c r="B295" s="2" t="s">
        <v>19</v>
      </c>
      <c r="C295" s="2" t="s">
        <v>8</v>
      </c>
      <c r="D295" s="36">
        <v>167.0</v>
      </c>
      <c r="E295" s="36">
        <v>4250.0</v>
      </c>
      <c r="F295" s="36">
        <v>2670.0</v>
      </c>
      <c r="G295" s="36">
        <v>709750.0</v>
      </c>
      <c r="H295" s="36">
        <v>445890.0</v>
      </c>
      <c r="I295" s="36">
        <v>263860.0</v>
      </c>
    </row>
    <row r="296">
      <c r="A296" s="2" t="s">
        <v>1323</v>
      </c>
      <c r="B296" s="2" t="s">
        <v>18</v>
      </c>
      <c r="C296" s="2" t="s">
        <v>6</v>
      </c>
      <c r="D296" s="36">
        <v>518.0</v>
      </c>
      <c r="E296" s="36">
        <v>1800.0</v>
      </c>
      <c r="F296" s="36">
        <v>929.0</v>
      </c>
      <c r="G296" s="36">
        <v>932400.0</v>
      </c>
      <c r="H296" s="36">
        <v>481222.0</v>
      </c>
      <c r="I296" s="36">
        <v>451178.0</v>
      </c>
    </row>
    <row r="297">
      <c r="A297" s="2" t="s">
        <v>1324</v>
      </c>
      <c r="B297" s="2" t="s">
        <v>20</v>
      </c>
      <c r="C297" s="2" t="s">
        <v>9</v>
      </c>
      <c r="D297" s="36">
        <v>3.0</v>
      </c>
      <c r="E297" s="36">
        <v>12000.0</v>
      </c>
      <c r="F297" s="36">
        <v>6942.86</v>
      </c>
      <c r="G297" s="36">
        <v>36000.0</v>
      </c>
      <c r="H297" s="36">
        <v>20829.0</v>
      </c>
      <c r="I297" s="36">
        <v>15171.0</v>
      </c>
    </row>
    <row r="298">
      <c r="A298" s="2" t="s">
        <v>1325</v>
      </c>
      <c r="B298" s="2" t="s">
        <v>19</v>
      </c>
      <c r="C298" s="2" t="s">
        <v>8</v>
      </c>
      <c r="D298" s="36">
        <v>333.0</v>
      </c>
      <c r="E298" s="36">
        <v>4250.0</v>
      </c>
      <c r="F298" s="36">
        <v>2670.0</v>
      </c>
      <c r="G298" s="36">
        <v>1415250.0</v>
      </c>
      <c r="H298" s="36">
        <v>889110.0</v>
      </c>
      <c r="I298" s="36">
        <v>526140.0</v>
      </c>
    </row>
    <row r="299">
      <c r="A299" s="2" t="s">
        <v>1326</v>
      </c>
      <c r="B299" s="2" t="s">
        <v>18</v>
      </c>
      <c r="C299" s="2" t="s">
        <v>6</v>
      </c>
      <c r="D299" s="36">
        <v>140.0</v>
      </c>
      <c r="E299" s="36">
        <v>1800.0</v>
      </c>
      <c r="F299" s="36">
        <v>929.0</v>
      </c>
      <c r="G299" s="36">
        <v>252000.0</v>
      </c>
      <c r="H299" s="36">
        <v>130060.0</v>
      </c>
      <c r="I299" s="36">
        <v>121940.0</v>
      </c>
    </row>
    <row r="300">
      <c r="A300" s="2" t="s">
        <v>1327</v>
      </c>
      <c r="B300" s="2" t="s">
        <v>18</v>
      </c>
      <c r="C300" s="2" t="s">
        <v>6</v>
      </c>
      <c r="D300" s="36">
        <v>754.0</v>
      </c>
      <c r="E300" s="36">
        <v>1800.0</v>
      </c>
      <c r="F300" s="36">
        <v>929.0</v>
      </c>
      <c r="G300" s="36">
        <v>1357200.0</v>
      </c>
      <c r="H300" s="36">
        <v>700466.0</v>
      </c>
      <c r="I300" s="36">
        <v>656734.0</v>
      </c>
    </row>
    <row r="301">
      <c r="A301" s="2" t="s">
        <v>1327</v>
      </c>
      <c r="B301" s="2" t="s">
        <v>19</v>
      </c>
      <c r="C301" s="2" t="s">
        <v>8</v>
      </c>
      <c r="D301" s="36">
        <v>883.0</v>
      </c>
      <c r="E301" s="36">
        <v>4250.0</v>
      </c>
      <c r="F301" s="36">
        <v>2670.0</v>
      </c>
      <c r="G301" s="36">
        <v>3752750.0</v>
      </c>
      <c r="H301" s="36">
        <v>2357610.0</v>
      </c>
      <c r="I301" s="36">
        <v>1395140.0</v>
      </c>
    </row>
    <row r="302">
      <c r="A302" s="2" t="s">
        <v>1327</v>
      </c>
      <c r="B302" s="2" t="s">
        <v>20</v>
      </c>
      <c r="C302" s="2" t="s">
        <v>9</v>
      </c>
      <c r="D302" s="36">
        <v>177.0</v>
      </c>
      <c r="E302" s="36">
        <v>12000.0</v>
      </c>
      <c r="F302" s="36">
        <v>6942.86</v>
      </c>
      <c r="G302" s="36">
        <v>2124000.0</v>
      </c>
      <c r="H302" s="36">
        <v>1228886.0</v>
      </c>
      <c r="I302" s="36">
        <v>895114.0</v>
      </c>
    </row>
    <row r="303">
      <c r="A303" s="2" t="s">
        <v>1328</v>
      </c>
      <c r="B303" s="2" t="s">
        <v>18</v>
      </c>
      <c r="C303" s="2" t="s">
        <v>6</v>
      </c>
      <c r="D303" s="36">
        <v>1536.0</v>
      </c>
      <c r="E303" s="36">
        <v>1800.0</v>
      </c>
      <c r="F303" s="36">
        <v>929.0</v>
      </c>
      <c r="G303" s="36">
        <v>2764800.0</v>
      </c>
      <c r="H303" s="36">
        <v>1426944.0</v>
      </c>
      <c r="I303" s="36">
        <v>1337856.0</v>
      </c>
    </row>
    <row r="304">
      <c r="A304" s="2" t="s">
        <v>1329</v>
      </c>
      <c r="B304" s="2" t="s">
        <v>20</v>
      </c>
      <c r="C304" s="2" t="s">
        <v>9</v>
      </c>
      <c r="D304" s="36">
        <v>633.0</v>
      </c>
      <c r="E304" s="36">
        <v>12000.0</v>
      </c>
      <c r="F304" s="36">
        <v>6942.86</v>
      </c>
      <c r="G304" s="36">
        <v>7596000.0</v>
      </c>
      <c r="H304" s="36">
        <v>4394830.0</v>
      </c>
      <c r="I304" s="36">
        <v>3201170.0</v>
      </c>
    </row>
    <row r="305">
      <c r="A305" s="2" t="s">
        <v>1330</v>
      </c>
      <c r="B305" s="2" t="s">
        <v>19</v>
      </c>
      <c r="C305" s="2" t="s">
        <v>8</v>
      </c>
      <c r="D305" s="36">
        <v>415.0</v>
      </c>
      <c r="E305" s="36">
        <v>4250.0</v>
      </c>
      <c r="F305" s="36">
        <v>2670.0</v>
      </c>
      <c r="G305" s="36">
        <v>1763750.0</v>
      </c>
      <c r="H305" s="36">
        <v>1108050.0</v>
      </c>
      <c r="I305" s="36">
        <v>655700.0</v>
      </c>
    </row>
    <row r="306">
      <c r="A306" s="2" t="s">
        <v>1331</v>
      </c>
      <c r="B306" s="2" t="s">
        <v>18</v>
      </c>
      <c r="C306" s="2" t="s">
        <v>6</v>
      </c>
      <c r="D306" s="36">
        <v>550.0</v>
      </c>
      <c r="E306" s="36">
        <v>1800.0</v>
      </c>
      <c r="F306" s="36">
        <v>929.0</v>
      </c>
      <c r="G306" s="36">
        <v>990000.0</v>
      </c>
      <c r="H306" s="36">
        <v>510950.0</v>
      </c>
      <c r="I306" s="36">
        <v>479050.0</v>
      </c>
    </row>
    <row r="307">
      <c r="A307" s="2" t="s">
        <v>1332</v>
      </c>
      <c r="B307" s="2" t="s">
        <v>20</v>
      </c>
      <c r="C307" s="2" t="s">
        <v>9</v>
      </c>
      <c r="D307" s="36">
        <v>236.0</v>
      </c>
      <c r="E307" s="36">
        <v>12000.0</v>
      </c>
      <c r="F307" s="36">
        <v>6942.86</v>
      </c>
      <c r="G307" s="36">
        <v>2832000.0</v>
      </c>
      <c r="H307" s="36">
        <v>1638515.0</v>
      </c>
      <c r="I307" s="36">
        <v>1193485.0</v>
      </c>
    </row>
    <row r="308">
      <c r="A308" s="2" t="s">
        <v>1333</v>
      </c>
      <c r="B308" s="2" t="s">
        <v>19</v>
      </c>
      <c r="C308" s="2" t="s">
        <v>8</v>
      </c>
      <c r="D308" s="36">
        <v>254.0</v>
      </c>
      <c r="E308" s="36">
        <v>4250.0</v>
      </c>
      <c r="F308" s="36">
        <v>2670.0</v>
      </c>
      <c r="G308" s="36">
        <v>1079500.0</v>
      </c>
      <c r="H308" s="36">
        <v>678180.0</v>
      </c>
      <c r="I308" s="36">
        <v>401320.0</v>
      </c>
    </row>
    <row r="309">
      <c r="A309" s="2" t="s">
        <v>1334</v>
      </c>
      <c r="B309" s="2" t="s">
        <v>18</v>
      </c>
      <c r="C309" s="2" t="s">
        <v>6</v>
      </c>
      <c r="D309" s="36">
        <v>223.0</v>
      </c>
      <c r="E309" s="36">
        <v>1800.0</v>
      </c>
      <c r="F309" s="36">
        <v>929.0</v>
      </c>
      <c r="G309" s="36">
        <v>401400.0</v>
      </c>
      <c r="H309" s="36">
        <v>207167.0</v>
      </c>
      <c r="I309" s="36">
        <v>194233.0</v>
      </c>
    </row>
    <row r="310">
      <c r="A310" s="2" t="s">
        <v>1335</v>
      </c>
      <c r="B310" s="2" t="s">
        <v>20</v>
      </c>
      <c r="C310" s="2" t="s">
        <v>9</v>
      </c>
      <c r="D310" s="36">
        <v>341.0</v>
      </c>
      <c r="E310" s="36">
        <v>12000.0</v>
      </c>
      <c r="F310" s="36">
        <v>6942.86</v>
      </c>
      <c r="G310" s="36">
        <v>4092000.0</v>
      </c>
      <c r="H310" s="36">
        <v>2367515.0</v>
      </c>
      <c r="I310" s="36">
        <v>1724485.0</v>
      </c>
    </row>
    <row r="311">
      <c r="A311" s="2" t="s">
        <v>1336</v>
      </c>
      <c r="B311" s="2" t="s">
        <v>19</v>
      </c>
      <c r="C311" s="2" t="s">
        <v>8</v>
      </c>
      <c r="D311" s="36">
        <v>159.0</v>
      </c>
      <c r="E311" s="36">
        <v>4250.0</v>
      </c>
      <c r="F311" s="36">
        <v>2670.0</v>
      </c>
      <c r="G311" s="36">
        <v>675750.0</v>
      </c>
      <c r="H311" s="36">
        <v>424530.0</v>
      </c>
      <c r="I311" s="36">
        <v>251220.0</v>
      </c>
    </row>
    <row r="312">
      <c r="A312" s="2" t="s">
        <v>1337</v>
      </c>
      <c r="B312" s="2" t="s">
        <v>18</v>
      </c>
      <c r="C312" s="2" t="s">
        <v>6</v>
      </c>
      <c r="D312" s="36">
        <v>37.0</v>
      </c>
      <c r="E312" s="36">
        <v>1800.0</v>
      </c>
      <c r="F312" s="36">
        <v>929.0</v>
      </c>
      <c r="G312" s="36">
        <v>66600.0</v>
      </c>
      <c r="H312" s="36">
        <v>34373.0</v>
      </c>
      <c r="I312" s="36">
        <v>32227.0</v>
      </c>
    </row>
    <row r="313">
      <c r="A313" s="2" t="s">
        <v>1338</v>
      </c>
      <c r="B313" s="2" t="s">
        <v>20</v>
      </c>
      <c r="C313" s="2" t="s">
        <v>9</v>
      </c>
      <c r="D313" s="36">
        <v>182.0</v>
      </c>
      <c r="E313" s="36">
        <v>12000.0</v>
      </c>
      <c r="F313" s="36">
        <v>6942.86</v>
      </c>
      <c r="G313" s="36">
        <v>2184000.0</v>
      </c>
      <c r="H313" s="36">
        <v>1263601.0</v>
      </c>
      <c r="I313" s="36">
        <v>920399.0</v>
      </c>
    </row>
    <row r="314">
      <c r="A314" s="2" t="s">
        <v>1339</v>
      </c>
      <c r="B314" s="2" t="s">
        <v>19</v>
      </c>
      <c r="C314" s="2" t="s">
        <v>8</v>
      </c>
      <c r="D314" s="36">
        <v>113.0</v>
      </c>
      <c r="E314" s="36">
        <v>4250.0</v>
      </c>
      <c r="F314" s="36">
        <v>2670.0</v>
      </c>
      <c r="G314" s="36">
        <v>480250.0</v>
      </c>
      <c r="H314" s="36">
        <v>301710.0</v>
      </c>
      <c r="I314" s="36">
        <v>178540.0</v>
      </c>
    </row>
    <row r="315">
      <c r="A315" s="2" t="s">
        <v>1340</v>
      </c>
      <c r="B315" s="2" t="s">
        <v>18</v>
      </c>
      <c r="C315" s="2" t="s">
        <v>6</v>
      </c>
      <c r="D315" s="36">
        <v>460.0</v>
      </c>
      <c r="E315" s="36">
        <v>1800.0</v>
      </c>
      <c r="F315" s="36">
        <v>929.0</v>
      </c>
      <c r="G315" s="36">
        <v>828000.0</v>
      </c>
      <c r="H315" s="36">
        <v>427340.0</v>
      </c>
      <c r="I315" s="36">
        <v>400660.0</v>
      </c>
    </row>
    <row r="316">
      <c r="A316" s="2" t="s">
        <v>1341</v>
      </c>
      <c r="B316" s="2" t="s">
        <v>18</v>
      </c>
      <c r="C316" s="2" t="s">
        <v>6</v>
      </c>
      <c r="D316" s="36">
        <v>1196.0</v>
      </c>
      <c r="E316" s="36">
        <v>1800.0</v>
      </c>
      <c r="F316" s="36">
        <v>929.0</v>
      </c>
      <c r="G316" s="36">
        <v>2152800.0</v>
      </c>
      <c r="H316" s="36">
        <v>1111084.0</v>
      </c>
      <c r="I316" s="36">
        <v>1041716.0</v>
      </c>
    </row>
    <row r="317">
      <c r="A317" s="2" t="s">
        <v>1342</v>
      </c>
      <c r="B317" s="2" t="s">
        <v>19</v>
      </c>
      <c r="C317" s="2" t="s">
        <v>8</v>
      </c>
      <c r="D317" s="36">
        <v>2206.0</v>
      </c>
      <c r="E317" s="36">
        <v>4250.0</v>
      </c>
      <c r="F317" s="36">
        <v>2670.0</v>
      </c>
      <c r="G317" s="36">
        <v>9375500.0</v>
      </c>
      <c r="H317" s="36">
        <v>5890020.0</v>
      </c>
      <c r="I317" s="36">
        <v>3485480.0</v>
      </c>
    </row>
    <row r="318">
      <c r="A318" s="2" t="s">
        <v>1342</v>
      </c>
      <c r="B318" s="2" t="s">
        <v>20</v>
      </c>
      <c r="C318" s="2" t="s">
        <v>9</v>
      </c>
      <c r="D318" s="36">
        <v>153.0</v>
      </c>
      <c r="E318" s="36">
        <v>12000.0</v>
      </c>
      <c r="F318" s="36">
        <v>6942.86</v>
      </c>
      <c r="G318" s="36">
        <v>1836000.0</v>
      </c>
      <c r="H318" s="36">
        <v>1062258.0</v>
      </c>
      <c r="I318" s="36">
        <v>773742.0</v>
      </c>
    </row>
    <row r="319">
      <c r="A319" s="2" t="s">
        <v>1343</v>
      </c>
      <c r="B319" s="2" t="s">
        <v>20</v>
      </c>
      <c r="C319" s="2" t="s">
        <v>9</v>
      </c>
      <c r="D319" s="36">
        <v>153.0</v>
      </c>
      <c r="E319" s="36">
        <v>12000.0</v>
      </c>
      <c r="F319" s="36">
        <v>6942.86</v>
      </c>
      <c r="G319" s="36">
        <v>1836000.0</v>
      </c>
      <c r="H319" s="36">
        <v>1062258.0</v>
      </c>
      <c r="I319" s="36">
        <v>773742.0</v>
      </c>
    </row>
    <row r="320">
      <c r="A320" s="2" t="s">
        <v>1344</v>
      </c>
      <c r="B320" s="2" t="s">
        <v>19</v>
      </c>
      <c r="C320" s="2" t="s">
        <v>8</v>
      </c>
      <c r="D320" s="36">
        <v>2206.0</v>
      </c>
      <c r="E320" s="36">
        <v>4250.0</v>
      </c>
      <c r="F320" s="36">
        <v>2670.0</v>
      </c>
      <c r="G320" s="36">
        <v>9375500.0</v>
      </c>
      <c r="H320" s="36">
        <v>5890020.0</v>
      </c>
      <c r="I320" s="36">
        <v>3485480.0</v>
      </c>
    </row>
    <row r="321">
      <c r="A321" s="2" t="s">
        <v>1345</v>
      </c>
      <c r="B321" s="2" t="s">
        <v>18</v>
      </c>
      <c r="C321" s="2" t="s">
        <v>6</v>
      </c>
      <c r="D321" s="36">
        <v>1196.0</v>
      </c>
      <c r="E321" s="36">
        <v>1800.0</v>
      </c>
      <c r="F321" s="36">
        <v>929.0</v>
      </c>
      <c r="G321" s="36">
        <v>2152800.0</v>
      </c>
      <c r="H321" s="36">
        <v>1111084.0</v>
      </c>
      <c r="I321" s="36">
        <v>1041716.0</v>
      </c>
    </row>
    <row r="322">
      <c r="A322" s="2" t="s">
        <v>1346</v>
      </c>
      <c r="B322" s="2" t="s">
        <v>20</v>
      </c>
      <c r="C322" s="2" t="s">
        <v>9</v>
      </c>
      <c r="D322" s="36">
        <v>496.0</v>
      </c>
      <c r="E322" s="36">
        <v>12000.0</v>
      </c>
      <c r="F322" s="36">
        <v>6942.86</v>
      </c>
      <c r="G322" s="36">
        <v>5952000.0</v>
      </c>
      <c r="H322" s="36">
        <v>3443659.0</v>
      </c>
      <c r="I322" s="36">
        <v>2508341.0</v>
      </c>
    </row>
    <row r="323">
      <c r="A323" s="2" t="s">
        <v>1347</v>
      </c>
      <c r="B323" s="2" t="s">
        <v>19</v>
      </c>
      <c r="C323" s="2" t="s">
        <v>8</v>
      </c>
      <c r="D323" s="36">
        <v>375.0</v>
      </c>
      <c r="E323" s="36">
        <v>4250.0</v>
      </c>
      <c r="F323" s="36">
        <v>2670.0</v>
      </c>
      <c r="G323" s="36">
        <v>1593750.0</v>
      </c>
      <c r="H323" s="36">
        <v>1001250.0</v>
      </c>
      <c r="I323" s="36">
        <v>592500.0</v>
      </c>
    </row>
    <row r="324">
      <c r="A324" s="2" t="s">
        <v>1348</v>
      </c>
      <c r="B324" s="2" t="s">
        <v>18</v>
      </c>
      <c r="C324" s="2" t="s">
        <v>6</v>
      </c>
      <c r="D324" s="36">
        <v>249.0</v>
      </c>
      <c r="E324" s="36">
        <v>1800.0</v>
      </c>
      <c r="F324" s="36">
        <v>929.0</v>
      </c>
      <c r="G324" s="36">
        <v>448200.0</v>
      </c>
      <c r="H324" s="36">
        <v>231321.0</v>
      </c>
      <c r="I324" s="36">
        <v>216879.0</v>
      </c>
    </row>
    <row r="325">
      <c r="A325" s="2" t="s">
        <v>1349</v>
      </c>
      <c r="B325" s="2" t="s">
        <v>20</v>
      </c>
      <c r="C325" s="2" t="s">
        <v>9</v>
      </c>
      <c r="D325" s="36">
        <v>1842.0</v>
      </c>
      <c r="E325" s="36">
        <v>12000.0</v>
      </c>
      <c r="F325" s="36">
        <v>6942.86</v>
      </c>
      <c r="G325" s="36">
        <v>2.2104E7</v>
      </c>
      <c r="H325" s="36">
        <v>1.2788748E7</v>
      </c>
      <c r="I325" s="36">
        <v>9315252.0</v>
      </c>
    </row>
    <row r="326">
      <c r="A326" s="2" t="s">
        <v>1350</v>
      </c>
      <c r="B326" s="2" t="s">
        <v>19</v>
      </c>
      <c r="C326" s="2" t="s">
        <v>8</v>
      </c>
      <c r="D326" s="36">
        <v>236.0</v>
      </c>
      <c r="E326" s="36">
        <v>4250.0</v>
      </c>
      <c r="F326" s="36">
        <v>2670.0</v>
      </c>
      <c r="G326" s="36">
        <v>1003000.0</v>
      </c>
      <c r="H326" s="36">
        <v>630120.0</v>
      </c>
      <c r="I326" s="36">
        <v>372880.0</v>
      </c>
    </row>
    <row r="327">
      <c r="A327" s="2" t="s">
        <v>1351</v>
      </c>
      <c r="B327" s="2" t="s">
        <v>18</v>
      </c>
      <c r="C327" s="2" t="s">
        <v>6</v>
      </c>
      <c r="D327" s="36">
        <v>564.0</v>
      </c>
      <c r="E327" s="36">
        <v>1800.0</v>
      </c>
      <c r="F327" s="36">
        <v>929.0</v>
      </c>
      <c r="G327" s="36">
        <v>1015200.0</v>
      </c>
      <c r="H327" s="36">
        <v>523956.0</v>
      </c>
      <c r="I327" s="36">
        <v>491244.0</v>
      </c>
    </row>
    <row r="328">
      <c r="A328" s="2" t="s">
        <v>1352</v>
      </c>
      <c r="B328" s="2" t="s">
        <v>20</v>
      </c>
      <c r="C328" s="2" t="s">
        <v>9</v>
      </c>
      <c r="D328" s="36">
        <v>32.0</v>
      </c>
      <c r="E328" s="36">
        <v>12000.0</v>
      </c>
      <c r="F328" s="36">
        <v>6942.86</v>
      </c>
      <c r="G328" s="36">
        <v>384000.0</v>
      </c>
      <c r="H328" s="36">
        <v>222172.0</v>
      </c>
      <c r="I328" s="36">
        <v>161828.0</v>
      </c>
    </row>
    <row r="329">
      <c r="A329" s="2" t="s">
        <v>1353</v>
      </c>
      <c r="B329" s="2" t="s">
        <v>19</v>
      </c>
      <c r="C329" s="2" t="s">
        <v>8</v>
      </c>
      <c r="D329" s="36">
        <v>316.0</v>
      </c>
      <c r="E329" s="36">
        <v>4250.0</v>
      </c>
      <c r="F329" s="36">
        <v>2670.0</v>
      </c>
      <c r="G329" s="36">
        <v>1343000.0</v>
      </c>
      <c r="H329" s="36">
        <v>843720.0</v>
      </c>
      <c r="I329" s="36">
        <v>499280.0</v>
      </c>
    </row>
    <row r="330">
      <c r="A330" s="2" t="s">
        <v>1354</v>
      </c>
      <c r="B330" s="2" t="s">
        <v>18</v>
      </c>
      <c r="C330" s="2" t="s">
        <v>6</v>
      </c>
      <c r="D330" s="36">
        <v>414.0</v>
      </c>
      <c r="E330" s="36">
        <v>1800.0</v>
      </c>
      <c r="F330" s="36">
        <v>929.0</v>
      </c>
      <c r="G330" s="36">
        <v>745200.0</v>
      </c>
      <c r="H330" s="36">
        <v>384606.0</v>
      </c>
      <c r="I330" s="36">
        <v>360594.0</v>
      </c>
    </row>
    <row r="331">
      <c r="A331" s="2" t="s">
        <v>1355</v>
      </c>
      <c r="B331" s="2" t="s">
        <v>20</v>
      </c>
      <c r="C331" s="2" t="s">
        <v>9</v>
      </c>
      <c r="D331" s="36">
        <v>32.0</v>
      </c>
      <c r="E331" s="36">
        <v>12000.0</v>
      </c>
      <c r="F331" s="36">
        <v>6942.86</v>
      </c>
      <c r="G331" s="36">
        <v>384000.0</v>
      </c>
      <c r="H331" s="36">
        <v>222172.0</v>
      </c>
      <c r="I331" s="36">
        <v>161828.0</v>
      </c>
    </row>
    <row r="332">
      <c r="A332" s="2" t="s">
        <v>1356</v>
      </c>
      <c r="B332" s="2" t="s">
        <v>19</v>
      </c>
      <c r="C332" s="2" t="s">
        <v>8</v>
      </c>
      <c r="D332" s="36">
        <v>316.0</v>
      </c>
      <c r="E332" s="36">
        <v>4250.0</v>
      </c>
      <c r="F332" s="36">
        <v>2670.0</v>
      </c>
      <c r="G332" s="36">
        <v>1343000.0</v>
      </c>
      <c r="H332" s="36">
        <v>843720.0</v>
      </c>
      <c r="I332" s="36">
        <v>499280.0</v>
      </c>
    </row>
    <row r="333">
      <c r="A333" s="2" t="s">
        <v>1357</v>
      </c>
      <c r="B333" s="2" t="s">
        <v>18</v>
      </c>
      <c r="C333" s="2" t="s">
        <v>6</v>
      </c>
      <c r="D333" s="36">
        <v>414.0</v>
      </c>
      <c r="E333" s="36">
        <v>1800.0</v>
      </c>
      <c r="F333" s="36">
        <v>929.0</v>
      </c>
      <c r="G333" s="36">
        <v>745200.0</v>
      </c>
      <c r="H333" s="36">
        <v>384606.0</v>
      </c>
      <c r="I333" s="36">
        <v>360594.0</v>
      </c>
    </row>
    <row r="334">
      <c r="A334" s="2" t="s">
        <v>1358</v>
      </c>
      <c r="B334" s="2" t="s">
        <v>20</v>
      </c>
      <c r="C334" s="2" t="s">
        <v>9</v>
      </c>
      <c r="D334" s="36">
        <v>1306.0</v>
      </c>
      <c r="E334" s="36">
        <v>12000.0</v>
      </c>
      <c r="F334" s="36">
        <v>6942.86</v>
      </c>
      <c r="G334" s="36">
        <v>1.5672E7</v>
      </c>
      <c r="H334" s="36">
        <v>9067375.0</v>
      </c>
      <c r="I334" s="36">
        <v>6604625.0</v>
      </c>
    </row>
    <row r="335">
      <c r="A335" s="2" t="s">
        <v>1359</v>
      </c>
      <c r="B335" s="2" t="s">
        <v>19</v>
      </c>
      <c r="C335" s="2" t="s">
        <v>8</v>
      </c>
      <c r="D335" s="36">
        <v>135.0</v>
      </c>
      <c r="E335" s="36">
        <v>4250.0</v>
      </c>
      <c r="F335" s="36">
        <v>2670.0</v>
      </c>
      <c r="G335" s="36">
        <v>573750.0</v>
      </c>
      <c r="H335" s="36">
        <v>360450.0</v>
      </c>
      <c r="I335" s="36">
        <v>213300.0</v>
      </c>
    </row>
    <row r="336">
      <c r="A336" s="2" t="s">
        <v>1360</v>
      </c>
      <c r="B336" s="2" t="s">
        <v>18</v>
      </c>
      <c r="C336" s="2" t="s">
        <v>6</v>
      </c>
      <c r="D336" s="36">
        <v>397.0</v>
      </c>
      <c r="E336" s="36">
        <v>1800.0</v>
      </c>
      <c r="F336" s="36">
        <v>929.0</v>
      </c>
      <c r="G336" s="36">
        <v>714600.0</v>
      </c>
      <c r="H336" s="36">
        <v>368813.0</v>
      </c>
      <c r="I336" s="36">
        <v>345787.0</v>
      </c>
    </row>
    <row r="337">
      <c r="A337" s="2" t="s">
        <v>1361</v>
      </c>
      <c r="B337" s="2" t="s">
        <v>20</v>
      </c>
      <c r="C337" s="2" t="s">
        <v>9</v>
      </c>
      <c r="D337" s="36">
        <v>595.0</v>
      </c>
      <c r="E337" s="36">
        <v>12000.0</v>
      </c>
      <c r="F337" s="36">
        <v>6942.86</v>
      </c>
      <c r="G337" s="36">
        <v>7140000.0</v>
      </c>
      <c r="H337" s="36">
        <v>4131002.0</v>
      </c>
      <c r="I337" s="36">
        <v>3008998.0</v>
      </c>
    </row>
    <row r="338">
      <c r="A338" s="2" t="s">
        <v>1362</v>
      </c>
      <c r="B338" s="2" t="s">
        <v>19</v>
      </c>
      <c r="C338" s="2" t="s">
        <v>8</v>
      </c>
      <c r="D338" s="36">
        <v>1808.0</v>
      </c>
      <c r="E338" s="36">
        <v>4250.0</v>
      </c>
      <c r="F338" s="36">
        <v>2670.0</v>
      </c>
      <c r="G338" s="36">
        <v>7684000.0</v>
      </c>
      <c r="H338" s="36">
        <v>4827360.0</v>
      </c>
      <c r="I338" s="36">
        <v>2856640.0</v>
      </c>
    </row>
    <row r="339">
      <c r="A339" s="2" t="s">
        <v>1362</v>
      </c>
      <c r="B339" s="2" t="s">
        <v>18</v>
      </c>
      <c r="C339" s="2" t="s">
        <v>6</v>
      </c>
      <c r="D339" s="36">
        <v>948.0</v>
      </c>
      <c r="E339" s="36">
        <v>1800.0</v>
      </c>
      <c r="F339" s="36">
        <v>929.0</v>
      </c>
      <c r="G339" s="36">
        <v>1706400.0</v>
      </c>
      <c r="H339" s="36">
        <v>880692.0</v>
      </c>
      <c r="I339" s="36">
        <v>825708.0</v>
      </c>
    </row>
    <row r="340">
      <c r="A340" s="2" t="s">
        <v>1363</v>
      </c>
      <c r="B340" s="2" t="s">
        <v>20</v>
      </c>
      <c r="C340" s="2" t="s">
        <v>9</v>
      </c>
      <c r="D340" s="36">
        <v>233.0</v>
      </c>
      <c r="E340" s="36">
        <v>12000.0</v>
      </c>
      <c r="F340" s="36">
        <v>6942.86</v>
      </c>
      <c r="G340" s="36">
        <v>2796000.0</v>
      </c>
      <c r="H340" s="36">
        <v>1617686.0</v>
      </c>
      <c r="I340" s="36">
        <v>1178314.0</v>
      </c>
    </row>
    <row r="341">
      <c r="A341" s="2" t="s">
        <v>1364</v>
      </c>
      <c r="B341" s="2" t="s">
        <v>19</v>
      </c>
      <c r="C341" s="2" t="s">
        <v>8</v>
      </c>
      <c r="D341" s="36">
        <v>314.0</v>
      </c>
      <c r="E341" s="36">
        <v>4250.0</v>
      </c>
      <c r="F341" s="36">
        <v>2670.0</v>
      </c>
      <c r="G341" s="36">
        <v>1334500.0</v>
      </c>
      <c r="H341" s="36">
        <v>838380.0</v>
      </c>
      <c r="I341" s="36">
        <v>496120.0</v>
      </c>
    </row>
    <row r="342">
      <c r="A342" s="2" t="s">
        <v>1364</v>
      </c>
      <c r="B342" s="2" t="s">
        <v>18</v>
      </c>
      <c r="C342" s="2" t="s">
        <v>6</v>
      </c>
      <c r="D342" s="36">
        <v>885.0</v>
      </c>
      <c r="E342" s="36">
        <v>1800.0</v>
      </c>
      <c r="F342" s="36">
        <v>929.0</v>
      </c>
      <c r="G342" s="36">
        <v>1593000.0</v>
      </c>
      <c r="H342" s="36">
        <v>822165.0</v>
      </c>
      <c r="I342" s="36">
        <v>770835.0</v>
      </c>
    </row>
    <row r="343">
      <c r="A343" s="2" t="s">
        <v>1365</v>
      </c>
      <c r="B343" s="2" t="s">
        <v>20</v>
      </c>
      <c r="C343" s="2" t="s">
        <v>9</v>
      </c>
      <c r="D343" s="36">
        <v>18.0</v>
      </c>
      <c r="E343" s="36">
        <v>12000.0</v>
      </c>
      <c r="F343" s="36">
        <v>6942.86</v>
      </c>
      <c r="G343" s="36">
        <v>216000.0</v>
      </c>
      <c r="H343" s="36">
        <v>124971.0</v>
      </c>
      <c r="I343" s="36">
        <v>91029.0</v>
      </c>
    </row>
    <row r="344">
      <c r="A344" s="2" t="s">
        <v>1366</v>
      </c>
      <c r="B344" s="2" t="s">
        <v>19</v>
      </c>
      <c r="C344" s="2" t="s">
        <v>8</v>
      </c>
      <c r="D344" s="36">
        <v>221.0</v>
      </c>
      <c r="E344" s="36">
        <v>4250.0</v>
      </c>
      <c r="F344" s="36">
        <v>2670.0</v>
      </c>
      <c r="G344" s="36">
        <v>939250.0</v>
      </c>
      <c r="H344" s="36">
        <v>590070.0</v>
      </c>
      <c r="I344" s="36">
        <v>349180.0</v>
      </c>
    </row>
    <row r="345">
      <c r="A345" s="2" t="s">
        <v>1367</v>
      </c>
      <c r="B345" s="2" t="s">
        <v>18</v>
      </c>
      <c r="C345" s="2" t="s">
        <v>6</v>
      </c>
      <c r="D345" s="36">
        <v>1968.0</v>
      </c>
      <c r="E345" s="36">
        <v>1800.0</v>
      </c>
      <c r="F345" s="36">
        <v>929.0</v>
      </c>
      <c r="G345" s="36">
        <v>3542400.0</v>
      </c>
      <c r="H345" s="36">
        <v>1828272.0</v>
      </c>
      <c r="I345" s="36">
        <v>1714128.0</v>
      </c>
    </row>
    <row r="346">
      <c r="A346" s="2" t="s">
        <v>1368</v>
      </c>
      <c r="B346" s="2" t="s">
        <v>20</v>
      </c>
      <c r="C346" s="2" t="s">
        <v>9</v>
      </c>
      <c r="D346" s="36">
        <v>15.0</v>
      </c>
      <c r="E346" s="36">
        <v>12000.0</v>
      </c>
      <c r="F346" s="36">
        <v>6942.86</v>
      </c>
      <c r="G346" s="36">
        <v>180000.0</v>
      </c>
      <c r="H346" s="36">
        <v>104143.0</v>
      </c>
      <c r="I346" s="36">
        <v>75857.0</v>
      </c>
    </row>
    <row r="347">
      <c r="A347" s="2" t="s">
        <v>1369</v>
      </c>
      <c r="B347" s="2" t="s">
        <v>19</v>
      </c>
      <c r="C347" s="2" t="s">
        <v>8</v>
      </c>
      <c r="D347" s="36">
        <v>793.0</v>
      </c>
      <c r="E347" s="36">
        <v>4250.0</v>
      </c>
      <c r="F347" s="36">
        <v>2670.0</v>
      </c>
      <c r="G347" s="36">
        <v>3370250.0</v>
      </c>
      <c r="H347" s="36">
        <v>2117310.0</v>
      </c>
      <c r="I347" s="36">
        <v>1252940.0</v>
      </c>
    </row>
    <row r="348">
      <c r="A348" s="2" t="s">
        <v>1370</v>
      </c>
      <c r="B348" s="2" t="s">
        <v>18</v>
      </c>
      <c r="C348" s="2" t="s">
        <v>6</v>
      </c>
      <c r="D348" s="36">
        <v>14.0</v>
      </c>
      <c r="E348" s="36">
        <v>1800.0</v>
      </c>
      <c r="F348" s="36">
        <v>929.0</v>
      </c>
      <c r="G348" s="36">
        <v>25200.0</v>
      </c>
      <c r="H348" s="36">
        <v>13006.0</v>
      </c>
      <c r="I348" s="36">
        <v>12194.0</v>
      </c>
    </row>
    <row r="349">
      <c r="A349" s="2" t="s">
        <v>1371</v>
      </c>
      <c r="B349" s="2" t="s">
        <v>20</v>
      </c>
      <c r="C349" s="2" t="s">
        <v>9</v>
      </c>
      <c r="D349" s="36">
        <v>30.0</v>
      </c>
      <c r="E349" s="36">
        <v>12000.0</v>
      </c>
      <c r="F349" s="36">
        <v>6942.86</v>
      </c>
      <c r="G349" s="36">
        <v>360000.0</v>
      </c>
      <c r="H349" s="36">
        <v>208286.0</v>
      </c>
      <c r="I349" s="36">
        <v>151714.0</v>
      </c>
    </row>
    <row r="350">
      <c r="A350" s="2" t="s">
        <v>1372</v>
      </c>
      <c r="B350" s="2" t="s">
        <v>19</v>
      </c>
      <c r="C350" s="2" t="s">
        <v>8</v>
      </c>
      <c r="D350" s="36">
        <v>10.0</v>
      </c>
      <c r="E350" s="36">
        <v>4250.0</v>
      </c>
      <c r="F350" s="36">
        <v>2670.0</v>
      </c>
      <c r="G350" s="36">
        <v>42500.0</v>
      </c>
      <c r="H350" s="36">
        <v>26700.0</v>
      </c>
      <c r="I350" s="36">
        <v>15800.0</v>
      </c>
    </row>
    <row r="351">
      <c r="A351" s="2" t="s">
        <v>1373</v>
      </c>
      <c r="B351" s="2" t="s">
        <v>18</v>
      </c>
      <c r="C351" s="2" t="s">
        <v>6</v>
      </c>
      <c r="D351" s="36">
        <v>151.0</v>
      </c>
      <c r="E351" s="36">
        <v>1800.0</v>
      </c>
      <c r="F351" s="36">
        <v>929.0</v>
      </c>
      <c r="G351" s="36">
        <v>271800.0</v>
      </c>
      <c r="H351" s="36">
        <v>140279.0</v>
      </c>
      <c r="I351" s="36">
        <v>131521.0</v>
      </c>
    </row>
    <row r="352">
      <c r="A352" s="2" t="s">
        <v>1374</v>
      </c>
      <c r="B352" s="2" t="s">
        <v>18</v>
      </c>
      <c r="C352" s="2" t="s">
        <v>6</v>
      </c>
      <c r="D352" s="36">
        <v>27.0</v>
      </c>
      <c r="E352" s="36">
        <v>1800.0</v>
      </c>
      <c r="F352" s="36">
        <v>929.0</v>
      </c>
      <c r="G352" s="36">
        <v>48600.0</v>
      </c>
      <c r="H352" s="36">
        <v>25083.0</v>
      </c>
      <c r="I352" s="36">
        <v>23517.0</v>
      </c>
    </row>
    <row r="353">
      <c r="A353" s="2" t="s">
        <v>1374</v>
      </c>
      <c r="B353" s="2" t="s">
        <v>19</v>
      </c>
      <c r="C353" s="2" t="s">
        <v>8</v>
      </c>
      <c r="D353" s="36">
        <v>638.0</v>
      </c>
      <c r="E353" s="36">
        <v>4250.0</v>
      </c>
      <c r="F353" s="36">
        <v>2670.0</v>
      </c>
      <c r="G353" s="36">
        <v>2711500.0</v>
      </c>
      <c r="H353" s="36">
        <v>1703460.0</v>
      </c>
      <c r="I353" s="36">
        <v>1008040.0</v>
      </c>
    </row>
    <row r="354">
      <c r="A354" s="2" t="s">
        <v>1374</v>
      </c>
      <c r="B354" s="2" t="s">
        <v>20</v>
      </c>
      <c r="C354" s="2" t="s">
        <v>9</v>
      </c>
      <c r="D354" s="36">
        <v>1572.0</v>
      </c>
      <c r="E354" s="36">
        <v>12000.0</v>
      </c>
      <c r="F354" s="36">
        <v>6942.86</v>
      </c>
      <c r="G354" s="36">
        <v>1.8864E7</v>
      </c>
      <c r="H354" s="36">
        <v>1.0914176E7</v>
      </c>
      <c r="I354" s="36">
        <v>7949824.0</v>
      </c>
    </row>
    <row r="355">
      <c r="A355" s="2" t="s">
        <v>1375</v>
      </c>
      <c r="B355" s="2" t="s">
        <v>20</v>
      </c>
      <c r="C355" s="2" t="s">
        <v>9</v>
      </c>
      <c r="D355" s="36">
        <v>1572.0</v>
      </c>
      <c r="E355" s="36">
        <v>12000.0</v>
      </c>
      <c r="F355" s="36">
        <v>6942.86</v>
      </c>
      <c r="G355" s="36">
        <v>1.8864E7</v>
      </c>
      <c r="H355" s="36">
        <v>1.0914176E7</v>
      </c>
      <c r="I355" s="36">
        <v>7949824.0</v>
      </c>
    </row>
    <row r="356">
      <c r="A356" s="2" t="s">
        <v>1376</v>
      </c>
      <c r="B356" s="2" t="s">
        <v>19</v>
      </c>
      <c r="C356" s="2" t="s">
        <v>8</v>
      </c>
      <c r="D356" s="36">
        <v>638.0</v>
      </c>
      <c r="E356" s="36">
        <v>4250.0</v>
      </c>
      <c r="F356" s="36">
        <v>2670.0</v>
      </c>
      <c r="G356" s="36">
        <v>2711500.0</v>
      </c>
      <c r="H356" s="36">
        <v>1703460.0</v>
      </c>
      <c r="I356" s="36">
        <v>1008040.0</v>
      </c>
    </row>
    <row r="357">
      <c r="A357" s="2" t="s">
        <v>1376</v>
      </c>
      <c r="B357" s="2" t="s">
        <v>18</v>
      </c>
      <c r="C357" s="2" t="s">
        <v>6</v>
      </c>
      <c r="D357" s="36">
        <v>27.0</v>
      </c>
      <c r="E357" s="36">
        <v>1800.0</v>
      </c>
      <c r="F357" s="36">
        <v>929.0</v>
      </c>
      <c r="G357" s="36">
        <v>48600.0</v>
      </c>
      <c r="H357" s="36">
        <v>25083.0</v>
      </c>
      <c r="I357" s="36">
        <v>23517.0</v>
      </c>
    </row>
    <row r="358">
      <c r="A358" s="2" t="s">
        <v>1377</v>
      </c>
      <c r="B358" s="2" t="s">
        <v>20</v>
      </c>
      <c r="C358" s="2" t="s">
        <v>9</v>
      </c>
      <c r="D358" s="36">
        <v>249.0</v>
      </c>
      <c r="E358" s="36">
        <v>12000.0</v>
      </c>
      <c r="F358" s="36">
        <v>6942.86</v>
      </c>
      <c r="G358" s="36">
        <v>2988000.0</v>
      </c>
      <c r="H358" s="36">
        <v>1728772.0</v>
      </c>
      <c r="I358" s="36">
        <v>1259228.0</v>
      </c>
    </row>
    <row r="359">
      <c r="A359" s="2" t="s">
        <v>1377</v>
      </c>
      <c r="B359" s="2" t="s">
        <v>19</v>
      </c>
      <c r="C359" s="2" t="s">
        <v>8</v>
      </c>
      <c r="D359" s="36">
        <v>910.0</v>
      </c>
      <c r="E359" s="36">
        <v>4250.0</v>
      </c>
      <c r="F359" s="36">
        <v>2670.0</v>
      </c>
      <c r="G359" s="36">
        <v>3867500.0</v>
      </c>
      <c r="H359" s="36">
        <v>2429700.0</v>
      </c>
      <c r="I359" s="36">
        <v>1437800.0</v>
      </c>
    </row>
    <row r="360">
      <c r="A360" s="2" t="s">
        <v>1378</v>
      </c>
      <c r="B360" s="2" t="s">
        <v>18</v>
      </c>
      <c r="C360" s="2" t="s">
        <v>6</v>
      </c>
      <c r="D360" s="36">
        <v>304.0</v>
      </c>
      <c r="E360" s="36">
        <v>1800.0</v>
      </c>
      <c r="F360" s="36">
        <v>929.0</v>
      </c>
      <c r="G360" s="36">
        <v>547200.0</v>
      </c>
      <c r="H360" s="36">
        <v>282416.0</v>
      </c>
      <c r="I360" s="36">
        <v>264784.0</v>
      </c>
    </row>
    <row r="361">
      <c r="A361" s="2" t="s">
        <v>1379</v>
      </c>
      <c r="B361" s="2" t="s">
        <v>20</v>
      </c>
      <c r="C361" s="2" t="s">
        <v>9</v>
      </c>
      <c r="D361" s="36">
        <v>921.0</v>
      </c>
      <c r="E361" s="36">
        <v>12000.0</v>
      </c>
      <c r="F361" s="36">
        <v>6942.86</v>
      </c>
      <c r="G361" s="36">
        <v>1.1052E7</v>
      </c>
      <c r="H361" s="36">
        <v>6394374.0</v>
      </c>
      <c r="I361" s="36">
        <v>4657626.0</v>
      </c>
    </row>
    <row r="362">
      <c r="A362" s="2" t="s">
        <v>1380</v>
      </c>
      <c r="B362" s="2" t="s">
        <v>19</v>
      </c>
      <c r="C362" s="2" t="s">
        <v>8</v>
      </c>
      <c r="D362" s="36">
        <v>285.0</v>
      </c>
      <c r="E362" s="36">
        <v>4250.0</v>
      </c>
      <c r="F362" s="36">
        <v>2670.0</v>
      </c>
      <c r="G362" s="36">
        <v>1211250.0</v>
      </c>
      <c r="H362" s="36">
        <v>760950.0</v>
      </c>
      <c r="I362" s="36">
        <v>450300.0</v>
      </c>
    </row>
    <row r="363">
      <c r="A363" s="2" t="s">
        <v>1381</v>
      </c>
      <c r="B363" s="2" t="s">
        <v>18</v>
      </c>
      <c r="C363" s="2" t="s">
        <v>6</v>
      </c>
      <c r="D363" s="36">
        <v>172.0</v>
      </c>
      <c r="E363" s="36">
        <v>1800.0</v>
      </c>
      <c r="F363" s="36">
        <v>929.0</v>
      </c>
      <c r="G363" s="36">
        <v>309600.0</v>
      </c>
      <c r="H363" s="36">
        <v>159788.0</v>
      </c>
      <c r="I363" s="36">
        <v>149812.0</v>
      </c>
    </row>
    <row r="364">
      <c r="A364" s="2" t="s">
        <v>1382</v>
      </c>
      <c r="B364" s="2" t="s">
        <v>20</v>
      </c>
      <c r="C364" s="2" t="s">
        <v>9</v>
      </c>
      <c r="D364" s="36">
        <v>2325.0</v>
      </c>
      <c r="E364" s="36">
        <v>12000.0</v>
      </c>
      <c r="F364" s="36">
        <v>6942.86</v>
      </c>
      <c r="G364" s="36">
        <v>2.79E7</v>
      </c>
      <c r="H364" s="36">
        <v>1.614215E7</v>
      </c>
      <c r="I364" s="36">
        <v>1.175785E7</v>
      </c>
    </row>
    <row r="365">
      <c r="A365" s="2" t="s">
        <v>1383</v>
      </c>
      <c r="B365" s="2" t="s">
        <v>19</v>
      </c>
      <c r="C365" s="2" t="s">
        <v>8</v>
      </c>
      <c r="D365" s="36">
        <v>562.0</v>
      </c>
      <c r="E365" s="36">
        <v>4250.0</v>
      </c>
      <c r="F365" s="36">
        <v>2670.0</v>
      </c>
      <c r="G365" s="36">
        <v>2388500.0</v>
      </c>
      <c r="H365" s="36">
        <v>1500540.0</v>
      </c>
      <c r="I365" s="36">
        <v>887960.0</v>
      </c>
    </row>
    <row r="366">
      <c r="A366" s="2" t="s">
        <v>1384</v>
      </c>
      <c r="B366" s="2" t="s">
        <v>18</v>
      </c>
      <c r="C366" s="2" t="s">
        <v>6</v>
      </c>
      <c r="D366" s="36">
        <v>430.0</v>
      </c>
      <c r="E366" s="36">
        <v>1800.0</v>
      </c>
      <c r="F366" s="36">
        <v>929.0</v>
      </c>
      <c r="G366" s="36">
        <v>774000.0</v>
      </c>
      <c r="H366" s="36">
        <v>399470.0</v>
      </c>
      <c r="I366" s="36">
        <v>374530.0</v>
      </c>
    </row>
    <row r="367">
      <c r="A367" s="2" t="s">
        <v>1385</v>
      </c>
      <c r="B367" s="2" t="s">
        <v>20</v>
      </c>
      <c r="C367" s="2" t="s">
        <v>9</v>
      </c>
      <c r="D367" s="36">
        <v>367.0</v>
      </c>
      <c r="E367" s="36">
        <v>12000.0</v>
      </c>
      <c r="F367" s="36">
        <v>6942.86</v>
      </c>
      <c r="G367" s="36">
        <v>4404000.0</v>
      </c>
      <c r="H367" s="36">
        <v>2548030.0</v>
      </c>
      <c r="I367" s="36">
        <v>1855970.0</v>
      </c>
    </row>
    <row r="368">
      <c r="A368" s="2" t="s">
        <v>1386</v>
      </c>
      <c r="B368" s="2" t="s">
        <v>19</v>
      </c>
      <c r="C368" s="2" t="s">
        <v>8</v>
      </c>
      <c r="D368" s="36">
        <v>356.0</v>
      </c>
      <c r="E368" s="36">
        <v>4250.0</v>
      </c>
      <c r="F368" s="36">
        <v>2670.0</v>
      </c>
      <c r="G368" s="36">
        <v>1513000.0</v>
      </c>
      <c r="H368" s="36">
        <v>950520.0</v>
      </c>
      <c r="I368" s="36">
        <v>562480.0</v>
      </c>
    </row>
    <row r="369">
      <c r="A369" s="2" t="s">
        <v>1386</v>
      </c>
      <c r="B369" s="2" t="s">
        <v>18</v>
      </c>
      <c r="C369" s="2" t="s">
        <v>6</v>
      </c>
      <c r="D369" s="36">
        <v>221.0</v>
      </c>
      <c r="E369" s="36">
        <v>1800.0</v>
      </c>
      <c r="F369" s="36">
        <v>929.0</v>
      </c>
      <c r="G369" s="36">
        <v>397800.0</v>
      </c>
      <c r="H369" s="36">
        <v>205309.0</v>
      </c>
      <c r="I369" s="36">
        <v>192491.0</v>
      </c>
    </row>
    <row r="370">
      <c r="A370" s="2" t="s">
        <v>1387</v>
      </c>
      <c r="B370" s="2" t="s">
        <v>20</v>
      </c>
      <c r="C370" s="2" t="s">
        <v>9</v>
      </c>
      <c r="D370" s="36">
        <v>331.0</v>
      </c>
      <c r="E370" s="36">
        <v>12000.0</v>
      </c>
      <c r="F370" s="36">
        <v>6942.86</v>
      </c>
      <c r="G370" s="36">
        <v>3972000.0</v>
      </c>
      <c r="H370" s="36">
        <v>2298087.0</v>
      </c>
      <c r="I370" s="36">
        <v>1673913.0</v>
      </c>
    </row>
    <row r="371">
      <c r="A371" s="2" t="s">
        <v>1388</v>
      </c>
      <c r="B371" s="2" t="s">
        <v>19</v>
      </c>
      <c r="C371" s="2" t="s">
        <v>8</v>
      </c>
      <c r="D371" s="36">
        <v>196.0</v>
      </c>
      <c r="E371" s="36">
        <v>4250.0</v>
      </c>
      <c r="F371" s="36">
        <v>2670.0</v>
      </c>
      <c r="G371" s="36">
        <v>833000.0</v>
      </c>
      <c r="H371" s="36">
        <v>523320.0</v>
      </c>
      <c r="I371" s="36">
        <v>309680.0</v>
      </c>
    </row>
    <row r="372">
      <c r="A372" s="2" t="s">
        <v>1389</v>
      </c>
      <c r="B372" s="2" t="s">
        <v>18</v>
      </c>
      <c r="C372" s="2" t="s">
        <v>6</v>
      </c>
      <c r="D372" s="36">
        <v>1177.0</v>
      </c>
      <c r="E372" s="36">
        <v>1800.0</v>
      </c>
      <c r="F372" s="36">
        <v>929.0</v>
      </c>
      <c r="G372" s="36">
        <v>2118600.0</v>
      </c>
      <c r="H372" s="36">
        <v>1093433.0</v>
      </c>
      <c r="I372" s="36">
        <v>1025167.0</v>
      </c>
    </row>
    <row r="373">
      <c r="A373" s="2" t="s">
        <v>1390</v>
      </c>
      <c r="B373" s="2" t="s">
        <v>20</v>
      </c>
      <c r="C373" s="2" t="s">
        <v>9</v>
      </c>
      <c r="D373" s="36">
        <v>42.0</v>
      </c>
      <c r="E373" s="36">
        <v>12000.0</v>
      </c>
      <c r="F373" s="36">
        <v>6942.86</v>
      </c>
      <c r="G373" s="36">
        <v>504000.0</v>
      </c>
      <c r="H373" s="36">
        <v>291600.0</v>
      </c>
      <c r="I373" s="36">
        <v>212400.0</v>
      </c>
    </row>
    <row r="374">
      <c r="A374" s="2" t="s">
        <v>1391</v>
      </c>
      <c r="B374" s="2" t="s">
        <v>19</v>
      </c>
      <c r="C374" s="2" t="s">
        <v>8</v>
      </c>
      <c r="D374" s="36">
        <v>1448.0</v>
      </c>
      <c r="E374" s="36">
        <v>4250.0</v>
      </c>
      <c r="F374" s="36">
        <v>2670.0</v>
      </c>
      <c r="G374" s="36">
        <v>6154000.0</v>
      </c>
      <c r="H374" s="36">
        <v>3866160.0</v>
      </c>
      <c r="I374" s="36">
        <v>2287840.0</v>
      </c>
    </row>
    <row r="375">
      <c r="A375" s="2" t="s">
        <v>1392</v>
      </c>
      <c r="B375" s="2" t="s">
        <v>18</v>
      </c>
      <c r="C375" s="2" t="s">
        <v>6</v>
      </c>
      <c r="D375" s="36">
        <v>419.0</v>
      </c>
      <c r="E375" s="36">
        <v>1800.0</v>
      </c>
      <c r="F375" s="36">
        <v>929.0</v>
      </c>
      <c r="G375" s="36">
        <v>754200.0</v>
      </c>
      <c r="H375" s="36">
        <v>389251.0</v>
      </c>
      <c r="I375" s="36">
        <v>364949.0</v>
      </c>
    </row>
    <row r="376">
      <c r="A376" s="2" t="s">
        <v>1393</v>
      </c>
      <c r="B376" s="2" t="s">
        <v>20</v>
      </c>
      <c r="C376" s="2" t="s">
        <v>9</v>
      </c>
      <c r="D376" s="36">
        <v>202.0</v>
      </c>
      <c r="E376" s="36">
        <v>12000.0</v>
      </c>
      <c r="F376" s="36">
        <v>6942.86</v>
      </c>
      <c r="G376" s="36">
        <v>2424000.0</v>
      </c>
      <c r="H376" s="36">
        <v>1402458.0</v>
      </c>
      <c r="I376" s="36">
        <v>1021542.0</v>
      </c>
    </row>
    <row r="377">
      <c r="A377" s="2" t="s">
        <v>1394</v>
      </c>
      <c r="B377" s="2" t="s">
        <v>19</v>
      </c>
      <c r="C377" s="2" t="s">
        <v>8</v>
      </c>
      <c r="D377" s="36">
        <v>509.0</v>
      </c>
      <c r="E377" s="36">
        <v>4250.0</v>
      </c>
      <c r="F377" s="36">
        <v>2670.0</v>
      </c>
      <c r="G377" s="36">
        <v>2163250.0</v>
      </c>
      <c r="H377" s="36">
        <v>1359030.0</v>
      </c>
      <c r="I377" s="36">
        <v>804220.0</v>
      </c>
    </row>
    <row r="378">
      <c r="A378" s="2" t="s">
        <v>1395</v>
      </c>
      <c r="B378" s="2" t="s">
        <v>18</v>
      </c>
      <c r="C378" s="2" t="s">
        <v>6</v>
      </c>
      <c r="D378" s="36">
        <v>249.0</v>
      </c>
      <c r="E378" s="36">
        <v>1800.0</v>
      </c>
      <c r="F378" s="36">
        <v>929.0</v>
      </c>
      <c r="G378" s="36">
        <v>448200.0</v>
      </c>
      <c r="H378" s="36">
        <v>231321.0</v>
      </c>
      <c r="I378" s="36">
        <v>216879.0</v>
      </c>
    </row>
    <row r="379">
      <c r="A379" s="2" t="s">
        <v>1396</v>
      </c>
      <c r="B379" s="2" t="s">
        <v>20</v>
      </c>
      <c r="C379" s="2" t="s">
        <v>9</v>
      </c>
      <c r="D379" s="36">
        <v>156.0</v>
      </c>
      <c r="E379" s="36">
        <v>12000.0</v>
      </c>
      <c r="F379" s="36">
        <v>6942.86</v>
      </c>
      <c r="G379" s="36">
        <v>1872000.0</v>
      </c>
      <c r="H379" s="36">
        <v>1083086.0</v>
      </c>
      <c r="I379" s="36">
        <v>788914.0</v>
      </c>
    </row>
    <row r="380">
      <c r="A380" s="2" t="s">
        <v>1397</v>
      </c>
      <c r="B380" s="2" t="s">
        <v>19</v>
      </c>
      <c r="C380" s="2" t="s">
        <v>8</v>
      </c>
      <c r="D380" s="36">
        <v>45.0</v>
      </c>
      <c r="E380" s="36">
        <v>4250.0</v>
      </c>
      <c r="F380" s="36">
        <v>2670.0</v>
      </c>
      <c r="G380" s="36">
        <v>191250.0</v>
      </c>
      <c r="H380" s="36">
        <v>120150.0</v>
      </c>
      <c r="I380" s="36">
        <v>71100.0</v>
      </c>
    </row>
    <row r="381">
      <c r="A381" s="2" t="s">
        <v>1398</v>
      </c>
      <c r="B381" s="2" t="s">
        <v>18</v>
      </c>
      <c r="C381" s="2" t="s">
        <v>6</v>
      </c>
      <c r="D381" s="36">
        <v>17.0</v>
      </c>
      <c r="E381" s="36">
        <v>1800.0</v>
      </c>
      <c r="F381" s="36">
        <v>929.0</v>
      </c>
      <c r="G381" s="36">
        <v>30600.0</v>
      </c>
      <c r="H381" s="36">
        <v>15793.0</v>
      </c>
      <c r="I381" s="36">
        <v>14807.0</v>
      </c>
    </row>
    <row r="382">
      <c r="A382" s="2" t="s">
        <v>1399</v>
      </c>
      <c r="B382" s="2" t="s">
        <v>18</v>
      </c>
      <c r="C382" s="2" t="s">
        <v>6</v>
      </c>
      <c r="D382" s="36">
        <v>247.0</v>
      </c>
      <c r="E382" s="36">
        <v>1800.0</v>
      </c>
      <c r="F382" s="36">
        <v>929.0</v>
      </c>
      <c r="G382" s="36">
        <v>444600.0</v>
      </c>
      <c r="H382" s="36">
        <v>229463.0</v>
      </c>
      <c r="I382" s="36">
        <v>215137.0</v>
      </c>
    </row>
    <row r="383">
      <c r="A383" s="2" t="s">
        <v>1399</v>
      </c>
      <c r="B383" s="2" t="s">
        <v>19</v>
      </c>
      <c r="C383" s="2" t="s">
        <v>8</v>
      </c>
      <c r="D383" s="36">
        <v>32.0</v>
      </c>
      <c r="E383" s="36">
        <v>4250.0</v>
      </c>
      <c r="F383" s="36">
        <v>2670.0</v>
      </c>
      <c r="G383" s="36">
        <v>136000.0</v>
      </c>
      <c r="H383" s="36">
        <v>85440.0</v>
      </c>
      <c r="I383" s="36">
        <v>50560.0</v>
      </c>
    </row>
    <row r="384">
      <c r="A384" s="2" t="s">
        <v>1399</v>
      </c>
      <c r="B384" s="2" t="s">
        <v>20</v>
      </c>
      <c r="C384" s="2" t="s">
        <v>9</v>
      </c>
      <c r="D384" s="36">
        <v>684.0</v>
      </c>
      <c r="E384" s="36">
        <v>12000.0</v>
      </c>
      <c r="F384" s="36">
        <v>6942.86</v>
      </c>
      <c r="G384" s="36">
        <v>8208000.0</v>
      </c>
      <c r="H384" s="36">
        <v>4748916.0</v>
      </c>
      <c r="I384" s="36">
        <v>3459084.0</v>
      </c>
    </row>
    <row r="385">
      <c r="A385" s="2" t="s">
        <v>1400</v>
      </c>
      <c r="B385" s="2" t="s">
        <v>18</v>
      </c>
      <c r="C385" s="2" t="s">
        <v>6</v>
      </c>
      <c r="D385" s="36">
        <v>225.0</v>
      </c>
      <c r="E385" s="36">
        <v>1800.0</v>
      </c>
      <c r="F385" s="36">
        <v>929.0</v>
      </c>
      <c r="G385" s="36">
        <v>405000.0</v>
      </c>
      <c r="H385" s="36">
        <v>209025.0</v>
      </c>
      <c r="I385" s="36">
        <v>195975.0</v>
      </c>
    </row>
    <row r="386">
      <c r="A386" s="2" t="s">
        <v>1401</v>
      </c>
      <c r="B386" s="2" t="s">
        <v>20</v>
      </c>
      <c r="C386" s="2" t="s">
        <v>9</v>
      </c>
      <c r="D386" s="36">
        <v>466.0</v>
      </c>
      <c r="E386" s="36">
        <v>12000.0</v>
      </c>
      <c r="F386" s="36">
        <v>6942.86</v>
      </c>
      <c r="G386" s="36">
        <v>5592000.0</v>
      </c>
      <c r="H386" s="36">
        <v>3235373.0</v>
      </c>
      <c r="I386" s="36">
        <v>2356627.0</v>
      </c>
    </row>
    <row r="387">
      <c r="A387" s="2" t="s">
        <v>1402</v>
      </c>
      <c r="B387" s="2" t="s">
        <v>19</v>
      </c>
      <c r="C387" s="2" t="s">
        <v>8</v>
      </c>
      <c r="D387" s="36">
        <v>249.0</v>
      </c>
      <c r="E387" s="36">
        <v>4250.0</v>
      </c>
      <c r="F387" s="36">
        <v>2670.0</v>
      </c>
      <c r="G387" s="36">
        <v>1058250.0</v>
      </c>
      <c r="H387" s="36">
        <v>664830.0</v>
      </c>
      <c r="I387" s="36">
        <v>393420.0</v>
      </c>
    </row>
    <row r="388">
      <c r="A388" s="2" t="s">
        <v>1403</v>
      </c>
      <c r="B388" s="2" t="s">
        <v>18</v>
      </c>
      <c r="C388" s="2" t="s">
        <v>6</v>
      </c>
      <c r="D388" s="36">
        <v>580.0</v>
      </c>
      <c r="E388" s="36">
        <v>1800.0</v>
      </c>
      <c r="F388" s="36">
        <v>929.0</v>
      </c>
      <c r="G388" s="36">
        <v>1044000.0</v>
      </c>
      <c r="H388" s="36">
        <v>538820.0</v>
      </c>
      <c r="I388" s="36">
        <v>505180.0</v>
      </c>
    </row>
    <row r="389">
      <c r="A389" s="2" t="s">
        <v>1404</v>
      </c>
      <c r="B389" s="2" t="s">
        <v>20</v>
      </c>
      <c r="C389" s="2" t="s">
        <v>9</v>
      </c>
      <c r="D389" s="36">
        <v>45.0</v>
      </c>
      <c r="E389" s="36">
        <v>12000.0</v>
      </c>
      <c r="F389" s="36">
        <v>6942.86</v>
      </c>
      <c r="G389" s="36">
        <v>540000.0</v>
      </c>
      <c r="H389" s="36">
        <v>312429.0</v>
      </c>
      <c r="I389" s="36">
        <v>227571.0</v>
      </c>
    </row>
    <row r="390">
      <c r="A390" s="2" t="s">
        <v>1405</v>
      </c>
      <c r="B390" s="2" t="s">
        <v>19</v>
      </c>
      <c r="C390" s="2" t="s">
        <v>8</v>
      </c>
      <c r="D390" s="36">
        <v>532.0</v>
      </c>
      <c r="E390" s="36">
        <v>4250.0</v>
      </c>
      <c r="F390" s="36">
        <v>2670.0</v>
      </c>
      <c r="G390" s="36">
        <v>2261000.0</v>
      </c>
      <c r="H390" s="36">
        <v>1420440.0</v>
      </c>
      <c r="I390" s="36">
        <v>840560.0</v>
      </c>
    </row>
    <row r="391">
      <c r="A391" s="2" t="s">
        <v>1406</v>
      </c>
      <c r="B391" s="2" t="s">
        <v>18</v>
      </c>
      <c r="C391" s="2" t="s">
        <v>6</v>
      </c>
      <c r="D391" s="36">
        <v>365.0</v>
      </c>
      <c r="E391" s="36">
        <v>1800.0</v>
      </c>
      <c r="F391" s="36">
        <v>929.0</v>
      </c>
      <c r="G391" s="36">
        <v>657000.0</v>
      </c>
      <c r="H391" s="36">
        <v>339085.0</v>
      </c>
      <c r="I391" s="36">
        <v>317915.0</v>
      </c>
    </row>
    <row r="392">
      <c r="A392" s="2" t="s">
        <v>1407</v>
      </c>
      <c r="B392" s="2" t="s">
        <v>20</v>
      </c>
      <c r="C392" s="2" t="s">
        <v>9</v>
      </c>
      <c r="D392" s="36">
        <v>393.0</v>
      </c>
      <c r="E392" s="36">
        <v>12000.0</v>
      </c>
      <c r="F392" s="36">
        <v>6942.86</v>
      </c>
      <c r="G392" s="36">
        <v>4716000.0</v>
      </c>
      <c r="H392" s="36">
        <v>2728544.0</v>
      </c>
      <c r="I392" s="36">
        <v>1987456.0</v>
      </c>
    </row>
    <row r="393">
      <c r="A393" s="2" t="s">
        <v>1408</v>
      </c>
      <c r="B393" s="2" t="s">
        <v>19</v>
      </c>
      <c r="C393" s="2" t="s">
        <v>8</v>
      </c>
      <c r="D393" s="36">
        <v>243.0</v>
      </c>
      <c r="E393" s="36">
        <v>4250.0</v>
      </c>
      <c r="F393" s="36">
        <v>2670.0</v>
      </c>
      <c r="G393" s="36">
        <v>1032750.0</v>
      </c>
      <c r="H393" s="36">
        <v>648810.0</v>
      </c>
      <c r="I393" s="36">
        <v>383940.0</v>
      </c>
    </row>
    <row r="394">
      <c r="A394" s="2" t="s">
        <v>1409</v>
      </c>
      <c r="B394" s="2" t="s">
        <v>18</v>
      </c>
      <c r="C394" s="2" t="s">
        <v>6</v>
      </c>
      <c r="D394" s="36">
        <v>46.0</v>
      </c>
      <c r="E394" s="36">
        <v>1800.0</v>
      </c>
      <c r="F394" s="36">
        <v>929.0</v>
      </c>
      <c r="G394" s="36">
        <v>82800.0</v>
      </c>
      <c r="H394" s="36">
        <v>42734.0</v>
      </c>
      <c r="I394" s="36">
        <v>40066.0</v>
      </c>
    </row>
    <row r="395">
      <c r="A395" s="2" t="s">
        <v>1410</v>
      </c>
      <c r="B395" s="2" t="s">
        <v>20</v>
      </c>
      <c r="C395" s="2" t="s">
        <v>9</v>
      </c>
      <c r="D395" s="36">
        <v>642.0</v>
      </c>
      <c r="E395" s="36">
        <v>12000.0</v>
      </c>
      <c r="F395" s="36">
        <v>6942.86</v>
      </c>
      <c r="G395" s="36">
        <v>7704000.0</v>
      </c>
      <c r="H395" s="36">
        <v>4457316.0</v>
      </c>
      <c r="I395" s="36">
        <v>3246684.0</v>
      </c>
    </row>
    <row r="396">
      <c r="A396" s="2" t="s">
        <v>1411</v>
      </c>
      <c r="B396" s="2" t="s">
        <v>19</v>
      </c>
      <c r="C396" s="2" t="s">
        <v>8</v>
      </c>
      <c r="D396" s="36">
        <v>2119.0</v>
      </c>
      <c r="E396" s="36">
        <v>4250.0</v>
      </c>
      <c r="F396" s="36">
        <v>2670.0</v>
      </c>
      <c r="G396" s="36">
        <v>9005750.0</v>
      </c>
      <c r="H396" s="36">
        <v>5657730.0</v>
      </c>
      <c r="I396" s="36">
        <v>3348020.0</v>
      </c>
    </row>
    <row r="397">
      <c r="A397" s="2" t="s">
        <v>1412</v>
      </c>
      <c r="B397" s="2" t="s">
        <v>18</v>
      </c>
      <c r="C397" s="2" t="s">
        <v>6</v>
      </c>
      <c r="D397" s="36">
        <v>444.0</v>
      </c>
      <c r="E397" s="36">
        <v>1800.0</v>
      </c>
      <c r="F397" s="36">
        <v>929.0</v>
      </c>
      <c r="G397" s="36">
        <v>799200.0</v>
      </c>
      <c r="H397" s="36">
        <v>412476.0</v>
      </c>
      <c r="I397" s="36">
        <v>386724.0</v>
      </c>
    </row>
    <row r="398">
      <c r="A398" s="2" t="s">
        <v>1413</v>
      </c>
      <c r="B398" s="2" t="s">
        <v>20</v>
      </c>
      <c r="C398" s="2" t="s">
        <v>9</v>
      </c>
      <c r="D398" s="36">
        <v>5.0</v>
      </c>
      <c r="E398" s="36">
        <v>12000.0</v>
      </c>
      <c r="F398" s="36">
        <v>6942.86</v>
      </c>
      <c r="G398" s="36">
        <v>60000.0</v>
      </c>
      <c r="H398" s="36">
        <v>34714.0</v>
      </c>
      <c r="I398" s="36">
        <v>25286.0</v>
      </c>
    </row>
    <row r="399">
      <c r="A399" s="2" t="s">
        <v>1414</v>
      </c>
      <c r="B399" s="2" t="s">
        <v>19</v>
      </c>
      <c r="C399" s="2" t="s">
        <v>8</v>
      </c>
      <c r="D399" s="36">
        <v>154.0</v>
      </c>
      <c r="E399" s="36">
        <v>4250.0</v>
      </c>
      <c r="F399" s="36">
        <v>2670.0</v>
      </c>
      <c r="G399" s="36">
        <v>654500.0</v>
      </c>
      <c r="H399" s="36">
        <v>411180.0</v>
      </c>
      <c r="I399" s="36">
        <v>243320.0</v>
      </c>
    </row>
    <row r="400">
      <c r="A400" s="2" t="s">
        <v>1415</v>
      </c>
      <c r="B400" s="2" t="s">
        <v>18</v>
      </c>
      <c r="C400" s="2" t="s">
        <v>6</v>
      </c>
      <c r="D400" s="36">
        <v>458.0</v>
      </c>
      <c r="E400" s="36">
        <v>1800.0</v>
      </c>
      <c r="F400" s="36">
        <v>929.0</v>
      </c>
      <c r="G400" s="36">
        <v>824400.0</v>
      </c>
      <c r="H400" s="36">
        <v>425482.0</v>
      </c>
      <c r="I400" s="36">
        <v>398918.0</v>
      </c>
    </row>
    <row r="401">
      <c r="A401" s="2" t="s">
        <v>1416</v>
      </c>
      <c r="B401" s="2" t="s">
        <v>20</v>
      </c>
      <c r="C401" s="2" t="s">
        <v>9</v>
      </c>
      <c r="D401" s="36">
        <v>457.0</v>
      </c>
      <c r="E401" s="36">
        <v>12000.0</v>
      </c>
      <c r="F401" s="36">
        <v>6942.86</v>
      </c>
      <c r="G401" s="36">
        <v>5484000.0</v>
      </c>
      <c r="H401" s="36">
        <v>3172887.0</v>
      </c>
      <c r="I401" s="36">
        <v>2311113.0</v>
      </c>
    </row>
    <row r="402">
      <c r="A402" s="2" t="s">
        <v>1417</v>
      </c>
      <c r="B402" s="2" t="s">
        <v>19</v>
      </c>
      <c r="C402" s="2" t="s">
        <v>8</v>
      </c>
      <c r="D402" s="36">
        <v>36.0</v>
      </c>
      <c r="E402" s="36">
        <v>4250.0</v>
      </c>
      <c r="F402" s="36">
        <v>2670.0</v>
      </c>
      <c r="G402" s="36">
        <v>153000.0</v>
      </c>
      <c r="H402" s="36">
        <v>96120.0</v>
      </c>
      <c r="I402" s="36">
        <v>56880.0</v>
      </c>
    </row>
    <row r="403">
      <c r="A403" s="2" t="s">
        <v>1418</v>
      </c>
      <c r="B403" s="2" t="s">
        <v>18</v>
      </c>
      <c r="C403" s="2" t="s">
        <v>6</v>
      </c>
      <c r="D403" s="36">
        <v>284.0</v>
      </c>
      <c r="E403" s="36">
        <v>1800.0</v>
      </c>
      <c r="F403" s="36">
        <v>929.0</v>
      </c>
      <c r="G403" s="36">
        <v>511200.0</v>
      </c>
      <c r="H403" s="36">
        <v>263836.0</v>
      </c>
      <c r="I403" s="36">
        <v>247364.0</v>
      </c>
    </row>
    <row r="404">
      <c r="A404" s="2" t="s">
        <v>1419</v>
      </c>
      <c r="B404" s="2" t="s">
        <v>20</v>
      </c>
      <c r="C404" s="2" t="s">
        <v>9</v>
      </c>
      <c r="D404" s="36">
        <v>922.0</v>
      </c>
      <c r="E404" s="36">
        <v>12000.0</v>
      </c>
      <c r="F404" s="36">
        <v>6942.86</v>
      </c>
      <c r="G404" s="36">
        <v>1.1064E7</v>
      </c>
      <c r="H404" s="36">
        <v>6401317.0</v>
      </c>
      <c r="I404" s="36">
        <v>4662683.0</v>
      </c>
    </row>
    <row r="405">
      <c r="A405" s="2" t="s">
        <v>1420</v>
      </c>
      <c r="B405" s="2" t="s">
        <v>19</v>
      </c>
      <c r="C405" s="2" t="s">
        <v>8</v>
      </c>
      <c r="D405" s="36">
        <v>128.0</v>
      </c>
      <c r="E405" s="36">
        <v>4250.0</v>
      </c>
      <c r="F405" s="36">
        <v>2670.0</v>
      </c>
      <c r="G405" s="36">
        <v>544000.0</v>
      </c>
      <c r="H405" s="36">
        <v>341760.0</v>
      </c>
      <c r="I405" s="36">
        <v>202240.0</v>
      </c>
    </row>
    <row r="406">
      <c r="A406" s="2" t="s">
        <v>1421</v>
      </c>
      <c r="B406" s="2" t="s">
        <v>18</v>
      </c>
      <c r="C406" s="2" t="s">
        <v>6</v>
      </c>
      <c r="D406" s="36">
        <v>132.0</v>
      </c>
      <c r="E406" s="36">
        <v>1800.0</v>
      </c>
      <c r="F406" s="36">
        <v>929.0</v>
      </c>
      <c r="G406" s="36">
        <v>237600.0</v>
      </c>
      <c r="H406" s="36">
        <v>122628.0</v>
      </c>
      <c r="I406" s="36">
        <v>114972.0</v>
      </c>
    </row>
    <row r="407">
      <c r="A407" s="2" t="s">
        <v>1422</v>
      </c>
      <c r="B407" s="2" t="s">
        <v>20</v>
      </c>
      <c r="C407" s="2" t="s">
        <v>9</v>
      </c>
      <c r="D407" s="36">
        <v>666.0</v>
      </c>
      <c r="E407" s="36">
        <v>12000.0</v>
      </c>
      <c r="F407" s="36">
        <v>6942.86</v>
      </c>
      <c r="G407" s="36">
        <v>7992000.0</v>
      </c>
      <c r="H407" s="36">
        <v>4623945.0</v>
      </c>
      <c r="I407" s="36">
        <v>3368055.0</v>
      </c>
    </row>
    <row r="408">
      <c r="A408" s="2" t="s">
        <v>1423</v>
      </c>
      <c r="B408" s="2" t="s">
        <v>19</v>
      </c>
      <c r="C408" s="2" t="s">
        <v>8</v>
      </c>
      <c r="D408" s="36">
        <v>410.0</v>
      </c>
      <c r="E408" s="36">
        <v>4250.0</v>
      </c>
      <c r="F408" s="36">
        <v>2670.0</v>
      </c>
      <c r="G408" s="36">
        <v>1742500.0</v>
      </c>
      <c r="H408" s="36">
        <v>1094700.0</v>
      </c>
      <c r="I408" s="36">
        <v>647800.0</v>
      </c>
    </row>
    <row r="409">
      <c r="A409" s="2" t="s">
        <v>1424</v>
      </c>
      <c r="B409" s="2" t="s">
        <v>18</v>
      </c>
      <c r="C409" s="2" t="s">
        <v>6</v>
      </c>
      <c r="D409" s="36">
        <v>45.0</v>
      </c>
      <c r="E409" s="36">
        <v>1800.0</v>
      </c>
      <c r="F409" s="36">
        <v>929.0</v>
      </c>
      <c r="G409" s="36">
        <v>81000.0</v>
      </c>
      <c r="H409" s="36">
        <v>41805.0</v>
      </c>
      <c r="I409" s="36">
        <v>39195.0</v>
      </c>
    </row>
    <row r="410">
      <c r="A410" s="2" t="s">
        <v>1425</v>
      </c>
      <c r="B410" s="2" t="s">
        <v>20</v>
      </c>
      <c r="C410" s="2" t="s">
        <v>9</v>
      </c>
      <c r="D410" s="36">
        <v>381.0</v>
      </c>
      <c r="E410" s="36">
        <v>12000.0</v>
      </c>
      <c r="F410" s="36">
        <v>6942.86</v>
      </c>
      <c r="G410" s="36">
        <v>4572000.0</v>
      </c>
      <c r="H410" s="36">
        <v>2645230.0</v>
      </c>
      <c r="I410" s="36">
        <v>1926770.0</v>
      </c>
    </row>
    <row r="411">
      <c r="A411" s="2" t="s">
        <v>1426</v>
      </c>
      <c r="B411" s="2" t="s">
        <v>19</v>
      </c>
      <c r="C411" s="2" t="s">
        <v>8</v>
      </c>
      <c r="D411" s="36">
        <v>170.0</v>
      </c>
      <c r="E411" s="36">
        <v>4250.0</v>
      </c>
      <c r="F411" s="36">
        <v>2670.0</v>
      </c>
      <c r="G411" s="36">
        <v>722500.0</v>
      </c>
      <c r="H411" s="36">
        <v>453900.0</v>
      </c>
      <c r="I411" s="36">
        <v>268600.0</v>
      </c>
    </row>
    <row r="412">
      <c r="A412" s="2" t="s">
        <v>1427</v>
      </c>
      <c r="B412" s="2" t="s">
        <v>18</v>
      </c>
      <c r="C412" s="2" t="s">
        <v>6</v>
      </c>
      <c r="D412" s="36">
        <v>73.0</v>
      </c>
      <c r="E412" s="36">
        <v>1800.0</v>
      </c>
      <c r="F412" s="36">
        <v>929.0</v>
      </c>
      <c r="G412" s="36">
        <v>131400.0</v>
      </c>
      <c r="H412" s="36">
        <v>67817.0</v>
      </c>
      <c r="I412" s="36">
        <v>63583.0</v>
      </c>
    </row>
    <row r="413">
      <c r="A413" s="2" t="s">
        <v>1428</v>
      </c>
      <c r="B413" s="2" t="s">
        <v>20</v>
      </c>
      <c r="C413" s="2" t="s">
        <v>9</v>
      </c>
      <c r="D413" s="36">
        <v>234.0</v>
      </c>
      <c r="E413" s="36">
        <v>12000.0</v>
      </c>
      <c r="F413" s="36">
        <v>6942.86</v>
      </c>
      <c r="G413" s="36">
        <v>2808000.0</v>
      </c>
      <c r="H413" s="36">
        <v>1624629.0</v>
      </c>
      <c r="I413" s="36">
        <v>1183371.0</v>
      </c>
    </row>
    <row r="414">
      <c r="A414" s="2" t="s">
        <v>1429</v>
      </c>
      <c r="B414" s="2" t="s">
        <v>19</v>
      </c>
      <c r="C414" s="2" t="s">
        <v>8</v>
      </c>
      <c r="D414" s="36">
        <v>719.0</v>
      </c>
      <c r="E414" s="36">
        <v>4250.0</v>
      </c>
      <c r="F414" s="36">
        <v>2670.0</v>
      </c>
      <c r="G414" s="36">
        <v>3055750.0</v>
      </c>
      <c r="H414" s="36">
        <v>1919730.0</v>
      </c>
      <c r="I414" s="36">
        <v>1136020.0</v>
      </c>
    </row>
    <row r="415">
      <c r="A415" s="2" t="s">
        <v>1429</v>
      </c>
      <c r="B415" s="2" t="s">
        <v>18</v>
      </c>
      <c r="C415" s="2" t="s">
        <v>6</v>
      </c>
      <c r="D415" s="36">
        <v>443.0</v>
      </c>
      <c r="E415" s="36">
        <v>1800.0</v>
      </c>
      <c r="F415" s="36">
        <v>929.0</v>
      </c>
      <c r="G415" s="36">
        <v>797400.0</v>
      </c>
      <c r="H415" s="36">
        <v>411547.0</v>
      </c>
      <c r="I415" s="36">
        <v>385853.0</v>
      </c>
    </row>
    <row r="416">
      <c r="A416" s="2" t="s">
        <v>1430</v>
      </c>
      <c r="B416" s="2" t="s">
        <v>20</v>
      </c>
      <c r="C416" s="2" t="s">
        <v>9</v>
      </c>
      <c r="D416" s="36">
        <v>51.0</v>
      </c>
      <c r="E416" s="36">
        <v>12000.0</v>
      </c>
      <c r="F416" s="36">
        <v>6942.86</v>
      </c>
      <c r="G416" s="36">
        <v>612000.0</v>
      </c>
      <c r="H416" s="36">
        <v>354086.0</v>
      </c>
      <c r="I416" s="36">
        <v>257914.0</v>
      </c>
    </row>
    <row r="417">
      <c r="A417" s="2" t="s">
        <v>1431</v>
      </c>
      <c r="B417" s="2" t="s">
        <v>19</v>
      </c>
      <c r="C417" s="2" t="s">
        <v>8</v>
      </c>
      <c r="D417" s="36">
        <v>895.0</v>
      </c>
      <c r="E417" s="36">
        <v>4250.0</v>
      </c>
      <c r="F417" s="36">
        <v>2670.0</v>
      </c>
      <c r="G417" s="36">
        <v>3803750.0</v>
      </c>
      <c r="H417" s="36">
        <v>2389650.0</v>
      </c>
      <c r="I417" s="36">
        <v>1414100.0</v>
      </c>
    </row>
    <row r="418">
      <c r="A418" s="2" t="s">
        <v>1432</v>
      </c>
      <c r="B418" s="2" t="s">
        <v>18</v>
      </c>
      <c r="C418" s="2" t="s">
        <v>6</v>
      </c>
      <c r="D418" s="36">
        <v>473.0</v>
      </c>
      <c r="E418" s="36">
        <v>1800.0</v>
      </c>
      <c r="F418" s="36">
        <v>929.0</v>
      </c>
      <c r="G418" s="36">
        <v>851400.0</v>
      </c>
      <c r="H418" s="36">
        <v>439417.0</v>
      </c>
      <c r="I418" s="36">
        <v>411983.0</v>
      </c>
    </row>
    <row r="419">
      <c r="A419" s="2" t="s">
        <v>1433</v>
      </c>
      <c r="B419" s="2" t="s">
        <v>20</v>
      </c>
      <c r="C419" s="2" t="s">
        <v>9</v>
      </c>
      <c r="D419" s="36">
        <v>184.0</v>
      </c>
      <c r="E419" s="36">
        <v>12000.0</v>
      </c>
      <c r="F419" s="36">
        <v>6942.86</v>
      </c>
      <c r="G419" s="36">
        <v>2208000.0</v>
      </c>
      <c r="H419" s="36">
        <v>1277486.0</v>
      </c>
      <c r="I419" s="36">
        <v>930514.0</v>
      </c>
    </row>
    <row r="420">
      <c r="A420" s="2" t="s">
        <v>1434</v>
      </c>
      <c r="B420" s="2" t="s">
        <v>19</v>
      </c>
      <c r="C420" s="2" t="s">
        <v>8</v>
      </c>
      <c r="D420" s="36">
        <v>898.0</v>
      </c>
      <c r="E420" s="36">
        <v>4250.0</v>
      </c>
      <c r="F420" s="36">
        <v>2670.0</v>
      </c>
      <c r="G420" s="36">
        <v>3816500.0</v>
      </c>
      <c r="H420" s="36">
        <v>2397660.0</v>
      </c>
      <c r="I420" s="36">
        <v>1418840.0</v>
      </c>
    </row>
    <row r="421">
      <c r="A421" s="2" t="s">
        <v>1435</v>
      </c>
      <c r="B421" s="2" t="s">
        <v>18</v>
      </c>
      <c r="C421" s="2" t="s">
        <v>6</v>
      </c>
      <c r="D421" s="36">
        <v>192.0</v>
      </c>
      <c r="E421" s="36">
        <v>1800.0</v>
      </c>
      <c r="F421" s="36">
        <v>929.0</v>
      </c>
      <c r="G421" s="36">
        <v>345600.0</v>
      </c>
      <c r="H421" s="36">
        <v>178368.0</v>
      </c>
      <c r="I421" s="36">
        <v>167232.0</v>
      </c>
    </row>
    <row r="422">
      <c r="A422" s="2" t="s">
        <v>1436</v>
      </c>
      <c r="B422" s="2" t="s">
        <v>20</v>
      </c>
      <c r="C422" s="2" t="s">
        <v>9</v>
      </c>
      <c r="D422" s="36">
        <v>480.0</v>
      </c>
      <c r="E422" s="36">
        <v>12000.0</v>
      </c>
      <c r="F422" s="36">
        <v>6942.86</v>
      </c>
      <c r="G422" s="36">
        <v>5760000.0</v>
      </c>
      <c r="H422" s="36">
        <v>3332573.0</v>
      </c>
      <c r="I422" s="36">
        <v>2427427.0</v>
      </c>
    </row>
    <row r="423">
      <c r="A423" s="2" t="s">
        <v>1437</v>
      </c>
      <c r="B423" s="2" t="s">
        <v>19</v>
      </c>
      <c r="C423" s="2" t="s">
        <v>8</v>
      </c>
      <c r="D423" s="36">
        <v>24.0</v>
      </c>
      <c r="E423" s="36">
        <v>4250.0</v>
      </c>
      <c r="F423" s="36">
        <v>2670.0</v>
      </c>
      <c r="G423" s="36">
        <v>102000.0</v>
      </c>
      <c r="H423" s="36">
        <v>64080.0</v>
      </c>
      <c r="I423" s="36">
        <v>37920.0</v>
      </c>
    </row>
    <row r="424">
      <c r="A424" s="2" t="s">
        <v>1438</v>
      </c>
      <c r="B424" s="2" t="s">
        <v>18</v>
      </c>
      <c r="C424" s="2" t="s">
        <v>6</v>
      </c>
      <c r="D424" s="36">
        <v>616.0</v>
      </c>
      <c r="E424" s="36">
        <v>1800.0</v>
      </c>
      <c r="F424" s="36">
        <v>929.0</v>
      </c>
      <c r="G424" s="36">
        <v>1108800.0</v>
      </c>
      <c r="H424" s="36">
        <v>572264.0</v>
      </c>
      <c r="I424" s="36">
        <v>536536.0</v>
      </c>
    </row>
    <row r="425">
      <c r="A425" s="2" t="s">
        <v>1439</v>
      </c>
      <c r="B425" s="2" t="s">
        <v>20</v>
      </c>
      <c r="C425" s="2" t="s">
        <v>9</v>
      </c>
      <c r="D425" s="36">
        <v>130.0</v>
      </c>
      <c r="E425" s="36">
        <v>12000.0</v>
      </c>
      <c r="F425" s="36">
        <v>6942.86</v>
      </c>
      <c r="G425" s="36">
        <v>1560000.0</v>
      </c>
      <c r="H425" s="36">
        <v>902572.0</v>
      </c>
      <c r="I425" s="36">
        <v>657428.0</v>
      </c>
    </row>
    <row r="426">
      <c r="A426" s="2" t="s">
        <v>1440</v>
      </c>
      <c r="B426" s="2" t="s">
        <v>19</v>
      </c>
      <c r="C426" s="2" t="s">
        <v>8</v>
      </c>
      <c r="D426" s="36">
        <v>289.0</v>
      </c>
      <c r="E426" s="36">
        <v>4250.0</v>
      </c>
      <c r="F426" s="36">
        <v>2670.0</v>
      </c>
      <c r="G426" s="36">
        <v>1228250.0</v>
      </c>
      <c r="H426" s="36">
        <v>771630.0</v>
      </c>
      <c r="I426" s="36">
        <v>456620.0</v>
      </c>
    </row>
    <row r="427">
      <c r="A427" s="2" t="s">
        <v>1441</v>
      </c>
      <c r="B427" s="2" t="s">
        <v>18</v>
      </c>
      <c r="C427" s="2" t="s">
        <v>6</v>
      </c>
      <c r="D427" s="36">
        <v>349.0</v>
      </c>
      <c r="E427" s="36">
        <v>1800.0</v>
      </c>
      <c r="F427" s="36">
        <v>929.0</v>
      </c>
      <c r="G427" s="36">
        <v>628200.0</v>
      </c>
      <c r="H427" s="36">
        <v>324221.0</v>
      </c>
      <c r="I427" s="36">
        <v>303979.0</v>
      </c>
    </row>
    <row r="428">
      <c r="A428" s="2" t="s">
        <v>1442</v>
      </c>
      <c r="B428" s="2" t="s">
        <v>20</v>
      </c>
      <c r="C428" s="2" t="s">
        <v>9</v>
      </c>
      <c r="D428" s="36">
        <v>464.0</v>
      </c>
      <c r="E428" s="36">
        <v>12000.0</v>
      </c>
      <c r="F428" s="36">
        <v>6942.86</v>
      </c>
      <c r="G428" s="36">
        <v>5568000.0</v>
      </c>
      <c r="H428" s="36">
        <v>3221487.0</v>
      </c>
      <c r="I428" s="36">
        <v>2346513.0</v>
      </c>
    </row>
    <row r="429">
      <c r="A429" s="2" t="s">
        <v>1443</v>
      </c>
      <c r="B429" s="2" t="s">
        <v>19</v>
      </c>
      <c r="C429" s="2" t="s">
        <v>8</v>
      </c>
      <c r="D429" s="36">
        <v>161.0</v>
      </c>
      <c r="E429" s="36">
        <v>4250.0</v>
      </c>
      <c r="F429" s="36">
        <v>2670.0</v>
      </c>
      <c r="G429" s="36">
        <v>684250.0</v>
      </c>
      <c r="H429" s="36">
        <v>429870.0</v>
      </c>
      <c r="I429" s="36">
        <v>254380.0</v>
      </c>
    </row>
    <row r="430">
      <c r="A430" s="2" t="s">
        <v>1444</v>
      </c>
      <c r="B430" s="2" t="s">
        <v>18</v>
      </c>
      <c r="C430" s="2" t="s">
        <v>6</v>
      </c>
      <c r="D430" s="36">
        <v>700.0</v>
      </c>
      <c r="E430" s="36">
        <v>1800.0</v>
      </c>
      <c r="F430" s="36">
        <v>929.0</v>
      </c>
      <c r="G430" s="36">
        <v>1260000.0</v>
      </c>
      <c r="H430" s="36">
        <v>650300.0</v>
      </c>
      <c r="I430" s="36">
        <v>609700.0</v>
      </c>
    </row>
    <row r="431">
      <c r="A431" s="2" t="s">
        <v>1445</v>
      </c>
      <c r="B431" s="2" t="s">
        <v>20</v>
      </c>
      <c r="C431" s="2" t="s">
        <v>9</v>
      </c>
      <c r="D431" s="36">
        <v>369.0</v>
      </c>
      <c r="E431" s="36">
        <v>12000.0</v>
      </c>
      <c r="F431" s="36">
        <v>6942.86</v>
      </c>
      <c r="G431" s="36">
        <v>4428000.0</v>
      </c>
      <c r="H431" s="36">
        <v>2561915.0</v>
      </c>
      <c r="I431" s="36">
        <v>1866085.0</v>
      </c>
    </row>
    <row r="432">
      <c r="A432" s="2" t="s">
        <v>1446</v>
      </c>
      <c r="B432" s="2" t="s">
        <v>19</v>
      </c>
      <c r="C432" s="2" t="s">
        <v>8</v>
      </c>
      <c r="D432" s="36">
        <v>195.0</v>
      </c>
      <c r="E432" s="36">
        <v>4250.0</v>
      </c>
      <c r="F432" s="36">
        <v>2670.0</v>
      </c>
      <c r="G432" s="36">
        <v>828750.0</v>
      </c>
      <c r="H432" s="36">
        <v>520650.0</v>
      </c>
      <c r="I432" s="36">
        <v>308100.0</v>
      </c>
    </row>
    <row r="433">
      <c r="A433" s="2" t="s">
        <v>1447</v>
      </c>
      <c r="B433" s="2" t="s">
        <v>18</v>
      </c>
      <c r="C433" s="2" t="s">
        <v>6</v>
      </c>
      <c r="D433" s="36">
        <v>213.0</v>
      </c>
      <c r="E433" s="36">
        <v>1800.0</v>
      </c>
      <c r="F433" s="36">
        <v>929.0</v>
      </c>
      <c r="G433" s="36">
        <v>383400.0</v>
      </c>
      <c r="H433" s="36">
        <v>197877.0</v>
      </c>
      <c r="I433" s="36">
        <v>185523.0</v>
      </c>
    </row>
    <row r="434">
      <c r="A434" s="2" t="s">
        <v>1448</v>
      </c>
      <c r="B434" s="2" t="s">
        <v>20</v>
      </c>
      <c r="C434" s="2" t="s">
        <v>9</v>
      </c>
      <c r="D434" s="36">
        <v>132.0</v>
      </c>
      <c r="E434" s="36">
        <v>12000.0</v>
      </c>
      <c r="F434" s="36">
        <v>6942.86</v>
      </c>
      <c r="G434" s="36">
        <v>1584000.0</v>
      </c>
      <c r="H434" s="36">
        <v>916458.0</v>
      </c>
      <c r="I434" s="36">
        <v>667542.0</v>
      </c>
    </row>
    <row r="435">
      <c r="A435" s="2" t="s">
        <v>1449</v>
      </c>
      <c r="B435" s="2" t="s">
        <v>19</v>
      </c>
      <c r="C435" s="2" t="s">
        <v>8</v>
      </c>
      <c r="D435" s="36">
        <v>572.0</v>
      </c>
      <c r="E435" s="36">
        <v>4250.0</v>
      </c>
      <c r="F435" s="36">
        <v>2670.0</v>
      </c>
      <c r="G435" s="36">
        <v>2431000.0</v>
      </c>
      <c r="H435" s="36">
        <v>1527240.0</v>
      </c>
      <c r="I435" s="36">
        <v>903760.0</v>
      </c>
    </row>
    <row r="436">
      <c r="A436" s="2" t="s">
        <v>1450</v>
      </c>
      <c r="B436" s="2" t="s">
        <v>18</v>
      </c>
      <c r="C436" s="2" t="s">
        <v>6</v>
      </c>
      <c r="D436" s="36">
        <v>14.0</v>
      </c>
      <c r="E436" s="36">
        <v>1800.0</v>
      </c>
      <c r="F436" s="36">
        <v>929.0</v>
      </c>
      <c r="G436" s="36">
        <v>25200.0</v>
      </c>
      <c r="H436" s="36">
        <v>13006.0</v>
      </c>
      <c r="I436" s="36">
        <v>12194.0</v>
      </c>
    </row>
    <row r="437">
      <c r="A437" s="2" t="s">
        <v>1451</v>
      </c>
      <c r="B437" s="2" t="s">
        <v>20</v>
      </c>
      <c r="C437" s="2" t="s">
        <v>9</v>
      </c>
      <c r="D437" s="36">
        <v>425.0</v>
      </c>
      <c r="E437" s="36">
        <v>12000.0</v>
      </c>
      <c r="F437" s="36">
        <v>6942.86</v>
      </c>
      <c r="G437" s="36">
        <v>5100000.0</v>
      </c>
      <c r="H437" s="36">
        <v>2950716.0</v>
      </c>
      <c r="I437" s="36">
        <v>2149284.0</v>
      </c>
    </row>
    <row r="438">
      <c r="A438" s="2" t="s">
        <v>1452</v>
      </c>
      <c r="B438" s="2" t="s">
        <v>19</v>
      </c>
      <c r="C438" s="2" t="s">
        <v>8</v>
      </c>
      <c r="D438" s="36">
        <v>859.0</v>
      </c>
      <c r="E438" s="36">
        <v>4250.0</v>
      </c>
      <c r="F438" s="36">
        <v>2670.0</v>
      </c>
      <c r="G438" s="36">
        <v>3650750.0</v>
      </c>
      <c r="H438" s="36">
        <v>2293530.0</v>
      </c>
      <c r="I438" s="36">
        <v>1357220.0</v>
      </c>
    </row>
    <row r="439">
      <c r="A439" s="2" t="s">
        <v>1453</v>
      </c>
      <c r="B439" s="2" t="s">
        <v>18</v>
      </c>
      <c r="C439" s="2" t="s">
        <v>6</v>
      </c>
      <c r="D439" s="36">
        <v>22.0</v>
      </c>
      <c r="E439" s="36">
        <v>1800.0</v>
      </c>
      <c r="F439" s="36">
        <v>929.0</v>
      </c>
      <c r="G439" s="36">
        <v>39600.0</v>
      </c>
      <c r="H439" s="36">
        <v>20438.0</v>
      </c>
      <c r="I439" s="36">
        <v>19162.0</v>
      </c>
    </row>
    <row r="440">
      <c r="A440" s="2" t="s">
        <v>1454</v>
      </c>
      <c r="B440" s="2" t="s">
        <v>20</v>
      </c>
      <c r="C440" s="2" t="s">
        <v>9</v>
      </c>
      <c r="D440" s="36">
        <v>2283.0</v>
      </c>
      <c r="E440" s="36">
        <v>12000.0</v>
      </c>
      <c r="F440" s="36">
        <v>6942.86</v>
      </c>
      <c r="G440" s="36">
        <v>2.7396E7</v>
      </c>
      <c r="H440" s="36">
        <v>1.5850549E7</v>
      </c>
      <c r="I440" s="36">
        <v>1.1545451E7</v>
      </c>
    </row>
    <row r="441">
      <c r="A441" s="2" t="s">
        <v>1455</v>
      </c>
      <c r="B441" s="2" t="s">
        <v>19</v>
      </c>
      <c r="C441" s="2" t="s">
        <v>8</v>
      </c>
      <c r="D441" s="36">
        <v>26.0</v>
      </c>
      <c r="E441" s="36">
        <v>4250.0</v>
      </c>
      <c r="F441" s="36">
        <v>2670.0</v>
      </c>
      <c r="G441" s="36">
        <v>110500.0</v>
      </c>
      <c r="H441" s="36">
        <v>69420.0</v>
      </c>
      <c r="I441" s="36">
        <v>41080.0</v>
      </c>
    </row>
    <row r="442">
      <c r="A442" s="2" t="s">
        <v>1456</v>
      </c>
      <c r="B442" s="2" t="s">
        <v>18</v>
      </c>
      <c r="C442" s="2" t="s">
        <v>6</v>
      </c>
      <c r="D442" s="36">
        <v>1562.0</v>
      </c>
      <c r="E442" s="36">
        <v>1800.0</v>
      </c>
      <c r="F442" s="36">
        <v>929.0</v>
      </c>
      <c r="G442" s="36">
        <v>2811600.0</v>
      </c>
      <c r="H442" s="36">
        <v>1451098.0</v>
      </c>
      <c r="I442" s="36">
        <v>1360502.0</v>
      </c>
    </row>
    <row r="443">
      <c r="A443" s="2" t="s">
        <v>1457</v>
      </c>
      <c r="B443" s="2" t="s">
        <v>20</v>
      </c>
      <c r="C443" s="2" t="s">
        <v>9</v>
      </c>
      <c r="D443" s="36">
        <v>91.0</v>
      </c>
      <c r="E443" s="36">
        <v>12000.0</v>
      </c>
      <c r="F443" s="36">
        <v>6942.86</v>
      </c>
      <c r="G443" s="36">
        <v>1092000.0</v>
      </c>
      <c r="H443" s="36">
        <v>631800.0</v>
      </c>
      <c r="I443" s="36">
        <v>460200.0</v>
      </c>
    </row>
    <row r="444">
      <c r="A444" s="2" t="s">
        <v>1458</v>
      </c>
      <c r="B444" s="2" t="s">
        <v>19</v>
      </c>
      <c r="C444" s="2" t="s">
        <v>8</v>
      </c>
      <c r="D444" s="36">
        <v>439.0</v>
      </c>
      <c r="E444" s="36">
        <v>4250.0</v>
      </c>
      <c r="F444" s="36">
        <v>2670.0</v>
      </c>
      <c r="G444" s="36">
        <v>1865750.0</v>
      </c>
      <c r="H444" s="36">
        <v>1172130.0</v>
      </c>
      <c r="I444" s="36">
        <v>693620.0</v>
      </c>
    </row>
    <row r="445">
      <c r="A445" s="2" t="s">
        <v>1459</v>
      </c>
      <c r="B445" s="2" t="s">
        <v>18</v>
      </c>
      <c r="C445" s="2" t="s">
        <v>6</v>
      </c>
      <c r="D445" s="36">
        <v>152.0</v>
      </c>
      <c r="E445" s="36">
        <v>1800.0</v>
      </c>
      <c r="F445" s="36">
        <v>929.0</v>
      </c>
      <c r="G445" s="36">
        <v>273600.0</v>
      </c>
      <c r="H445" s="36">
        <v>141208.0</v>
      </c>
      <c r="I445" s="36">
        <v>132392.0</v>
      </c>
    </row>
    <row r="446">
      <c r="A446" s="2" t="s">
        <v>1460</v>
      </c>
      <c r="B446" s="2" t="s">
        <v>20</v>
      </c>
      <c r="C446" s="2" t="s">
        <v>9</v>
      </c>
      <c r="D446" s="36">
        <v>116.0</v>
      </c>
      <c r="E446" s="36">
        <v>12000.0</v>
      </c>
      <c r="F446" s="36">
        <v>6942.86</v>
      </c>
      <c r="G446" s="36">
        <v>1392000.0</v>
      </c>
      <c r="H446" s="36">
        <v>805372.0</v>
      </c>
      <c r="I446" s="36">
        <v>586628.0</v>
      </c>
    </row>
    <row r="447">
      <c r="A447" s="2" t="s">
        <v>1461</v>
      </c>
      <c r="B447" s="2" t="s">
        <v>19</v>
      </c>
      <c r="C447" s="2" t="s">
        <v>8</v>
      </c>
      <c r="D447" s="36">
        <v>294.0</v>
      </c>
      <c r="E447" s="36">
        <v>4250.0</v>
      </c>
      <c r="F447" s="36">
        <v>2670.0</v>
      </c>
      <c r="G447" s="36">
        <v>1249500.0</v>
      </c>
      <c r="H447" s="36">
        <v>784980.0</v>
      </c>
      <c r="I447" s="36">
        <v>464520.0</v>
      </c>
    </row>
    <row r="448">
      <c r="A448" s="2" t="s">
        <v>1462</v>
      </c>
      <c r="B448" s="2" t="s">
        <v>18</v>
      </c>
      <c r="C448" s="2" t="s">
        <v>6</v>
      </c>
      <c r="D448" s="36">
        <v>1838.0</v>
      </c>
      <c r="E448" s="36">
        <v>1800.0</v>
      </c>
      <c r="F448" s="36">
        <v>929.0</v>
      </c>
      <c r="G448" s="36">
        <v>3308400.0</v>
      </c>
      <c r="H448" s="36">
        <v>1707502.0</v>
      </c>
      <c r="I448" s="36">
        <v>1600898.0</v>
      </c>
    </row>
    <row r="449">
      <c r="A449" s="2" t="s">
        <v>1463</v>
      </c>
      <c r="B449" s="2" t="s">
        <v>18</v>
      </c>
      <c r="C449" s="2" t="s">
        <v>6</v>
      </c>
      <c r="D449" s="36">
        <v>299.0</v>
      </c>
      <c r="E449" s="36">
        <v>1800.0</v>
      </c>
      <c r="F449" s="36">
        <v>929.0</v>
      </c>
      <c r="G449" s="36">
        <v>538200.0</v>
      </c>
      <c r="H449" s="36">
        <v>277771.0</v>
      </c>
      <c r="I449" s="36">
        <v>260429.0</v>
      </c>
    </row>
    <row r="450">
      <c r="A450" s="2" t="s">
        <v>1464</v>
      </c>
      <c r="B450" s="2" t="s">
        <v>19</v>
      </c>
      <c r="C450" s="2" t="s">
        <v>8</v>
      </c>
      <c r="D450" s="36">
        <v>111.0</v>
      </c>
      <c r="E450" s="36">
        <v>4250.0</v>
      </c>
      <c r="F450" s="36">
        <v>2670.0</v>
      </c>
      <c r="G450" s="36">
        <v>471750.0</v>
      </c>
      <c r="H450" s="36">
        <v>296370.0</v>
      </c>
      <c r="I450" s="36">
        <v>175380.0</v>
      </c>
    </row>
    <row r="451">
      <c r="A451" s="2" t="s">
        <v>1464</v>
      </c>
      <c r="B451" s="2" t="s">
        <v>20</v>
      </c>
      <c r="C451" s="2" t="s">
        <v>9</v>
      </c>
      <c r="D451" s="36">
        <v>479.0</v>
      </c>
      <c r="E451" s="36">
        <v>12000.0</v>
      </c>
      <c r="F451" s="36">
        <v>6942.86</v>
      </c>
      <c r="G451" s="36">
        <v>5748000.0</v>
      </c>
      <c r="H451" s="36">
        <v>3325630.0</v>
      </c>
      <c r="I451" s="36">
        <v>2422370.0</v>
      </c>
    </row>
    <row r="452">
      <c r="A452" s="2" t="s">
        <v>1465</v>
      </c>
      <c r="B452" s="2" t="s">
        <v>20</v>
      </c>
      <c r="C452" s="2" t="s">
        <v>9</v>
      </c>
      <c r="D452" s="36">
        <v>463.0</v>
      </c>
      <c r="E452" s="36">
        <v>12000.0</v>
      </c>
      <c r="F452" s="36">
        <v>6942.86</v>
      </c>
      <c r="G452" s="36">
        <v>5556000.0</v>
      </c>
      <c r="H452" s="36">
        <v>3214544.0</v>
      </c>
      <c r="I452" s="36">
        <v>2341456.0</v>
      </c>
    </row>
    <row r="453">
      <c r="A453" s="2" t="s">
        <v>1466</v>
      </c>
      <c r="B453" s="2" t="s">
        <v>19</v>
      </c>
      <c r="C453" s="2" t="s">
        <v>8</v>
      </c>
      <c r="D453" s="36">
        <v>174.0</v>
      </c>
      <c r="E453" s="36">
        <v>4250.0</v>
      </c>
      <c r="F453" s="36">
        <v>2670.0</v>
      </c>
      <c r="G453" s="36">
        <v>739500.0</v>
      </c>
      <c r="H453" s="36">
        <v>464580.0</v>
      </c>
      <c r="I453" s="36">
        <v>274920.0</v>
      </c>
    </row>
    <row r="454">
      <c r="A454" s="2" t="s">
        <v>1467</v>
      </c>
      <c r="B454" s="2" t="s">
        <v>18</v>
      </c>
      <c r="C454" s="2" t="s">
        <v>6</v>
      </c>
      <c r="D454" s="36">
        <v>72.0</v>
      </c>
      <c r="E454" s="36">
        <v>1800.0</v>
      </c>
      <c r="F454" s="36">
        <v>929.0</v>
      </c>
      <c r="G454" s="36">
        <v>129600.0</v>
      </c>
      <c r="H454" s="36">
        <v>66888.0</v>
      </c>
      <c r="I454" s="36">
        <v>62712.0</v>
      </c>
    </row>
    <row r="455">
      <c r="A455" s="2" t="s">
        <v>1468</v>
      </c>
      <c r="B455" s="2" t="s">
        <v>20</v>
      </c>
      <c r="C455" s="2" t="s">
        <v>9</v>
      </c>
      <c r="D455" s="36">
        <v>152.0</v>
      </c>
      <c r="E455" s="36">
        <v>12000.0</v>
      </c>
      <c r="F455" s="36">
        <v>6942.86</v>
      </c>
      <c r="G455" s="36">
        <v>1824000.0</v>
      </c>
      <c r="H455" s="36">
        <v>1055315.0</v>
      </c>
      <c r="I455" s="36">
        <v>768685.0</v>
      </c>
    </row>
    <row r="456">
      <c r="A456" s="2" t="s">
        <v>1469</v>
      </c>
      <c r="B456" s="2" t="s">
        <v>19</v>
      </c>
      <c r="C456" s="2" t="s">
        <v>8</v>
      </c>
      <c r="D456" s="36">
        <v>228.0</v>
      </c>
      <c r="E456" s="36">
        <v>4250.0</v>
      </c>
      <c r="F456" s="36">
        <v>2670.0</v>
      </c>
      <c r="G456" s="36">
        <v>969000.0</v>
      </c>
      <c r="H456" s="36">
        <v>608760.0</v>
      </c>
      <c r="I456" s="36">
        <v>360240.0</v>
      </c>
    </row>
    <row r="457">
      <c r="A457" s="2" t="s">
        <v>1470</v>
      </c>
      <c r="B457" s="2" t="s">
        <v>18</v>
      </c>
      <c r="C457" s="2" t="s">
        <v>6</v>
      </c>
      <c r="D457" s="36">
        <v>1430.0</v>
      </c>
      <c r="E457" s="36">
        <v>1800.0</v>
      </c>
      <c r="F457" s="36">
        <v>929.0</v>
      </c>
      <c r="G457" s="36">
        <v>2574000.0</v>
      </c>
      <c r="H457" s="36">
        <v>1328470.0</v>
      </c>
      <c r="I457" s="36">
        <v>1245530.0</v>
      </c>
    </row>
    <row r="458">
      <c r="A458" s="2" t="s">
        <v>1471</v>
      </c>
      <c r="B458" s="2" t="s">
        <v>20</v>
      </c>
      <c r="C458" s="2" t="s">
        <v>9</v>
      </c>
      <c r="D458" s="36">
        <v>274.0</v>
      </c>
      <c r="E458" s="36">
        <v>12000.0</v>
      </c>
      <c r="F458" s="36">
        <v>6942.86</v>
      </c>
      <c r="G458" s="36">
        <v>3288000.0</v>
      </c>
      <c r="H458" s="36">
        <v>1902344.0</v>
      </c>
      <c r="I458" s="36">
        <v>1385656.0</v>
      </c>
    </row>
    <row r="459">
      <c r="A459" s="2" t="s">
        <v>1472</v>
      </c>
      <c r="B459" s="2" t="s">
        <v>19</v>
      </c>
      <c r="C459" s="2" t="s">
        <v>8</v>
      </c>
      <c r="D459" s="36">
        <v>524.0</v>
      </c>
      <c r="E459" s="36">
        <v>4250.0</v>
      </c>
      <c r="F459" s="36">
        <v>2670.0</v>
      </c>
      <c r="G459" s="36">
        <v>2227000.0</v>
      </c>
      <c r="H459" s="36">
        <v>1399080.0</v>
      </c>
      <c r="I459" s="36">
        <v>827920.0</v>
      </c>
    </row>
    <row r="460">
      <c r="A460" s="2" t="s">
        <v>1472</v>
      </c>
      <c r="B460" s="2" t="s">
        <v>18</v>
      </c>
      <c r="C460" s="2" t="s">
        <v>6</v>
      </c>
      <c r="D460" s="36">
        <v>305.0</v>
      </c>
      <c r="E460" s="36">
        <v>1800.0</v>
      </c>
      <c r="F460" s="36">
        <v>929.0</v>
      </c>
      <c r="G460" s="36">
        <v>549000.0</v>
      </c>
      <c r="H460" s="36">
        <v>283345.0</v>
      </c>
      <c r="I460" s="36">
        <v>265655.0</v>
      </c>
    </row>
    <row r="461">
      <c r="A461" s="2" t="s">
        <v>1473</v>
      </c>
      <c r="B461" s="2" t="s">
        <v>20</v>
      </c>
      <c r="C461" s="2" t="s">
        <v>9</v>
      </c>
      <c r="D461" s="36">
        <v>15.0</v>
      </c>
      <c r="E461" s="36">
        <v>12000.0</v>
      </c>
      <c r="F461" s="36">
        <v>6942.86</v>
      </c>
      <c r="G461" s="36">
        <v>180000.0</v>
      </c>
      <c r="H461" s="36">
        <v>104143.0</v>
      </c>
      <c r="I461" s="36">
        <v>75857.0</v>
      </c>
    </row>
    <row r="462">
      <c r="A462" s="2" t="s">
        <v>1474</v>
      </c>
      <c r="B462" s="2" t="s">
        <v>19</v>
      </c>
      <c r="C462" s="2" t="s">
        <v>8</v>
      </c>
      <c r="D462" s="36">
        <v>694.0</v>
      </c>
      <c r="E462" s="36">
        <v>4250.0</v>
      </c>
      <c r="F462" s="36">
        <v>2670.0</v>
      </c>
      <c r="G462" s="36">
        <v>2949500.0</v>
      </c>
      <c r="H462" s="36">
        <v>1852980.0</v>
      </c>
      <c r="I462" s="36">
        <v>1096520.0</v>
      </c>
    </row>
    <row r="463">
      <c r="A463" s="2" t="s">
        <v>1475</v>
      </c>
      <c r="B463" s="2" t="s">
        <v>18</v>
      </c>
      <c r="C463" s="2" t="s">
        <v>6</v>
      </c>
      <c r="D463" s="36">
        <v>18.0</v>
      </c>
      <c r="E463" s="36">
        <v>1800.0</v>
      </c>
      <c r="F463" s="36">
        <v>929.0</v>
      </c>
      <c r="G463" s="36">
        <v>32400.0</v>
      </c>
      <c r="H463" s="36">
        <v>16722.0</v>
      </c>
      <c r="I463" s="36">
        <v>15678.0</v>
      </c>
    </row>
    <row r="464">
      <c r="A464" s="2" t="s">
        <v>1476</v>
      </c>
      <c r="B464" s="2" t="s">
        <v>20</v>
      </c>
      <c r="C464" s="2" t="s">
        <v>9</v>
      </c>
      <c r="D464" s="36">
        <v>393.0</v>
      </c>
      <c r="E464" s="36">
        <v>12000.0</v>
      </c>
      <c r="F464" s="36">
        <v>6942.86</v>
      </c>
      <c r="G464" s="36">
        <v>4716000.0</v>
      </c>
      <c r="H464" s="36">
        <v>2728544.0</v>
      </c>
      <c r="I464" s="36">
        <v>1987456.0</v>
      </c>
    </row>
    <row r="465">
      <c r="A465" s="2" t="s">
        <v>1477</v>
      </c>
      <c r="B465" s="2" t="s">
        <v>19</v>
      </c>
      <c r="C465" s="2" t="s">
        <v>8</v>
      </c>
      <c r="D465" s="36">
        <v>32.0</v>
      </c>
      <c r="E465" s="36">
        <v>4250.0</v>
      </c>
      <c r="F465" s="36">
        <v>2670.0</v>
      </c>
      <c r="G465" s="36">
        <v>136000.0</v>
      </c>
      <c r="H465" s="36">
        <v>85440.0</v>
      </c>
      <c r="I465" s="36">
        <v>50560.0</v>
      </c>
    </row>
    <row r="466">
      <c r="A466" s="2" t="s">
        <v>1478</v>
      </c>
      <c r="B466" s="2" t="s">
        <v>18</v>
      </c>
      <c r="C466" s="2" t="s">
        <v>6</v>
      </c>
      <c r="D466" s="36">
        <v>60.0</v>
      </c>
      <c r="E466" s="36">
        <v>1800.0</v>
      </c>
      <c r="F466" s="36">
        <v>929.0</v>
      </c>
      <c r="G466" s="36">
        <v>108000.0</v>
      </c>
      <c r="H466" s="36">
        <v>55740.0</v>
      </c>
      <c r="I466" s="36">
        <v>52260.0</v>
      </c>
    </row>
    <row r="467">
      <c r="A467" s="2" t="s">
        <v>1479</v>
      </c>
      <c r="B467" s="2" t="s">
        <v>20</v>
      </c>
      <c r="C467" s="2" t="s">
        <v>9</v>
      </c>
      <c r="D467" s="36">
        <v>2022.0</v>
      </c>
      <c r="E467" s="36">
        <v>12000.0</v>
      </c>
      <c r="F467" s="36">
        <v>6942.86</v>
      </c>
      <c r="G467" s="36">
        <v>2.4264E7</v>
      </c>
      <c r="H467" s="36">
        <v>1.4038463E7</v>
      </c>
      <c r="I467" s="36">
        <v>1.0225537E7</v>
      </c>
    </row>
    <row r="468">
      <c r="A468" s="2" t="s">
        <v>1480</v>
      </c>
      <c r="B468" s="2" t="s">
        <v>19</v>
      </c>
      <c r="C468" s="2" t="s">
        <v>8</v>
      </c>
      <c r="D468" s="36">
        <v>36.0</v>
      </c>
      <c r="E468" s="36">
        <v>4250.0</v>
      </c>
      <c r="F468" s="36">
        <v>2670.0</v>
      </c>
      <c r="G468" s="36">
        <v>153000.0</v>
      </c>
      <c r="H468" s="36">
        <v>96120.0</v>
      </c>
      <c r="I468" s="36">
        <v>56880.0</v>
      </c>
    </row>
    <row r="469">
      <c r="A469" s="2" t="s">
        <v>1481</v>
      </c>
      <c r="B469" s="2" t="s">
        <v>18</v>
      </c>
      <c r="C469" s="2" t="s">
        <v>6</v>
      </c>
      <c r="D469" s="36">
        <v>364.0</v>
      </c>
      <c r="E469" s="36">
        <v>1800.0</v>
      </c>
      <c r="F469" s="36">
        <v>929.0</v>
      </c>
      <c r="G469" s="36">
        <v>655200.0</v>
      </c>
      <c r="H469" s="36">
        <v>338156.0</v>
      </c>
      <c r="I469" s="36">
        <v>317044.0</v>
      </c>
    </row>
    <row r="470">
      <c r="A470" s="2" t="s">
        <v>1482</v>
      </c>
      <c r="B470" s="2" t="s">
        <v>20</v>
      </c>
      <c r="C470" s="2" t="s">
        <v>9</v>
      </c>
      <c r="D470" s="36">
        <v>1088.0</v>
      </c>
      <c r="E470" s="36">
        <v>12000.0</v>
      </c>
      <c r="F470" s="36">
        <v>6942.86</v>
      </c>
      <c r="G470" s="36">
        <v>1.3056E7</v>
      </c>
      <c r="H470" s="36">
        <v>7553832.0</v>
      </c>
      <c r="I470" s="36">
        <v>5502168.0</v>
      </c>
    </row>
    <row r="471">
      <c r="A471" s="2" t="s">
        <v>1483</v>
      </c>
      <c r="B471" s="2" t="s">
        <v>19</v>
      </c>
      <c r="C471" s="2" t="s">
        <v>8</v>
      </c>
      <c r="D471" s="36">
        <v>296.0</v>
      </c>
      <c r="E471" s="36">
        <v>4250.0</v>
      </c>
      <c r="F471" s="36">
        <v>2670.0</v>
      </c>
      <c r="G471" s="36">
        <v>1258000.0</v>
      </c>
      <c r="H471" s="36">
        <v>790320.0</v>
      </c>
      <c r="I471" s="36">
        <v>467680.0</v>
      </c>
    </row>
    <row r="472">
      <c r="A472" s="2" t="s">
        <v>1484</v>
      </c>
      <c r="B472" s="2" t="s">
        <v>18</v>
      </c>
      <c r="C472" s="2" t="s">
        <v>6</v>
      </c>
      <c r="D472" s="36">
        <v>353.0</v>
      </c>
      <c r="E472" s="36">
        <v>1800.0</v>
      </c>
      <c r="F472" s="36">
        <v>929.0</v>
      </c>
      <c r="G472" s="36">
        <v>635400.0</v>
      </c>
      <c r="H472" s="36">
        <v>327937.0</v>
      </c>
      <c r="I472" s="36">
        <v>307463.0</v>
      </c>
    </row>
    <row r="473">
      <c r="A473" s="2" t="s">
        <v>1485</v>
      </c>
      <c r="B473" s="2" t="s">
        <v>18</v>
      </c>
      <c r="C473" s="2" t="s">
        <v>6</v>
      </c>
      <c r="D473" s="36">
        <v>149.0</v>
      </c>
      <c r="E473" s="36">
        <v>1800.0</v>
      </c>
      <c r="F473" s="36">
        <v>929.0</v>
      </c>
      <c r="G473" s="36">
        <v>268200.0</v>
      </c>
      <c r="H473" s="36">
        <v>138421.0</v>
      </c>
      <c r="I473" s="36">
        <v>129779.0</v>
      </c>
    </row>
    <row r="474">
      <c r="A474" s="2" t="s">
        <v>1485</v>
      </c>
      <c r="B474" s="2" t="s">
        <v>19</v>
      </c>
      <c r="C474" s="2" t="s">
        <v>8</v>
      </c>
      <c r="D474" s="36">
        <v>769.0</v>
      </c>
      <c r="E474" s="36">
        <v>4250.0</v>
      </c>
      <c r="F474" s="36">
        <v>2670.0</v>
      </c>
      <c r="G474" s="36">
        <v>3268250.0</v>
      </c>
      <c r="H474" s="36">
        <v>2053230.0</v>
      </c>
      <c r="I474" s="36">
        <v>1215020.0</v>
      </c>
    </row>
    <row r="475">
      <c r="A475" s="2" t="s">
        <v>1485</v>
      </c>
      <c r="B475" s="2" t="s">
        <v>20</v>
      </c>
      <c r="C475" s="2" t="s">
        <v>9</v>
      </c>
      <c r="D475" s="36">
        <v>47.0</v>
      </c>
      <c r="E475" s="36">
        <v>12000.0</v>
      </c>
      <c r="F475" s="36">
        <v>6942.86</v>
      </c>
      <c r="G475" s="36">
        <v>564000.0</v>
      </c>
      <c r="H475" s="36">
        <v>326314.0</v>
      </c>
      <c r="I475" s="36">
        <v>237686.0</v>
      </c>
    </row>
    <row r="476">
      <c r="A476" s="2" t="s">
        <v>1486</v>
      </c>
      <c r="B476" s="2" t="s">
        <v>20</v>
      </c>
      <c r="C476" s="2" t="s">
        <v>9</v>
      </c>
      <c r="D476" s="36">
        <v>47.0</v>
      </c>
      <c r="E476" s="36">
        <v>12000.0</v>
      </c>
      <c r="F476" s="36">
        <v>6942.86</v>
      </c>
      <c r="G476" s="36">
        <v>564000.0</v>
      </c>
      <c r="H476" s="36">
        <v>326314.0</v>
      </c>
      <c r="I476" s="36">
        <v>237686.0</v>
      </c>
    </row>
    <row r="477">
      <c r="A477" s="2" t="s">
        <v>1487</v>
      </c>
      <c r="B477" s="2" t="s">
        <v>19</v>
      </c>
      <c r="C477" s="2" t="s">
        <v>8</v>
      </c>
      <c r="D477" s="36">
        <v>769.0</v>
      </c>
      <c r="E477" s="36">
        <v>4250.0</v>
      </c>
      <c r="F477" s="36">
        <v>2670.0</v>
      </c>
      <c r="G477" s="36">
        <v>3268250.0</v>
      </c>
      <c r="H477" s="36">
        <v>2053230.0</v>
      </c>
      <c r="I477" s="36">
        <v>1215020.0</v>
      </c>
    </row>
    <row r="478">
      <c r="A478" s="2" t="s">
        <v>1487</v>
      </c>
      <c r="B478" s="2" t="s">
        <v>18</v>
      </c>
      <c r="C478" s="2" t="s">
        <v>6</v>
      </c>
      <c r="D478" s="36">
        <v>149.0</v>
      </c>
      <c r="E478" s="36">
        <v>1800.0</v>
      </c>
      <c r="F478" s="36">
        <v>929.0</v>
      </c>
      <c r="G478" s="36">
        <v>268200.0</v>
      </c>
      <c r="H478" s="36">
        <v>138421.0</v>
      </c>
      <c r="I478" s="36">
        <v>129779.0</v>
      </c>
    </row>
    <row r="479">
      <c r="A479" s="2" t="s">
        <v>1488</v>
      </c>
      <c r="B479" s="2" t="s">
        <v>20</v>
      </c>
      <c r="C479" s="2" t="s">
        <v>9</v>
      </c>
      <c r="D479" s="36">
        <v>556.0</v>
      </c>
      <c r="E479" s="36">
        <v>12000.0</v>
      </c>
      <c r="F479" s="36">
        <v>6942.86</v>
      </c>
      <c r="G479" s="36">
        <v>6672000.0</v>
      </c>
      <c r="H479" s="36">
        <v>3860230.0</v>
      </c>
      <c r="I479" s="36">
        <v>2811770.0</v>
      </c>
    </row>
    <row r="480">
      <c r="A480" s="2" t="s">
        <v>1488</v>
      </c>
      <c r="B480" s="2" t="s">
        <v>19</v>
      </c>
      <c r="C480" s="2" t="s">
        <v>8</v>
      </c>
      <c r="D480" s="36">
        <v>176.0</v>
      </c>
      <c r="E480" s="36">
        <v>4250.0</v>
      </c>
      <c r="F480" s="36">
        <v>2670.0</v>
      </c>
      <c r="G480" s="36">
        <v>748000.0</v>
      </c>
      <c r="H480" s="36">
        <v>469920.0</v>
      </c>
      <c r="I480" s="36">
        <v>278080.0</v>
      </c>
    </row>
    <row r="481">
      <c r="A481" s="2" t="s">
        <v>1489</v>
      </c>
      <c r="B481" s="2" t="s">
        <v>18</v>
      </c>
      <c r="C481" s="2" t="s">
        <v>6</v>
      </c>
      <c r="D481" s="36">
        <v>593.0</v>
      </c>
      <c r="E481" s="36">
        <v>1800.0</v>
      </c>
      <c r="F481" s="36">
        <v>929.0</v>
      </c>
      <c r="G481" s="36">
        <v>1067400.0</v>
      </c>
      <c r="H481" s="36">
        <v>550897.0</v>
      </c>
      <c r="I481" s="36">
        <v>516503.0</v>
      </c>
    </row>
    <row r="482">
      <c r="A482" s="2" t="s">
        <v>1490</v>
      </c>
      <c r="B482" s="2" t="s">
        <v>20</v>
      </c>
      <c r="C482" s="2" t="s">
        <v>9</v>
      </c>
      <c r="D482" s="36">
        <v>631.0</v>
      </c>
      <c r="E482" s="36">
        <v>12000.0</v>
      </c>
      <c r="F482" s="36">
        <v>6942.86</v>
      </c>
      <c r="G482" s="36">
        <v>7572000.0</v>
      </c>
      <c r="H482" s="36">
        <v>4380945.0</v>
      </c>
      <c r="I482" s="36">
        <v>3191055.0</v>
      </c>
    </row>
    <row r="483">
      <c r="A483" s="2" t="s">
        <v>1491</v>
      </c>
      <c r="B483" s="2" t="s">
        <v>19</v>
      </c>
      <c r="C483" s="2" t="s">
        <v>8</v>
      </c>
      <c r="D483" s="36">
        <v>566.0</v>
      </c>
      <c r="E483" s="36">
        <v>4250.0</v>
      </c>
      <c r="F483" s="36">
        <v>2670.0</v>
      </c>
      <c r="G483" s="36">
        <v>2405500.0</v>
      </c>
      <c r="H483" s="36">
        <v>1511220.0</v>
      </c>
      <c r="I483" s="36">
        <v>894280.0</v>
      </c>
    </row>
    <row r="484">
      <c r="A484" s="2" t="s">
        <v>1491</v>
      </c>
      <c r="B484" s="2" t="s">
        <v>18</v>
      </c>
      <c r="C484" s="2" t="s">
        <v>6</v>
      </c>
      <c r="D484" s="36">
        <v>12.0</v>
      </c>
      <c r="E484" s="36">
        <v>1800.0</v>
      </c>
      <c r="F484" s="36">
        <v>929.0</v>
      </c>
      <c r="G484" s="36">
        <v>21600.0</v>
      </c>
      <c r="H484" s="36">
        <v>11148.0</v>
      </c>
      <c r="I484" s="36">
        <v>10452.0</v>
      </c>
    </row>
    <row r="485">
      <c r="A485" s="2" t="s">
        <v>1492</v>
      </c>
      <c r="B485" s="2" t="s">
        <v>20</v>
      </c>
      <c r="C485" s="2" t="s">
        <v>9</v>
      </c>
      <c r="D485" s="36">
        <v>631.0</v>
      </c>
      <c r="E485" s="36">
        <v>12000.0</v>
      </c>
      <c r="F485" s="36">
        <v>6942.86</v>
      </c>
      <c r="G485" s="36">
        <v>7572000.0</v>
      </c>
      <c r="H485" s="36">
        <v>4380945.0</v>
      </c>
      <c r="I485" s="36">
        <v>3191055.0</v>
      </c>
    </row>
    <row r="486">
      <c r="A486" s="2" t="s">
        <v>1493</v>
      </c>
      <c r="B486" s="2" t="s">
        <v>19</v>
      </c>
      <c r="C486" s="2" t="s">
        <v>8</v>
      </c>
      <c r="D486" s="36">
        <v>566.0</v>
      </c>
      <c r="E486" s="36">
        <v>4250.0</v>
      </c>
      <c r="F486" s="36">
        <v>2670.0</v>
      </c>
      <c r="G486" s="36">
        <v>2405500.0</v>
      </c>
      <c r="H486" s="36">
        <v>1511220.0</v>
      </c>
      <c r="I486" s="36">
        <v>894280.0</v>
      </c>
    </row>
    <row r="487">
      <c r="A487" s="2" t="s">
        <v>1494</v>
      </c>
      <c r="B487" s="2" t="s">
        <v>18</v>
      </c>
      <c r="C487" s="2" t="s">
        <v>6</v>
      </c>
      <c r="D487" s="36">
        <v>12.0</v>
      </c>
      <c r="E487" s="36">
        <v>1800.0</v>
      </c>
      <c r="F487" s="36">
        <v>929.0</v>
      </c>
      <c r="G487" s="36">
        <v>21600.0</v>
      </c>
      <c r="H487" s="36">
        <v>11148.0</v>
      </c>
      <c r="I487" s="36">
        <v>10452.0</v>
      </c>
    </row>
    <row r="488">
      <c r="A488" s="2" t="s">
        <v>1495</v>
      </c>
      <c r="B488" s="2" t="s">
        <v>20</v>
      </c>
      <c r="C488" s="2" t="s">
        <v>9</v>
      </c>
      <c r="D488" s="36">
        <v>122.0</v>
      </c>
      <c r="E488" s="36">
        <v>12000.0</v>
      </c>
      <c r="F488" s="36">
        <v>6942.86</v>
      </c>
      <c r="G488" s="36">
        <v>1464000.0</v>
      </c>
      <c r="H488" s="36">
        <v>847029.0</v>
      </c>
      <c r="I488" s="36">
        <v>616971.0</v>
      </c>
    </row>
    <row r="489">
      <c r="A489" s="2" t="s">
        <v>1496</v>
      </c>
      <c r="B489" s="2" t="s">
        <v>19</v>
      </c>
      <c r="C489" s="2" t="s">
        <v>8</v>
      </c>
      <c r="D489" s="36">
        <v>145.0</v>
      </c>
      <c r="E489" s="36">
        <v>4250.0</v>
      </c>
      <c r="F489" s="36">
        <v>2670.0</v>
      </c>
      <c r="G489" s="36">
        <v>616250.0</v>
      </c>
      <c r="H489" s="36">
        <v>387150.0</v>
      </c>
      <c r="I489" s="36">
        <v>229100.0</v>
      </c>
    </row>
    <row r="490">
      <c r="A490" s="2" t="s">
        <v>1497</v>
      </c>
      <c r="B490" s="2" t="s">
        <v>18</v>
      </c>
      <c r="C490" s="2" t="s">
        <v>6</v>
      </c>
      <c r="D490" s="36">
        <v>420.0</v>
      </c>
      <c r="E490" s="36">
        <v>1800.0</v>
      </c>
      <c r="F490" s="36">
        <v>929.0</v>
      </c>
      <c r="G490" s="36">
        <v>756000.0</v>
      </c>
      <c r="H490" s="36">
        <v>390180.0</v>
      </c>
      <c r="I490" s="36">
        <v>365820.0</v>
      </c>
    </row>
    <row r="491">
      <c r="A491" s="2" t="s">
        <v>1498</v>
      </c>
      <c r="B491" s="2" t="s">
        <v>20</v>
      </c>
      <c r="C491" s="2" t="s">
        <v>9</v>
      </c>
      <c r="D491" s="36">
        <v>153.0</v>
      </c>
      <c r="E491" s="36">
        <v>12000.0</v>
      </c>
      <c r="F491" s="36">
        <v>6942.86</v>
      </c>
      <c r="G491" s="36">
        <v>1836000.0</v>
      </c>
      <c r="H491" s="36">
        <v>1062258.0</v>
      </c>
      <c r="I491" s="36">
        <v>773742.0</v>
      </c>
    </row>
    <row r="492">
      <c r="A492" s="2" t="s">
        <v>1499</v>
      </c>
      <c r="B492" s="2" t="s">
        <v>19</v>
      </c>
      <c r="C492" s="2" t="s">
        <v>8</v>
      </c>
      <c r="D492" s="36">
        <v>585.0</v>
      </c>
      <c r="E492" s="36">
        <v>4250.0</v>
      </c>
      <c r="F492" s="36">
        <v>2670.0</v>
      </c>
      <c r="G492" s="36">
        <v>2486250.0</v>
      </c>
      <c r="H492" s="36">
        <v>1561950.0</v>
      </c>
      <c r="I492" s="36">
        <v>924300.0</v>
      </c>
    </row>
    <row r="493">
      <c r="A493" s="2" t="s">
        <v>1500</v>
      </c>
      <c r="B493" s="2" t="s">
        <v>18</v>
      </c>
      <c r="C493" s="2" t="s">
        <v>6</v>
      </c>
      <c r="D493" s="36">
        <v>623.0</v>
      </c>
      <c r="E493" s="36">
        <v>1800.0</v>
      </c>
      <c r="F493" s="36">
        <v>929.0</v>
      </c>
      <c r="G493" s="36">
        <v>1121400.0</v>
      </c>
      <c r="H493" s="36">
        <v>578767.0</v>
      </c>
      <c r="I493" s="36">
        <v>542633.0</v>
      </c>
    </row>
    <row r="494">
      <c r="A494" s="2" t="s">
        <v>1501</v>
      </c>
      <c r="B494" s="2" t="s">
        <v>20</v>
      </c>
      <c r="C494" s="2" t="s">
        <v>9</v>
      </c>
      <c r="D494" s="36">
        <v>818.0</v>
      </c>
      <c r="E494" s="36">
        <v>12000.0</v>
      </c>
      <c r="F494" s="36">
        <v>6942.86</v>
      </c>
      <c r="G494" s="36">
        <v>9816000.0</v>
      </c>
      <c r="H494" s="36">
        <v>5679259.0</v>
      </c>
      <c r="I494" s="36">
        <v>4136741.0</v>
      </c>
    </row>
    <row r="495">
      <c r="A495" s="2" t="s">
        <v>1502</v>
      </c>
      <c r="B495" s="2" t="s">
        <v>19</v>
      </c>
      <c r="C495" s="2" t="s">
        <v>8</v>
      </c>
      <c r="D495" s="36">
        <v>991.0</v>
      </c>
      <c r="E495" s="36">
        <v>4250.0</v>
      </c>
      <c r="F495" s="36">
        <v>2670.0</v>
      </c>
      <c r="G495" s="36">
        <v>4211750.0</v>
      </c>
      <c r="H495" s="36">
        <v>2645970.0</v>
      </c>
      <c r="I495" s="36">
        <v>1565780.0</v>
      </c>
    </row>
    <row r="496">
      <c r="A496" s="2" t="s">
        <v>1503</v>
      </c>
      <c r="B496" s="2" t="s">
        <v>18</v>
      </c>
      <c r="C496" s="2" t="s">
        <v>6</v>
      </c>
      <c r="D496" s="36">
        <v>638.0</v>
      </c>
      <c r="E496" s="36">
        <v>1800.0</v>
      </c>
      <c r="F496" s="36">
        <v>929.0</v>
      </c>
      <c r="G496" s="36">
        <v>1148400.0</v>
      </c>
      <c r="H496" s="36">
        <v>592702.0</v>
      </c>
      <c r="I496" s="36">
        <v>555698.0</v>
      </c>
    </row>
    <row r="497">
      <c r="A497" s="2" t="s">
        <v>1504</v>
      </c>
      <c r="B497" s="2" t="s">
        <v>20</v>
      </c>
      <c r="C497" s="2" t="s">
        <v>9</v>
      </c>
      <c r="D497" s="36">
        <v>65.0</v>
      </c>
      <c r="E497" s="36">
        <v>12000.0</v>
      </c>
      <c r="F497" s="36">
        <v>6942.86</v>
      </c>
      <c r="G497" s="36">
        <v>780000.0</v>
      </c>
      <c r="H497" s="36">
        <v>451286.0</v>
      </c>
      <c r="I497" s="36">
        <v>328714.0</v>
      </c>
    </row>
    <row r="498">
      <c r="A498" s="2" t="s">
        <v>1504</v>
      </c>
      <c r="B498" s="2" t="s">
        <v>19</v>
      </c>
      <c r="C498" s="2" t="s">
        <v>8</v>
      </c>
      <c r="D498" s="36">
        <v>220.0</v>
      </c>
      <c r="E498" s="36">
        <v>4250.0</v>
      </c>
      <c r="F498" s="36">
        <v>2670.0</v>
      </c>
      <c r="G498" s="36">
        <v>935000.0</v>
      </c>
      <c r="H498" s="36">
        <v>587400.0</v>
      </c>
      <c r="I498" s="36">
        <v>347600.0</v>
      </c>
    </row>
    <row r="499">
      <c r="A499" s="2" t="s">
        <v>1505</v>
      </c>
      <c r="B499" s="2" t="s">
        <v>18</v>
      </c>
      <c r="C499" s="2" t="s">
        <v>6</v>
      </c>
      <c r="D499" s="36">
        <v>165.0</v>
      </c>
      <c r="E499" s="36">
        <v>1800.0</v>
      </c>
      <c r="F499" s="36">
        <v>929.0</v>
      </c>
      <c r="G499" s="36">
        <v>297000.0</v>
      </c>
      <c r="H499" s="36">
        <v>153285.0</v>
      </c>
      <c r="I499" s="36">
        <v>143715.0</v>
      </c>
    </row>
    <row r="500">
      <c r="A500" s="2" t="s">
        <v>1506</v>
      </c>
      <c r="B500" s="2" t="s">
        <v>20</v>
      </c>
      <c r="C500" s="2" t="s">
        <v>9</v>
      </c>
      <c r="D500" s="36">
        <v>60.0</v>
      </c>
      <c r="E500" s="36">
        <v>12000.0</v>
      </c>
      <c r="F500" s="36">
        <v>6942.86</v>
      </c>
      <c r="G500" s="36">
        <v>720000.0</v>
      </c>
      <c r="H500" s="36">
        <v>416572.0</v>
      </c>
      <c r="I500" s="36">
        <v>303428.0</v>
      </c>
    </row>
    <row r="501">
      <c r="A501" s="2" t="s">
        <v>1507</v>
      </c>
      <c r="B501" s="2" t="s">
        <v>19</v>
      </c>
      <c r="C501" s="2" t="s">
        <v>8</v>
      </c>
      <c r="D501" s="36">
        <v>522.0</v>
      </c>
      <c r="E501" s="36">
        <v>4250.0</v>
      </c>
      <c r="F501" s="36">
        <v>2670.0</v>
      </c>
      <c r="G501" s="36">
        <v>2218500.0</v>
      </c>
      <c r="H501" s="36">
        <v>1393740.0</v>
      </c>
      <c r="I501" s="36">
        <v>824760.0</v>
      </c>
    </row>
    <row r="502">
      <c r="A502" s="2" t="s">
        <v>1508</v>
      </c>
      <c r="B502" s="2" t="s">
        <v>18</v>
      </c>
      <c r="C502" s="2" t="s">
        <v>6</v>
      </c>
      <c r="D502" s="36">
        <v>376.0</v>
      </c>
      <c r="E502" s="36">
        <v>1800.0</v>
      </c>
      <c r="F502" s="36">
        <v>929.0</v>
      </c>
      <c r="G502" s="36">
        <v>676800.0</v>
      </c>
      <c r="H502" s="36">
        <v>349304.0</v>
      </c>
      <c r="I502" s="36">
        <v>327496.0</v>
      </c>
    </row>
    <row r="503">
      <c r="A503" s="2" t="s">
        <v>1509</v>
      </c>
      <c r="B503" s="2" t="s">
        <v>20</v>
      </c>
      <c r="C503" s="2" t="s">
        <v>9</v>
      </c>
      <c r="D503" s="36">
        <v>755.0</v>
      </c>
      <c r="E503" s="36">
        <v>12000.0</v>
      </c>
      <c r="F503" s="36">
        <v>6942.86</v>
      </c>
      <c r="G503" s="36">
        <v>9060000.0</v>
      </c>
      <c r="H503" s="36">
        <v>5241859.0</v>
      </c>
      <c r="I503" s="36">
        <v>3818141.0</v>
      </c>
    </row>
    <row r="504">
      <c r="A504" s="2" t="s">
        <v>1509</v>
      </c>
      <c r="B504" s="2" t="s">
        <v>19</v>
      </c>
      <c r="C504" s="2" t="s">
        <v>8</v>
      </c>
      <c r="D504" s="36">
        <v>223.0</v>
      </c>
      <c r="E504" s="36">
        <v>4250.0</v>
      </c>
      <c r="F504" s="36">
        <v>2670.0</v>
      </c>
      <c r="G504" s="36">
        <v>947750.0</v>
      </c>
      <c r="H504" s="36">
        <v>595410.0</v>
      </c>
      <c r="I504" s="36">
        <v>352340.0</v>
      </c>
    </row>
    <row r="505">
      <c r="A505" s="2" t="s">
        <v>1510</v>
      </c>
      <c r="B505" s="2" t="s">
        <v>18</v>
      </c>
      <c r="C505" s="2" t="s">
        <v>6</v>
      </c>
      <c r="D505" s="36">
        <v>66.0</v>
      </c>
      <c r="E505" s="36">
        <v>1800.0</v>
      </c>
      <c r="F505" s="36">
        <v>929.0</v>
      </c>
      <c r="G505" s="36">
        <v>118800.0</v>
      </c>
      <c r="H505" s="36">
        <v>61314.0</v>
      </c>
      <c r="I505" s="36">
        <v>57486.0</v>
      </c>
    </row>
    <row r="506">
      <c r="A506" s="2" t="s">
        <v>1511</v>
      </c>
      <c r="B506" s="2" t="s">
        <v>20</v>
      </c>
      <c r="C506" s="2" t="s">
        <v>9</v>
      </c>
      <c r="D506" s="36">
        <v>581.0</v>
      </c>
      <c r="E506" s="36">
        <v>12000.0</v>
      </c>
      <c r="F506" s="36">
        <v>6942.86</v>
      </c>
      <c r="G506" s="36">
        <v>6972000.0</v>
      </c>
      <c r="H506" s="36">
        <v>4033802.0</v>
      </c>
      <c r="I506" s="36">
        <v>2938198.0</v>
      </c>
    </row>
    <row r="507">
      <c r="A507" s="2" t="s">
        <v>1512</v>
      </c>
      <c r="B507" s="2" t="s">
        <v>19</v>
      </c>
      <c r="C507" s="2" t="s">
        <v>8</v>
      </c>
      <c r="D507" s="36">
        <v>471.0</v>
      </c>
      <c r="E507" s="36">
        <v>4250.0</v>
      </c>
      <c r="F507" s="36">
        <v>2670.0</v>
      </c>
      <c r="G507" s="36">
        <v>2001750.0</v>
      </c>
      <c r="H507" s="36">
        <v>1257570.0</v>
      </c>
      <c r="I507" s="36">
        <v>744180.0</v>
      </c>
    </row>
    <row r="508">
      <c r="A508" s="2" t="s">
        <v>1513</v>
      </c>
      <c r="B508" s="2" t="s">
        <v>18</v>
      </c>
      <c r="C508" s="2" t="s">
        <v>6</v>
      </c>
      <c r="D508" s="36">
        <v>616.0</v>
      </c>
      <c r="E508" s="36">
        <v>1800.0</v>
      </c>
      <c r="F508" s="36">
        <v>929.0</v>
      </c>
      <c r="G508" s="36">
        <v>1108800.0</v>
      </c>
      <c r="H508" s="36">
        <v>572264.0</v>
      </c>
      <c r="I508" s="36">
        <v>536536.0</v>
      </c>
    </row>
    <row r="509">
      <c r="A509" s="2" t="s">
        <v>1514</v>
      </c>
      <c r="B509" s="2" t="s">
        <v>18</v>
      </c>
      <c r="C509" s="2" t="s">
        <v>6</v>
      </c>
      <c r="D509" s="36">
        <v>533.0</v>
      </c>
      <c r="E509" s="36">
        <v>1800.0</v>
      </c>
      <c r="F509" s="36">
        <v>929.0</v>
      </c>
      <c r="G509" s="36">
        <v>959400.0</v>
      </c>
      <c r="H509" s="36">
        <v>495157.0</v>
      </c>
      <c r="I509" s="36">
        <v>464243.0</v>
      </c>
    </row>
    <row r="510">
      <c r="A510" s="2" t="s">
        <v>1514</v>
      </c>
      <c r="B510" s="2" t="s">
        <v>19</v>
      </c>
      <c r="C510" s="2" t="s">
        <v>8</v>
      </c>
      <c r="D510" s="36">
        <v>1901.0</v>
      </c>
      <c r="E510" s="36">
        <v>4250.0</v>
      </c>
      <c r="F510" s="36">
        <v>2670.0</v>
      </c>
      <c r="G510" s="36">
        <v>8079250.0</v>
      </c>
      <c r="H510" s="36">
        <v>5075670.0</v>
      </c>
      <c r="I510" s="36">
        <v>3003580.0</v>
      </c>
    </row>
    <row r="511">
      <c r="A511" s="2" t="s">
        <v>1514</v>
      </c>
      <c r="B511" s="2" t="s">
        <v>20</v>
      </c>
      <c r="C511" s="2" t="s">
        <v>9</v>
      </c>
      <c r="D511" s="36">
        <v>326.0</v>
      </c>
      <c r="E511" s="36">
        <v>12000.0</v>
      </c>
      <c r="F511" s="36">
        <v>6942.86</v>
      </c>
      <c r="G511" s="36">
        <v>3912000.0</v>
      </c>
      <c r="H511" s="36">
        <v>2263372.0</v>
      </c>
      <c r="I511" s="36">
        <v>1648628.0</v>
      </c>
    </row>
    <row r="512">
      <c r="A512" s="2" t="s">
        <v>1515</v>
      </c>
      <c r="B512" s="2" t="s">
        <v>20</v>
      </c>
      <c r="C512" s="2" t="s">
        <v>9</v>
      </c>
      <c r="D512" s="36">
        <v>326.0</v>
      </c>
      <c r="E512" s="36">
        <v>12000.0</v>
      </c>
      <c r="F512" s="36">
        <v>6942.86</v>
      </c>
      <c r="G512" s="36">
        <v>3912000.0</v>
      </c>
      <c r="H512" s="36">
        <v>2263372.0</v>
      </c>
      <c r="I512" s="36">
        <v>1648628.0</v>
      </c>
    </row>
    <row r="513">
      <c r="A513" s="2" t="s">
        <v>1516</v>
      </c>
      <c r="B513" s="2" t="s">
        <v>19</v>
      </c>
      <c r="C513" s="2" t="s">
        <v>8</v>
      </c>
      <c r="D513" s="36">
        <v>1901.0</v>
      </c>
      <c r="E513" s="36">
        <v>4250.0</v>
      </c>
      <c r="F513" s="36">
        <v>2670.0</v>
      </c>
      <c r="G513" s="36">
        <v>8079250.0</v>
      </c>
      <c r="H513" s="36">
        <v>5075670.0</v>
      </c>
      <c r="I513" s="36">
        <v>3003580.0</v>
      </c>
    </row>
    <row r="514">
      <c r="A514" s="2" t="s">
        <v>1516</v>
      </c>
      <c r="B514" s="2" t="s">
        <v>18</v>
      </c>
      <c r="C514" s="2" t="s">
        <v>6</v>
      </c>
      <c r="D514" s="36">
        <v>533.0</v>
      </c>
      <c r="E514" s="36">
        <v>1800.0</v>
      </c>
      <c r="F514" s="36">
        <v>929.0</v>
      </c>
      <c r="G514" s="36">
        <v>959400.0</v>
      </c>
      <c r="H514" s="36">
        <v>495157.0</v>
      </c>
      <c r="I514" s="36">
        <v>464243.0</v>
      </c>
    </row>
    <row r="515">
      <c r="A515" s="2" t="s">
        <v>1517</v>
      </c>
      <c r="B515" s="2" t="s">
        <v>20</v>
      </c>
      <c r="C515" s="2" t="s">
        <v>9</v>
      </c>
      <c r="D515" s="36">
        <v>1657.0</v>
      </c>
      <c r="E515" s="36">
        <v>12000.0</v>
      </c>
      <c r="F515" s="36">
        <v>6942.86</v>
      </c>
      <c r="G515" s="36">
        <v>1.9884E7</v>
      </c>
      <c r="H515" s="36">
        <v>1.1504319E7</v>
      </c>
      <c r="I515" s="36">
        <v>8379681.0</v>
      </c>
    </row>
    <row r="516">
      <c r="A516" s="2" t="s">
        <v>1518</v>
      </c>
      <c r="B516" s="2" t="s">
        <v>19</v>
      </c>
      <c r="C516" s="2" t="s">
        <v>8</v>
      </c>
      <c r="D516" s="36">
        <v>56.0</v>
      </c>
      <c r="E516" s="36">
        <v>4250.0</v>
      </c>
      <c r="F516" s="36">
        <v>2670.0</v>
      </c>
      <c r="G516" s="36">
        <v>238000.0</v>
      </c>
      <c r="H516" s="36">
        <v>149520.0</v>
      </c>
      <c r="I516" s="36">
        <v>88480.0</v>
      </c>
    </row>
    <row r="517">
      <c r="A517" s="2" t="s">
        <v>1519</v>
      </c>
      <c r="B517" s="2" t="s">
        <v>18</v>
      </c>
      <c r="C517" s="2" t="s">
        <v>6</v>
      </c>
      <c r="D517" s="36">
        <v>706.0</v>
      </c>
      <c r="E517" s="36">
        <v>1800.0</v>
      </c>
      <c r="F517" s="36">
        <v>929.0</v>
      </c>
      <c r="G517" s="36">
        <v>1270800.0</v>
      </c>
      <c r="H517" s="36">
        <v>655874.0</v>
      </c>
      <c r="I517" s="36">
        <v>614926.0</v>
      </c>
    </row>
    <row r="518">
      <c r="A518" s="2" t="s">
        <v>1520</v>
      </c>
      <c r="B518" s="2" t="s">
        <v>20</v>
      </c>
      <c r="C518" s="2" t="s">
        <v>9</v>
      </c>
      <c r="D518" s="36">
        <v>1107.0</v>
      </c>
      <c r="E518" s="36">
        <v>12000.0</v>
      </c>
      <c r="F518" s="36">
        <v>6942.86</v>
      </c>
      <c r="G518" s="36">
        <v>1.3284E7</v>
      </c>
      <c r="H518" s="36">
        <v>7685746.0</v>
      </c>
      <c r="I518" s="36">
        <v>5598254.0</v>
      </c>
    </row>
    <row r="519">
      <c r="A519" s="2" t="s">
        <v>1520</v>
      </c>
      <c r="B519" s="2" t="s">
        <v>19</v>
      </c>
      <c r="C519" s="2" t="s">
        <v>8</v>
      </c>
      <c r="D519" s="36">
        <v>40.0</v>
      </c>
      <c r="E519" s="36">
        <v>4250.0</v>
      </c>
      <c r="F519" s="36">
        <v>2670.0</v>
      </c>
      <c r="G519" s="36">
        <v>170000.0</v>
      </c>
      <c r="H519" s="36">
        <v>106800.0</v>
      </c>
      <c r="I519" s="36">
        <v>63200.0</v>
      </c>
    </row>
    <row r="520">
      <c r="A520" s="2" t="s">
        <v>1521</v>
      </c>
      <c r="B520" s="2" t="s">
        <v>20</v>
      </c>
      <c r="C520" s="2" t="s">
        <v>9</v>
      </c>
      <c r="D520" s="36">
        <v>269.0</v>
      </c>
      <c r="E520" s="36">
        <v>12000.0</v>
      </c>
      <c r="F520" s="36">
        <v>6942.86</v>
      </c>
      <c r="G520" s="36">
        <v>3228000.0</v>
      </c>
      <c r="H520" s="36">
        <v>1867629.0</v>
      </c>
      <c r="I520" s="36">
        <v>1360371.0</v>
      </c>
    </row>
    <row r="521">
      <c r="A521" s="2" t="s">
        <v>1522</v>
      </c>
      <c r="B521" s="2" t="s">
        <v>20</v>
      </c>
      <c r="C521" s="2" t="s">
        <v>9</v>
      </c>
      <c r="D521" s="36">
        <v>1657.0</v>
      </c>
      <c r="E521" s="36">
        <v>12000.0</v>
      </c>
      <c r="F521" s="36">
        <v>6942.86</v>
      </c>
      <c r="G521" s="36">
        <v>1.9884E7</v>
      </c>
      <c r="H521" s="36">
        <v>1.1504319E7</v>
      </c>
      <c r="I521" s="36">
        <v>8379681.0</v>
      </c>
    </row>
    <row r="522">
      <c r="A522" s="2" t="s">
        <v>1522</v>
      </c>
      <c r="B522" s="2" t="s">
        <v>19</v>
      </c>
      <c r="C522" s="2" t="s">
        <v>8</v>
      </c>
      <c r="D522" s="36">
        <v>56.0</v>
      </c>
      <c r="E522" s="36">
        <v>4250.0</v>
      </c>
      <c r="F522" s="36">
        <v>2670.0</v>
      </c>
      <c r="G522" s="36">
        <v>238000.0</v>
      </c>
      <c r="H522" s="36">
        <v>149520.0</v>
      </c>
      <c r="I522" s="36">
        <v>88480.0</v>
      </c>
    </row>
    <row r="523">
      <c r="A523" s="2" t="s">
        <v>1523</v>
      </c>
      <c r="B523" s="2" t="s">
        <v>18</v>
      </c>
      <c r="C523" s="2" t="s">
        <v>6</v>
      </c>
      <c r="D523" s="36">
        <v>706.0</v>
      </c>
      <c r="E523" s="36">
        <v>1800.0</v>
      </c>
      <c r="F523" s="36">
        <v>929.0</v>
      </c>
      <c r="G523" s="36">
        <v>1270800.0</v>
      </c>
      <c r="H523" s="36">
        <v>655874.0</v>
      </c>
      <c r="I523" s="36">
        <v>614926.0</v>
      </c>
    </row>
    <row r="524">
      <c r="A524" s="2" t="s">
        <v>1524</v>
      </c>
      <c r="B524" s="2" t="s">
        <v>20</v>
      </c>
      <c r="C524" s="2" t="s">
        <v>9</v>
      </c>
      <c r="D524" s="36">
        <v>1107.0</v>
      </c>
      <c r="E524" s="36">
        <v>12000.0</v>
      </c>
      <c r="F524" s="36">
        <v>6942.86</v>
      </c>
      <c r="G524" s="36">
        <v>1.3284E7</v>
      </c>
      <c r="H524" s="36">
        <v>7685746.0</v>
      </c>
      <c r="I524" s="36">
        <v>5598254.0</v>
      </c>
    </row>
    <row r="525">
      <c r="A525" s="2" t="s">
        <v>1525</v>
      </c>
      <c r="B525" s="2" t="s">
        <v>19</v>
      </c>
      <c r="C525" s="2" t="s">
        <v>8</v>
      </c>
      <c r="D525" s="36">
        <v>40.0</v>
      </c>
      <c r="E525" s="36">
        <v>4250.0</v>
      </c>
      <c r="F525" s="36">
        <v>2670.0</v>
      </c>
      <c r="G525" s="36">
        <v>170000.0</v>
      </c>
      <c r="H525" s="36">
        <v>106800.0</v>
      </c>
      <c r="I525" s="36">
        <v>63200.0</v>
      </c>
    </row>
    <row r="526">
      <c r="A526" s="2" t="s">
        <v>1526</v>
      </c>
      <c r="B526" s="2" t="s">
        <v>18</v>
      </c>
      <c r="C526" s="2" t="s">
        <v>6</v>
      </c>
      <c r="D526" s="36">
        <v>85.0</v>
      </c>
      <c r="E526" s="36">
        <v>1800.0</v>
      </c>
      <c r="F526" s="36">
        <v>929.0</v>
      </c>
      <c r="G526" s="36">
        <v>153000.0</v>
      </c>
      <c r="H526" s="36">
        <v>78965.0</v>
      </c>
      <c r="I526" s="36">
        <v>74035.0</v>
      </c>
    </row>
    <row r="527">
      <c r="A527" s="2" t="s">
        <v>1527</v>
      </c>
      <c r="B527" s="2" t="s">
        <v>20</v>
      </c>
      <c r="C527" s="2" t="s">
        <v>9</v>
      </c>
      <c r="D527" s="36">
        <v>12.0</v>
      </c>
      <c r="E527" s="36">
        <v>12000.0</v>
      </c>
      <c r="F527" s="36">
        <v>6942.86</v>
      </c>
      <c r="G527" s="36">
        <v>144000.0</v>
      </c>
      <c r="H527" s="36">
        <v>83314.0</v>
      </c>
      <c r="I527" s="36">
        <v>60686.0</v>
      </c>
    </row>
    <row r="528">
      <c r="A528" s="2" t="s">
        <v>1528</v>
      </c>
      <c r="B528" s="2" t="s">
        <v>19</v>
      </c>
      <c r="C528" s="2" t="s">
        <v>8</v>
      </c>
      <c r="D528" s="36">
        <v>90.0</v>
      </c>
      <c r="E528" s="36">
        <v>4250.0</v>
      </c>
      <c r="F528" s="36">
        <v>2670.0</v>
      </c>
      <c r="G528" s="36">
        <v>382500.0</v>
      </c>
      <c r="H528" s="36">
        <v>240300.0</v>
      </c>
      <c r="I528" s="36">
        <v>142200.0</v>
      </c>
    </row>
    <row r="529">
      <c r="A529" s="2" t="s">
        <v>1529</v>
      </c>
      <c r="B529" s="2" t="s">
        <v>18</v>
      </c>
      <c r="C529" s="2" t="s">
        <v>6</v>
      </c>
      <c r="D529" s="36">
        <v>125.0</v>
      </c>
      <c r="E529" s="36">
        <v>1800.0</v>
      </c>
      <c r="F529" s="36">
        <v>929.0</v>
      </c>
      <c r="G529" s="36">
        <v>225000.0</v>
      </c>
      <c r="H529" s="36">
        <v>116125.0</v>
      </c>
      <c r="I529" s="36">
        <v>108875.0</v>
      </c>
    </row>
    <row r="530">
      <c r="A530" s="2" t="s">
        <v>1530</v>
      </c>
      <c r="B530" s="2" t="s">
        <v>20</v>
      </c>
      <c r="C530" s="2" t="s">
        <v>9</v>
      </c>
      <c r="D530" s="36">
        <v>581.0</v>
      </c>
      <c r="E530" s="36">
        <v>12000.0</v>
      </c>
      <c r="F530" s="36">
        <v>6942.86</v>
      </c>
      <c r="G530" s="36">
        <v>6972000.0</v>
      </c>
      <c r="H530" s="36">
        <v>4033802.0</v>
      </c>
      <c r="I530" s="36">
        <v>2938198.0</v>
      </c>
    </row>
    <row r="531">
      <c r="A531" s="2" t="s">
        <v>1531</v>
      </c>
      <c r="B531" s="2" t="s">
        <v>19</v>
      </c>
      <c r="C531" s="2" t="s">
        <v>8</v>
      </c>
      <c r="D531" s="36">
        <v>188.0</v>
      </c>
      <c r="E531" s="36">
        <v>4250.0</v>
      </c>
      <c r="F531" s="36">
        <v>2670.0</v>
      </c>
      <c r="G531" s="36">
        <v>799000.0</v>
      </c>
      <c r="H531" s="36">
        <v>501960.0</v>
      </c>
      <c r="I531" s="36">
        <v>297040.0</v>
      </c>
    </row>
    <row r="532">
      <c r="A532" s="2" t="s">
        <v>1532</v>
      </c>
      <c r="B532" s="2" t="s">
        <v>18</v>
      </c>
      <c r="C532" s="2" t="s">
        <v>6</v>
      </c>
      <c r="D532" s="36">
        <v>154.0</v>
      </c>
      <c r="E532" s="36">
        <v>1800.0</v>
      </c>
      <c r="F532" s="36">
        <v>929.0</v>
      </c>
      <c r="G532" s="36">
        <v>277200.0</v>
      </c>
      <c r="H532" s="36">
        <v>143066.0</v>
      </c>
      <c r="I532" s="36">
        <v>134134.0</v>
      </c>
    </row>
    <row r="533">
      <c r="A533" s="2" t="s">
        <v>1533</v>
      </c>
      <c r="B533" s="2" t="s">
        <v>20</v>
      </c>
      <c r="C533" s="2" t="s">
        <v>9</v>
      </c>
      <c r="D533" s="36">
        <v>2157.0</v>
      </c>
      <c r="E533" s="36">
        <v>12000.0</v>
      </c>
      <c r="F533" s="36">
        <v>6942.86</v>
      </c>
      <c r="G533" s="36">
        <v>2.5884E7</v>
      </c>
      <c r="H533" s="36">
        <v>1.4975749E7</v>
      </c>
      <c r="I533" s="36">
        <v>1.0908251E7</v>
      </c>
    </row>
    <row r="534">
      <c r="A534" s="2" t="s">
        <v>1534</v>
      </c>
      <c r="B534" s="2" t="s">
        <v>19</v>
      </c>
      <c r="C534" s="2" t="s">
        <v>8</v>
      </c>
      <c r="D534" s="36">
        <v>296.0</v>
      </c>
      <c r="E534" s="36">
        <v>4250.0</v>
      </c>
      <c r="F534" s="36">
        <v>2670.0</v>
      </c>
      <c r="G534" s="36">
        <v>1258000.0</v>
      </c>
      <c r="H534" s="36">
        <v>790320.0</v>
      </c>
      <c r="I534" s="36">
        <v>467680.0</v>
      </c>
    </row>
    <row r="535">
      <c r="A535" s="2" t="s">
        <v>1534</v>
      </c>
      <c r="B535" s="2" t="s">
        <v>18</v>
      </c>
      <c r="C535" s="2" t="s">
        <v>6</v>
      </c>
      <c r="D535" s="36">
        <v>218.0</v>
      </c>
      <c r="E535" s="36">
        <v>1800.0</v>
      </c>
      <c r="F535" s="36">
        <v>929.0</v>
      </c>
      <c r="G535" s="36">
        <v>392400.0</v>
      </c>
      <c r="H535" s="36">
        <v>202522.0</v>
      </c>
      <c r="I535" s="36">
        <v>189878.0</v>
      </c>
    </row>
    <row r="536">
      <c r="A536" s="2" t="s">
        <v>1535</v>
      </c>
      <c r="B536" s="2" t="s">
        <v>20</v>
      </c>
      <c r="C536" s="2" t="s">
        <v>9</v>
      </c>
      <c r="D536" s="36">
        <v>281.0</v>
      </c>
      <c r="E536" s="36">
        <v>12000.0</v>
      </c>
      <c r="F536" s="36">
        <v>6942.86</v>
      </c>
      <c r="G536" s="36">
        <v>3372000.0</v>
      </c>
      <c r="H536" s="36">
        <v>1950944.0</v>
      </c>
      <c r="I536" s="36">
        <v>1421056.0</v>
      </c>
    </row>
    <row r="537">
      <c r="A537" s="2" t="s">
        <v>1536</v>
      </c>
      <c r="B537" s="2" t="s">
        <v>19</v>
      </c>
      <c r="C537" s="2" t="s">
        <v>8</v>
      </c>
      <c r="D537" s="36">
        <v>36.0</v>
      </c>
      <c r="E537" s="36">
        <v>4250.0</v>
      </c>
      <c r="F537" s="36">
        <v>2670.0</v>
      </c>
      <c r="G537" s="36">
        <v>153000.0</v>
      </c>
      <c r="H537" s="36">
        <v>96120.0</v>
      </c>
      <c r="I537" s="36">
        <v>56880.0</v>
      </c>
    </row>
    <row r="538">
      <c r="A538" s="2" t="s">
        <v>1537</v>
      </c>
      <c r="B538" s="2" t="s">
        <v>18</v>
      </c>
      <c r="C538" s="2" t="s">
        <v>6</v>
      </c>
      <c r="D538" s="36">
        <v>353.0</v>
      </c>
      <c r="E538" s="36">
        <v>1800.0</v>
      </c>
      <c r="F538" s="36">
        <v>929.0</v>
      </c>
      <c r="G538" s="36">
        <v>635400.0</v>
      </c>
      <c r="H538" s="36">
        <v>327937.0</v>
      </c>
      <c r="I538" s="36">
        <v>307463.0</v>
      </c>
    </row>
    <row r="539">
      <c r="A539" s="2" t="s">
        <v>1538</v>
      </c>
      <c r="B539" s="2" t="s">
        <v>18</v>
      </c>
      <c r="C539" s="2" t="s">
        <v>6</v>
      </c>
      <c r="D539" s="36">
        <v>319.0</v>
      </c>
      <c r="E539" s="36">
        <v>1800.0</v>
      </c>
      <c r="F539" s="36">
        <v>929.0</v>
      </c>
      <c r="G539" s="36">
        <v>574200.0</v>
      </c>
      <c r="H539" s="36">
        <v>296351.0</v>
      </c>
      <c r="I539" s="36">
        <v>277849.0</v>
      </c>
    </row>
    <row r="540">
      <c r="A540" s="2" t="s">
        <v>1538</v>
      </c>
      <c r="B540" s="2" t="s">
        <v>19</v>
      </c>
      <c r="C540" s="2" t="s">
        <v>8</v>
      </c>
      <c r="D540" s="36">
        <v>1208.0</v>
      </c>
      <c r="E540" s="36">
        <v>4250.0</v>
      </c>
      <c r="F540" s="36">
        <v>2670.0</v>
      </c>
      <c r="G540" s="36">
        <v>5134000.0</v>
      </c>
      <c r="H540" s="36">
        <v>3225360.0</v>
      </c>
      <c r="I540" s="36">
        <v>1908640.0</v>
      </c>
    </row>
    <row r="541">
      <c r="A541" s="2" t="s">
        <v>1538</v>
      </c>
      <c r="B541" s="2" t="s">
        <v>20</v>
      </c>
      <c r="C541" s="2" t="s">
        <v>9</v>
      </c>
      <c r="D541" s="36">
        <v>575.0</v>
      </c>
      <c r="E541" s="36">
        <v>12000.0</v>
      </c>
      <c r="F541" s="36">
        <v>6942.86</v>
      </c>
      <c r="G541" s="36">
        <v>6900000.0</v>
      </c>
      <c r="H541" s="36">
        <v>3992144.0</v>
      </c>
      <c r="I541" s="36">
        <v>2907856.0</v>
      </c>
    </row>
    <row r="542">
      <c r="A542" s="2" t="s">
        <v>1539</v>
      </c>
      <c r="B542" s="2" t="s">
        <v>20</v>
      </c>
      <c r="C542" s="2" t="s">
        <v>9</v>
      </c>
      <c r="D542" s="36">
        <v>575.0</v>
      </c>
      <c r="E542" s="36">
        <v>12000.0</v>
      </c>
      <c r="F542" s="36">
        <v>6942.86</v>
      </c>
      <c r="G542" s="36">
        <v>6900000.0</v>
      </c>
      <c r="H542" s="36">
        <v>3992144.0</v>
      </c>
      <c r="I542" s="36">
        <v>2907856.0</v>
      </c>
    </row>
    <row r="543">
      <c r="A543" s="2" t="s">
        <v>1540</v>
      </c>
      <c r="B543" s="2" t="s">
        <v>19</v>
      </c>
      <c r="C543" s="2" t="s">
        <v>8</v>
      </c>
      <c r="D543" s="36">
        <v>1208.0</v>
      </c>
      <c r="E543" s="36">
        <v>4250.0</v>
      </c>
      <c r="F543" s="36">
        <v>2670.0</v>
      </c>
      <c r="G543" s="36">
        <v>5134000.0</v>
      </c>
      <c r="H543" s="36">
        <v>3225360.0</v>
      </c>
      <c r="I543" s="36">
        <v>1908640.0</v>
      </c>
    </row>
    <row r="544">
      <c r="A544" s="2" t="s">
        <v>1540</v>
      </c>
      <c r="B544" s="2" t="s">
        <v>18</v>
      </c>
      <c r="C544" s="2" t="s">
        <v>6</v>
      </c>
      <c r="D544" s="36">
        <v>319.0</v>
      </c>
      <c r="E544" s="36">
        <v>1800.0</v>
      </c>
      <c r="F544" s="36">
        <v>929.0</v>
      </c>
      <c r="G544" s="36">
        <v>574200.0</v>
      </c>
      <c r="H544" s="36">
        <v>296351.0</v>
      </c>
      <c r="I544" s="36">
        <v>277849.0</v>
      </c>
    </row>
    <row r="545">
      <c r="A545" s="2" t="s">
        <v>1541</v>
      </c>
      <c r="B545" s="2" t="s">
        <v>20</v>
      </c>
      <c r="C545" s="2" t="s">
        <v>9</v>
      </c>
      <c r="D545" s="36">
        <v>122.0</v>
      </c>
      <c r="E545" s="36">
        <v>12000.0</v>
      </c>
      <c r="F545" s="36">
        <v>6942.86</v>
      </c>
      <c r="G545" s="36">
        <v>1464000.0</v>
      </c>
      <c r="H545" s="36">
        <v>847029.0</v>
      </c>
      <c r="I545" s="36">
        <v>616971.0</v>
      </c>
    </row>
    <row r="546">
      <c r="A546" s="2" t="s">
        <v>1541</v>
      </c>
      <c r="B546" s="2" t="s">
        <v>19</v>
      </c>
      <c r="C546" s="2" t="s">
        <v>8</v>
      </c>
      <c r="D546" s="36">
        <v>579.0</v>
      </c>
      <c r="E546" s="36">
        <v>4250.0</v>
      </c>
      <c r="F546" s="36">
        <v>2670.0</v>
      </c>
      <c r="G546" s="36">
        <v>2460750.0</v>
      </c>
      <c r="H546" s="36">
        <v>1545930.0</v>
      </c>
      <c r="I546" s="36">
        <v>914820.0</v>
      </c>
    </row>
    <row r="547">
      <c r="A547" s="2" t="s">
        <v>1542</v>
      </c>
      <c r="B547" s="2" t="s">
        <v>18</v>
      </c>
      <c r="C547" s="2" t="s">
        <v>6</v>
      </c>
      <c r="D547" s="36">
        <v>434.0</v>
      </c>
      <c r="E547" s="36">
        <v>1800.0</v>
      </c>
      <c r="F547" s="36">
        <v>929.0</v>
      </c>
      <c r="G547" s="36">
        <v>781200.0</v>
      </c>
      <c r="H547" s="36">
        <v>403186.0</v>
      </c>
      <c r="I547" s="36">
        <v>378014.0</v>
      </c>
    </row>
    <row r="548">
      <c r="A548" s="2" t="s">
        <v>1543</v>
      </c>
      <c r="B548" s="2" t="s">
        <v>20</v>
      </c>
      <c r="C548" s="2" t="s">
        <v>9</v>
      </c>
      <c r="D548" s="36">
        <v>2449.0</v>
      </c>
      <c r="E548" s="36">
        <v>12000.0</v>
      </c>
      <c r="F548" s="36">
        <v>6942.86</v>
      </c>
      <c r="G548" s="36">
        <v>2.9388E7</v>
      </c>
      <c r="H548" s="36">
        <v>1.7003064E7</v>
      </c>
      <c r="I548" s="36">
        <v>1.2384936E7</v>
      </c>
    </row>
    <row r="549">
      <c r="A549" s="2" t="s">
        <v>1544</v>
      </c>
      <c r="B549" s="2" t="s">
        <v>19</v>
      </c>
      <c r="C549" s="2" t="s">
        <v>8</v>
      </c>
      <c r="D549" s="36">
        <v>1745.0</v>
      </c>
      <c r="E549" s="36">
        <v>4250.0</v>
      </c>
      <c r="F549" s="36">
        <v>2670.0</v>
      </c>
      <c r="G549" s="36">
        <v>7416250.0</v>
      </c>
      <c r="H549" s="36">
        <v>4659150.0</v>
      </c>
      <c r="I549" s="36">
        <v>2757100.0</v>
      </c>
    </row>
    <row r="550">
      <c r="A550" s="2" t="s">
        <v>1544</v>
      </c>
      <c r="B550" s="2" t="s">
        <v>18</v>
      </c>
      <c r="C550" s="2" t="s">
        <v>6</v>
      </c>
      <c r="D550" s="36">
        <v>327.0</v>
      </c>
      <c r="E550" s="36">
        <v>1800.0</v>
      </c>
      <c r="F550" s="36">
        <v>929.0</v>
      </c>
      <c r="G550" s="36">
        <v>588600.0</v>
      </c>
      <c r="H550" s="36">
        <v>303783.0</v>
      </c>
      <c r="I550" s="36">
        <v>284817.0</v>
      </c>
    </row>
    <row r="551">
      <c r="A551" s="2" t="s">
        <v>1545</v>
      </c>
      <c r="B551" s="2" t="s">
        <v>20</v>
      </c>
      <c r="C551" s="2" t="s">
        <v>9</v>
      </c>
      <c r="D551" s="36">
        <v>423.0</v>
      </c>
      <c r="E551" s="36">
        <v>12000.0</v>
      </c>
      <c r="F551" s="36">
        <v>6942.86</v>
      </c>
      <c r="G551" s="36">
        <v>5076000.0</v>
      </c>
      <c r="H551" s="36">
        <v>2936830.0</v>
      </c>
      <c r="I551" s="36">
        <v>2139170.0</v>
      </c>
    </row>
    <row r="552">
      <c r="A552" s="2" t="s">
        <v>1546</v>
      </c>
      <c r="B552" s="2" t="s">
        <v>19</v>
      </c>
      <c r="C552" s="2" t="s">
        <v>8</v>
      </c>
      <c r="D552" s="36">
        <v>19.0</v>
      </c>
      <c r="E552" s="36">
        <v>4250.0</v>
      </c>
      <c r="F552" s="36">
        <v>2670.0</v>
      </c>
      <c r="G552" s="36">
        <v>80750.0</v>
      </c>
      <c r="H552" s="36">
        <v>50730.0</v>
      </c>
      <c r="I552" s="36">
        <v>30020.0</v>
      </c>
    </row>
    <row r="553">
      <c r="A553" s="2" t="s">
        <v>1547</v>
      </c>
      <c r="B553" s="2" t="s">
        <v>18</v>
      </c>
      <c r="C553" s="2" t="s">
        <v>6</v>
      </c>
      <c r="D553" s="36">
        <v>78.0</v>
      </c>
      <c r="E553" s="36">
        <v>1800.0</v>
      </c>
      <c r="F553" s="36">
        <v>929.0</v>
      </c>
      <c r="G553" s="36">
        <v>140400.0</v>
      </c>
      <c r="H553" s="36">
        <v>72462.0</v>
      </c>
      <c r="I553" s="36">
        <v>67938.0</v>
      </c>
    </row>
    <row r="554">
      <c r="A554" s="2" t="s">
        <v>1548</v>
      </c>
      <c r="B554" s="2" t="s">
        <v>20</v>
      </c>
      <c r="C554" s="2" t="s">
        <v>9</v>
      </c>
      <c r="D554" s="36">
        <v>127.0</v>
      </c>
      <c r="E554" s="36">
        <v>12000.0</v>
      </c>
      <c r="F554" s="36">
        <v>6942.86</v>
      </c>
      <c r="G554" s="36">
        <v>1524000.0</v>
      </c>
      <c r="H554" s="36">
        <v>881743.0</v>
      </c>
      <c r="I554" s="36">
        <v>642257.0</v>
      </c>
    </row>
    <row r="555">
      <c r="A555" s="2" t="s">
        <v>1549</v>
      </c>
      <c r="B555" s="2" t="s">
        <v>19</v>
      </c>
      <c r="C555" s="2" t="s">
        <v>8</v>
      </c>
      <c r="D555" s="36">
        <v>1500.0</v>
      </c>
      <c r="E555" s="36">
        <v>4250.0</v>
      </c>
      <c r="F555" s="36">
        <v>2670.0</v>
      </c>
      <c r="G555" s="36">
        <v>6375000.0</v>
      </c>
      <c r="H555" s="36">
        <v>4005000.0</v>
      </c>
      <c r="I555" s="36">
        <v>2370000.0</v>
      </c>
    </row>
    <row r="556">
      <c r="A556" s="2" t="s">
        <v>1550</v>
      </c>
      <c r="B556" s="2" t="s">
        <v>18</v>
      </c>
      <c r="C556" s="2" t="s">
        <v>6</v>
      </c>
      <c r="D556" s="36">
        <v>543.0</v>
      </c>
      <c r="E556" s="36">
        <v>1800.0</v>
      </c>
      <c r="F556" s="36">
        <v>929.0</v>
      </c>
      <c r="G556" s="36">
        <v>977400.0</v>
      </c>
      <c r="H556" s="36">
        <v>504447.0</v>
      </c>
      <c r="I556" s="36">
        <v>472953.0</v>
      </c>
    </row>
    <row r="557">
      <c r="A557" s="2" t="s">
        <v>1551</v>
      </c>
      <c r="B557" s="2" t="s">
        <v>20</v>
      </c>
      <c r="C557" s="2" t="s">
        <v>9</v>
      </c>
      <c r="D557" s="36">
        <v>105.0</v>
      </c>
      <c r="E557" s="36">
        <v>12000.0</v>
      </c>
      <c r="F557" s="36">
        <v>6942.86</v>
      </c>
      <c r="G557" s="36">
        <v>1260000.0</v>
      </c>
      <c r="H557" s="36">
        <v>729000.0</v>
      </c>
      <c r="I557" s="36">
        <v>531000.0</v>
      </c>
    </row>
    <row r="558">
      <c r="A558" s="2" t="s">
        <v>1551</v>
      </c>
      <c r="B558" s="2" t="s">
        <v>19</v>
      </c>
      <c r="C558" s="2" t="s">
        <v>8</v>
      </c>
      <c r="D558" s="36">
        <v>171.0</v>
      </c>
      <c r="E558" s="36">
        <v>4250.0</v>
      </c>
      <c r="F558" s="36">
        <v>2670.0</v>
      </c>
      <c r="G558" s="36">
        <v>726750.0</v>
      </c>
      <c r="H558" s="36">
        <v>456570.0</v>
      </c>
      <c r="I558" s="36">
        <v>270180.0</v>
      </c>
    </row>
    <row r="559">
      <c r="A559" s="2" t="s">
        <v>1552</v>
      </c>
      <c r="B559" s="2" t="s">
        <v>18</v>
      </c>
      <c r="C559" s="2" t="s">
        <v>6</v>
      </c>
      <c r="D559" s="36">
        <v>988.0</v>
      </c>
      <c r="E559" s="36">
        <v>1800.0</v>
      </c>
      <c r="F559" s="36">
        <v>929.0</v>
      </c>
      <c r="G559" s="36">
        <v>1778400.0</v>
      </c>
      <c r="H559" s="36">
        <v>917852.0</v>
      </c>
      <c r="I559" s="36">
        <v>860548.0</v>
      </c>
    </row>
    <row r="560">
      <c r="A560" s="2" t="s">
        <v>1553</v>
      </c>
      <c r="B560" s="2" t="s">
        <v>20</v>
      </c>
      <c r="C560" s="2" t="s">
        <v>9</v>
      </c>
      <c r="D560" s="36">
        <v>16.0</v>
      </c>
      <c r="E560" s="36">
        <v>12000.0</v>
      </c>
      <c r="F560" s="36">
        <v>6942.86</v>
      </c>
      <c r="G560" s="36">
        <v>192000.0</v>
      </c>
      <c r="H560" s="36">
        <v>111086.0</v>
      </c>
      <c r="I560" s="36">
        <v>80914.0</v>
      </c>
    </row>
    <row r="561">
      <c r="A561" s="2" t="s">
        <v>1554</v>
      </c>
      <c r="B561" s="2" t="s">
        <v>19</v>
      </c>
      <c r="C561" s="2" t="s">
        <v>8</v>
      </c>
      <c r="D561" s="36">
        <v>870.0</v>
      </c>
      <c r="E561" s="36">
        <v>4250.0</v>
      </c>
      <c r="F561" s="36">
        <v>2670.0</v>
      </c>
      <c r="G561" s="36">
        <v>3697500.0</v>
      </c>
      <c r="H561" s="36">
        <v>2322900.0</v>
      </c>
      <c r="I561" s="36">
        <v>1374600.0</v>
      </c>
    </row>
    <row r="562">
      <c r="A562" s="2" t="s">
        <v>1555</v>
      </c>
      <c r="B562" s="2" t="s">
        <v>18</v>
      </c>
      <c r="C562" s="2" t="s">
        <v>6</v>
      </c>
      <c r="D562" s="36">
        <v>184.0</v>
      </c>
      <c r="E562" s="36">
        <v>1800.0</v>
      </c>
      <c r="F562" s="36">
        <v>929.0</v>
      </c>
      <c r="G562" s="36">
        <v>331200.0</v>
      </c>
      <c r="H562" s="36">
        <v>170936.0</v>
      </c>
      <c r="I562" s="36">
        <v>160264.0</v>
      </c>
    </row>
    <row r="563">
      <c r="A563" s="2" t="s">
        <v>1556</v>
      </c>
      <c r="B563" s="2" t="s">
        <v>20</v>
      </c>
      <c r="C563" s="2" t="s">
        <v>9</v>
      </c>
      <c r="D563" s="36">
        <v>120.0</v>
      </c>
      <c r="E563" s="36">
        <v>12000.0</v>
      </c>
      <c r="F563" s="36">
        <v>6942.86</v>
      </c>
      <c r="G563" s="36">
        <v>1440000.0</v>
      </c>
      <c r="H563" s="36">
        <v>833143.0</v>
      </c>
      <c r="I563" s="36">
        <v>606857.0</v>
      </c>
    </row>
    <row r="564">
      <c r="A564" s="2" t="s">
        <v>1557</v>
      </c>
      <c r="B564" s="2" t="s">
        <v>19</v>
      </c>
      <c r="C564" s="2" t="s">
        <v>8</v>
      </c>
      <c r="D564" s="36">
        <v>724.0</v>
      </c>
      <c r="E564" s="36">
        <v>4250.0</v>
      </c>
      <c r="F564" s="36">
        <v>2670.0</v>
      </c>
      <c r="G564" s="36">
        <v>3077000.0</v>
      </c>
      <c r="H564" s="36">
        <v>1933080.0</v>
      </c>
      <c r="I564" s="36">
        <v>1143920.0</v>
      </c>
    </row>
    <row r="565">
      <c r="A565" s="2" t="s">
        <v>1558</v>
      </c>
      <c r="B565" s="2" t="s">
        <v>18</v>
      </c>
      <c r="C565" s="2" t="s">
        <v>6</v>
      </c>
      <c r="D565" s="36">
        <v>2289.0</v>
      </c>
      <c r="E565" s="36">
        <v>1800.0</v>
      </c>
      <c r="F565" s="36">
        <v>929.0</v>
      </c>
      <c r="G565" s="36">
        <v>4120200.0</v>
      </c>
      <c r="H565" s="36">
        <v>2126481.0</v>
      </c>
      <c r="I565" s="36">
        <v>1993719.0</v>
      </c>
    </row>
    <row r="566">
      <c r="A566" s="2" t="s">
        <v>1559</v>
      </c>
      <c r="B566" s="2" t="s">
        <v>20</v>
      </c>
      <c r="C566" s="2" t="s">
        <v>9</v>
      </c>
      <c r="D566" s="36">
        <v>120.0</v>
      </c>
      <c r="E566" s="36">
        <v>12000.0</v>
      </c>
      <c r="F566" s="36">
        <v>6942.86</v>
      </c>
      <c r="G566" s="36">
        <v>1440000.0</v>
      </c>
      <c r="H566" s="36">
        <v>833143.0</v>
      </c>
      <c r="I566" s="36">
        <v>606857.0</v>
      </c>
    </row>
    <row r="567">
      <c r="A567" s="2" t="s">
        <v>1560</v>
      </c>
      <c r="B567" s="2" t="s">
        <v>19</v>
      </c>
      <c r="C567" s="2" t="s">
        <v>8</v>
      </c>
      <c r="D567" s="36">
        <v>55.0</v>
      </c>
      <c r="E567" s="36">
        <v>4250.0</v>
      </c>
      <c r="F567" s="36">
        <v>2670.0</v>
      </c>
      <c r="G567" s="36">
        <v>233750.0</v>
      </c>
      <c r="H567" s="36">
        <v>146850.0</v>
      </c>
      <c r="I567" s="36">
        <v>86900.0</v>
      </c>
    </row>
    <row r="568">
      <c r="A568" s="2" t="s">
        <v>1561</v>
      </c>
      <c r="B568" s="2" t="s">
        <v>18</v>
      </c>
      <c r="C568" s="2" t="s">
        <v>6</v>
      </c>
      <c r="D568" s="36">
        <v>134.0</v>
      </c>
      <c r="E568" s="36">
        <v>1800.0</v>
      </c>
      <c r="F568" s="36">
        <v>929.0</v>
      </c>
      <c r="G568" s="36">
        <v>241200.0</v>
      </c>
      <c r="H568" s="36">
        <v>124486.0</v>
      </c>
      <c r="I568" s="36">
        <v>116714.0</v>
      </c>
    </row>
    <row r="569">
      <c r="A569" s="2" t="s">
        <v>1562</v>
      </c>
      <c r="B569" s="2" t="s">
        <v>18</v>
      </c>
      <c r="C569" s="2" t="s">
        <v>6</v>
      </c>
      <c r="D569" s="36">
        <v>41.0</v>
      </c>
      <c r="E569" s="36">
        <v>1800.0</v>
      </c>
      <c r="F569" s="36">
        <v>929.0</v>
      </c>
      <c r="G569" s="36">
        <v>73800.0</v>
      </c>
      <c r="H569" s="36">
        <v>38089.0</v>
      </c>
      <c r="I569" s="36">
        <v>35711.0</v>
      </c>
    </row>
    <row r="570">
      <c r="A570" s="2" t="s">
        <v>1563</v>
      </c>
      <c r="B570" s="2" t="s">
        <v>19</v>
      </c>
      <c r="C570" s="2" t="s">
        <v>8</v>
      </c>
      <c r="D570" s="36">
        <v>1005.0</v>
      </c>
      <c r="E570" s="36">
        <v>4250.0</v>
      </c>
      <c r="F570" s="36">
        <v>2670.0</v>
      </c>
      <c r="G570" s="36">
        <v>4271250.0</v>
      </c>
      <c r="H570" s="36">
        <v>2683350.0</v>
      </c>
      <c r="I570" s="36">
        <v>1587900.0</v>
      </c>
    </row>
    <row r="571">
      <c r="A571" s="2" t="s">
        <v>1563</v>
      </c>
      <c r="B571" s="2" t="s">
        <v>20</v>
      </c>
      <c r="C571" s="2" t="s">
        <v>9</v>
      </c>
      <c r="D571" s="36">
        <v>119.0</v>
      </c>
      <c r="E571" s="36">
        <v>12000.0</v>
      </c>
      <c r="F571" s="36">
        <v>6942.86</v>
      </c>
      <c r="G571" s="36">
        <v>1428000.0</v>
      </c>
      <c r="H571" s="36">
        <v>826200.0</v>
      </c>
      <c r="I571" s="36">
        <v>601800.0</v>
      </c>
    </row>
    <row r="572">
      <c r="A572" s="2" t="s">
        <v>1564</v>
      </c>
      <c r="B572" s="2" t="s">
        <v>20</v>
      </c>
      <c r="C572" s="2" t="s">
        <v>9</v>
      </c>
      <c r="D572" s="36">
        <v>445.0</v>
      </c>
      <c r="E572" s="36">
        <v>12000.0</v>
      </c>
      <c r="F572" s="36">
        <v>6942.86</v>
      </c>
      <c r="G572" s="36">
        <v>5340000.0</v>
      </c>
      <c r="H572" s="36">
        <v>3089573.0</v>
      </c>
      <c r="I572" s="36">
        <v>2250427.0</v>
      </c>
    </row>
    <row r="573">
      <c r="A573" s="2" t="s">
        <v>1564</v>
      </c>
      <c r="B573" s="2" t="s">
        <v>19</v>
      </c>
      <c r="C573" s="2" t="s">
        <v>8</v>
      </c>
      <c r="D573" s="36">
        <v>2082.0</v>
      </c>
      <c r="E573" s="36">
        <v>4250.0</v>
      </c>
      <c r="F573" s="36">
        <v>2670.0</v>
      </c>
      <c r="G573" s="36">
        <v>8848500.0</v>
      </c>
      <c r="H573" s="36">
        <v>5558940.0</v>
      </c>
      <c r="I573" s="36">
        <v>3289560.0</v>
      </c>
    </row>
    <row r="574">
      <c r="A574" s="2" t="s">
        <v>1565</v>
      </c>
      <c r="B574" s="2" t="s">
        <v>18</v>
      </c>
      <c r="C574" s="2" t="s">
        <v>6</v>
      </c>
      <c r="D574" s="36">
        <v>1475.0</v>
      </c>
      <c r="E574" s="36">
        <v>1800.0</v>
      </c>
      <c r="F574" s="36">
        <v>929.0</v>
      </c>
      <c r="G574" s="36">
        <v>2655000.0</v>
      </c>
      <c r="H574" s="36">
        <v>1370275.0</v>
      </c>
      <c r="I574" s="36">
        <v>1284725.0</v>
      </c>
    </row>
    <row r="575">
      <c r="A575" s="2" t="s">
        <v>1566</v>
      </c>
      <c r="B575" s="2" t="s">
        <v>20</v>
      </c>
      <c r="C575" s="2" t="s">
        <v>9</v>
      </c>
      <c r="D575" s="36">
        <v>975.0</v>
      </c>
      <c r="E575" s="36">
        <v>12000.0</v>
      </c>
      <c r="F575" s="36">
        <v>6942.86</v>
      </c>
      <c r="G575" s="36">
        <v>1.17E7</v>
      </c>
      <c r="H575" s="36">
        <v>6769288.0</v>
      </c>
      <c r="I575" s="36">
        <v>4930712.0</v>
      </c>
    </row>
    <row r="576">
      <c r="A576" s="2" t="s">
        <v>1567</v>
      </c>
      <c r="B576" s="2" t="s">
        <v>19</v>
      </c>
      <c r="C576" s="2" t="s">
        <v>8</v>
      </c>
      <c r="D576" s="36">
        <v>106.0</v>
      </c>
      <c r="E576" s="36">
        <v>4250.0</v>
      </c>
      <c r="F576" s="36">
        <v>2670.0</v>
      </c>
      <c r="G576" s="36">
        <v>450500.0</v>
      </c>
      <c r="H576" s="36">
        <v>283020.0</v>
      </c>
      <c r="I576" s="36">
        <v>167480.0</v>
      </c>
    </row>
    <row r="577">
      <c r="A577" s="2" t="s">
        <v>1568</v>
      </c>
      <c r="B577" s="2" t="s">
        <v>18</v>
      </c>
      <c r="C577" s="2" t="s">
        <v>6</v>
      </c>
      <c r="D577" s="36">
        <v>212.0</v>
      </c>
      <c r="E577" s="36">
        <v>1800.0</v>
      </c>
      <c r="F577" s="36">
        <v>929.0</v>
      </c>
      <c r="G577" s="36">
        <v>381600.0</v>
      </c>
      <c r="H577" s="36">
        <v>196948.0</v>
      </c>
      <c r="I577" s="36">
        <v>184652.0</v>
      </c>
    </row>
    <row r="578">
      <c r="A578" s="2" t="s">
        <v>1569</v>
      </c>
      <c r="B578" s="2" t="s">
        <v>20</v>
      </c>
      <c r="C578" s="2" t="s">
        <v>9</v>
      </c>
      <c r="D578" s="36">
        <v>462.0</v>
      </c>
      <c r="E578" s="36">
        <v>12000.0</v>
      </c>
      <c r="F578" s="36">
        <v>6942.86</v>
      </c>
      <c r="G578" s="36">
        <v>5544000.0</v>
      </c>
      <c r="H578" s="36">
        <v>3207601.0</v>
      </c>
      <c r="I578" s="36">
        <v>2336399.0</v>
      </c>
    </row>
    <row r="579">
      <c r="A579" s="2" t="s">
        <v>1570</v>
      </c>
      <c r="B579" s="2" t="s">
        <v>19</v>
      </c>
      <c r="C579" s="2" t="s">
        <v>8</v>
      </c>
      <c r="D579" s="36">
        <v>424.0</v>
      </c>
      <c r="E579" s="36">
        <v>4250.0</v>
      </c>
      <c r="F579" s="36">
        <v>2670.0</v>
      </c>
      <c r="G579" s="36">
        <v>1802000.0</v>
      </c>
      <c r="H579" s="36">
        <v>1132080.0</v>
      </c>
      <c r="I579" s="36">
        <v>669920.0</v>
      </c>
    </row>
    <row r="580">
      <c r="A580" s="2" t="s">
        <v>1571</v>
      </c>
      <c r="B580" s="2" t="s">
        <v>18</v>
      </c>
      <c r="C580" s="2" t="s">
        <v>6</v>
      </c>
      <c r="D580" s="36">
        <v>678.0</v>
      </c>
      <c r="E580" s="36">
        <v>1800.0</v>
      </c>
      <c r="F580" s="36">
        <v>929.0</v>
      </c>
      <c r="G580" s="36">
        <v>1220400.0</v>
      </c>
      <c r="H580" s="36">
        <v>629862.0</v>
      </c>
      <c r="I580" s="36">
        <v>590538.0</v>
      </c>
    </row>
    <row r="581">
      <c r="A581" s="2" t="s">
        <v>1572</v>
      </c>
      <c r="B581" s="2" t="s">
        <v>20</v>
      </c>
      <c r="C581" s="2" t="s">
        <v>9</v>
      </c>
      <c r="D581" s="36">
        <v>1099.0</v>
      </c>
      <c r="E581" s="36">
        <v>12000.0</v>
      </c>
      <c r="F581" s="36">
        <v>6942.86</v>
      </c>
      <c r="G581" s="36">
        <v>1.3188E7</v>
      </c>
      <c r="H581" s="36">
        <v>7630203.0</v>
      </c>
      <c r="I581" s="36">
        <v>5557797.0</v>
      </c>
    </row>
    <row r="582">
      <c r="A582" s="2" t="s">
        <v>1572</v>
      </c>
      <c r="B582" s="2" t="s">
        <v>19</v>
      </c>
      <c r="C582" s="2" t="s">
        <v>8</v>
      </c>
      <c r="D582" s="36">
        <v>266.0</v>
      </c>
      <c r="E582" s="36">
        <v>4250.0</v>
      </c>
      <c r="F582" s="36">
        <v>2670.0</v>
      </c>
      <c r="G582" s="36">
        <v>1130500.0</v>
      </c>
      <c r="H582" s="36">
        <v>710220.0</v>
      </c>
      <c r="I582" s="36">
        <v>420280.0</v>
      </c>
    </row>
    <row r="583">
      <c r="A583" s="2" t="s">
        <v>1573</v>
      </c>
      <c r="B583" s="2" t="s">
        <v>18</v>
      </c>
      <c r="C583" s="2" t="s">
        <v>6</v>
      </c>
      <c r="D583" s="36">
        <v>2361.0</v>
      </c>
      <c r="E583" s="36">
        <v>1800.0</v>
      </c>
      <c r="F583" s="36">
        <v>929.0</v>
      </c>
      <c r="G583" s="36">
        <v>4249800.0</v>
      </c>
      <c r="H583" s="36">
        <v>2193369.0</v>
      </c>
      <c r="I583" s="36">
        <v>2056431.0</v>
      </c>
    </row>
    <row r="584">
      <c r="A584" s="2" t="s">
        <v>1574</v>
      </c>
      <c r="B584" s="2" t="s">
        <v>20</v>
      </c>
      <c r="C584" s="2" t="s">
        <v>9</v>
      </c>
      <c r="D584" s="36">
        <v>215.0</v>
      </c>
      <c r="E584" s="36">
        <v>12000.0</v>
      </c>
      <c r="F584" s="36">
        <v>6942.86</v>
      </c>
      <c r="G584" s="36">
        <v>2580000.0</v>
      </c>
      <c r="H584" s="36">
        <v>1492715.0</v>
      </c>
      <c r="I584" s="36">
        <v>1087285.0</v>
      </c>
    </row>
    <row r="585">
      <c r="A585" s="2" t="s">
        <v>1575</v>
      </c>
      <c r="B585" s="2" t="s">
        <v>19</v>
      </c>
      <c r="C585" s="2" t="s">
        <v>8</v>
      </c>
      <c r="D585" s="36">
        <v>284.0</v>
      </c>
      <c r="E585" s="36">
        <v>4250.0</v>
      </c>
      <c r="F585" s="36">
        <v>2670.0</v>
      </c>
      <c r="G585" s="36">
        <v>1207000.0</v>
      </c>
      <c r="H585" s="36">
        <v>758280.0</v>
      </c>
      <c r="I585" s="36">
        <v>448720.0</v>
      </c>
    </row>
    <row r="586">
      <c r="A586" s="2" t="s">
        <v>1576</v>
      </c>
      <c r="B586" s="2" t="s">
        <v>18</v>
      </c>
      <c r="C586" s="2" t="s">
        <v>6</v>
      </c>
      <c r="D586" s="36">
        <v>434.0</v>
      </c>
      <c r="E586" s="36">
        <v>1800.0</v>
      </c>
      <c r="F586" s="36">
        <v>929.0</v>
      </c>
      <c r="G586" s="36">
        <v>781200.0</v>
      </c>
      <c r="H586" s="36">
        <v>403186.0</v>
      </c>
      <c r="I586" s="36">
        <v>378014.0</v>
      </c>
    </row>
    <row r="587">
      <c r="A587" s="2" t="s">
        <v>1577</v>
      </c>
      <c r="B587" s="2" t="s">
        <v>20</v>
      </c>
      <c r="C587" s="2" t="s">
        <v>9</v>
      </c>
      <c r="D587" s="36">
        <v>148.0</v>
      </c>
      <c r="E587" s="36">
        <v>12000.0</v>
      </c>
      <c r="F587" s="36">
        <v>6942.86</v>
      </c>
      <c r="G587" s="36">
        <v>1776000.0</v>
      </c>
      <c r="H587" s="36">
        <v>1027543.0</v>
      </c>
      <c r="I587" s="36">
        <v>748457.0</v>
      </c>
    </row>
    <row r="588">
      <c r="A588" s="2" t="s">
        <v>1578</v>
      </c>
      <c r="B588" s="2" t="s">
        <v>19</v>
      </c>
      <c r="C588" s="2" t="s">
        <v>8</v>
      </c>
      <c r="D588" s="36">
        <v>61.0</v>
      </c>
      <c r="E588" s="36">
        <v>4250.0</v>
      </c>
      <c r="F588" s="36">
        <v>2670.0</v>
      </c>
      <c r="G588" s="36">
        <v>259250.0</v>
      </c>
      <c r="H588" s="36">
        <v>162870.0</v>
      </c>
      <c r="I588" s="36">
        <v>96380.0</v>
      </c>
    </row>
    <row r="589">
      <c r="A589" s="2" t="s">
        <v>1579</v>
      </c>
      <c r="B589" s="2" t="s">
        <v>18</v>
      </c>
      <c r="C589" s="2" t="s">
        <v>6</v>
      </c>
      <c r="D589" s="36">
        <v>346.0</v>
      </c>
      <c r="E589" s="36">
        <v>1800.0</v>
      </c>
      <c r="F589" s="36">
        <v>929.0</v>
      </c>
      <c r="G589" s="36">
        <v>622800.0</v>
      </c>
      <c r="H589" s="36">
        <v>321434.0</v>
      </c>
      <c r="I589" s="36">
        <v>301366.0</v>
      </c>
    </row>
    <row r="590">
      <c r="A590" s="2" t="s">
        <v>1580</v>
      </c>
      <c r="B590" s="2" t="s">
        <v>18</v>
      </c>
      <c r="C590" s="2" t="s">
        <v>6</v>
      </c>
      <c r="D590" s="36">
        <v>178.0</v>
      </c>
      <c r="E590" s="36">
        <v>1800.0</v>
      </c>
      <c r="F590" s="36">
        <v>929.0</v>
      </c>
      <c r="G590" s="36">
        <v>320400.0</v>
      </c>
      <c r="H590" s="36">
        <v>165362.0</v>
      </c>
      <c r="I590" s="36">
        <v>155038.0</v>
      </c>
    </row>
    <row r="591">
      <c r="A591" s="2" t="s">
        <v>1580</v>
      </c>
      <c r="B591" s="2" t="s">
        <v>19</v>
      </c>
      <c r="C591" s="2" t="s">
        <v>8</v>
      </c>
      <c r="D591" s="36">
        <v>488.0</v>
      </c>
      <c r="E591" s="36">
        <v>4250.0</v>
      </c>
      <c r="F591" s="36">
        <v>2670.0</v>
      </c>
      <c r="G591" s="36">
        <v>2074000.0</v>
      </c>
      <c r="H591" s="36">
        <v>1302960.0</v>
      </c>
      <c r="I591" s="36">
        <v>771040.0</v>
      </c>
    </row>
    <row r="592">
      <c r="A592" s="2" t="s">
        <v>1581</v>
      </c>
      <c r="B592" s="2" t="s">
        <v>20</v>
      </c>
      <c r="C592" s="2" t="s">
        <v>9</v>
      </c>
      <c r="D592" s="36">
        <v>178.0</v>
      </c>
      <c r="E592" s="36">
        <v>12000.0</v>
      </c>
      <c r="F592" s="36">
        <v>6942.86</v>
      </c>
      <c r="G592" s="36">
        <v>2136000.0</v>
      </c>
      <c r="H592" s="36">
        <v>1235829.0</v>
      </c>
      <c r="I592" s="36">
        <v>900171.0</v>
      </c>
    </row>
    <row r="593">
      <c r="A593" s="2" t="s">
        <v>1582</v>
      </c>
      <c r="B593" s="2" t="s">
        <v>20</v>
      </c>
      <c r="C593" s="2" t="s">
        <v>9</v>
      </c>
      <c r="D593" s="36">
        <v>115.0</v>
      </c>
      <c r="E593" s="36">
        <v>12000.0</v>
      </c>
      <c r="F593" s="36">
        <v>6942.86</v>
      </c>
      <c r="G593" s="36">
        <v>1380000.0</v>
      </c>
      <c r="H593" s="36">
        <v>798429.0</v>
      </c>
      <c r="I593" s="36">
        <v>581571.0</v>
      </c>
    </row>
    <row r="594">
      <c r="A594" s="2" t="s">
        <v>1583</v>
      </c>
      <c r="B594" s="2" t="s">
        <v>19</v>
      </c>
      <c r="C594" s="2" t="s">
        <v>8</v>
      </c>
      <c r="D594" s="36">
        <v>226.0</v>
      </c>
      <c r="E594" s="36">
        <v>4250.0</v>
      </c>
      <c r="F594" s="36">
        <v>2670.0</v>
      </c>
      <c r="G594" s="36">
        <v>960500.0</v>
      </c>
      <c r="H594" s="36">
        <v>603420.0</v>
      </c>
      <c r="I594" s="36">
        <v>357080.0</v>
      </c>
    </row>
    <row r="595">
      <c r="A595" s="2" t="s">
        <v>1584</v>
      </c>
      <c r="B595" s="2" t="s">
        <v>18</v>
      </c>
      <c r="C595" s="2" t="s">
        <v>6</v>
      </c>
      <c r="D595" s="36">
        <v>1811.0</v>
      </c>
      <c r="E595" s="36">
        <v>1800.0</v>
      </c>
      <c r="F595" s="36">
        <v>929.0</v>
      </c>
      <c r="G595" s="36">
        <v>3259800.0</v>
      </c>
      <c r="H595" s="36">
        <v>1682419.0</v>
      </c>
      <c r="I595" s="36">
        <v>1577381.0</v>
      </c>
    </row>
    <row r="596">
      <c r="A596" s="2" t="s">
        <v>1585</v>
      </c>
      <c r="B596" s="2" t="s">
        <v>20</v>
      </c>
      <c r="C596" s="2" t="s">
        <v>9</v>
      </c>
      <c r="D596" s="36">
        <v>533.0</v>
      </c>
      <c r="E596" s="36">
        <v>12000.0</v>
      </c>
      <c r="F596" s="36">
        <v>6942.86</v>
      </c>
      <c r="G596" s="36">
        <v>6396000.0</v>
      </c>
      <c r="H596" s="36">
        <v>3700544.0</v>
      </c>
      <c r="I596" s="36">
        <v>2695456.0</v>
      </c>
    </row>
    <row r="597">
      <c r="A597" s="2" t="s">
        <v>1586</v>
      </c>
      <c r="B597" s="2" t="s">
        <v>19</v>
      </c>
      <c r="C597" s="2" t="s">
        <v>8</v>
      </c>
      <c r="D597" s="36">
        <v>122.0</v>
      </c>
      <c r="E597" s="36">
        <v>4250.0</v>
      </c>
      <c r="F597" s="36">
        <v>2670.0</v>
      </c>
      <c r="G597" s="36">
        <v>518500.0</v>
      </c>
      <c r="H597" s="36">
        <v>325740.0</v>
      </c>
      <c r="I597" s="36">
        <v>192760.0</v>
      </c>
    </row>
    <row r="598">
      <c r="A598" s="2" t="s">
        <v>1587</v>
      </c>
      <c r="B598" s="2" t="s">
        <v>18</v>
      </c>
      <c r="C598" s="2" t="s">
        <v>6</v>
      </c>
      <c r="D598" s="36">
        <v>1791.0</v>
      </c>
      <c r="E598" s="36">
        <v>1800.0</v>
      </c>
      <c r="F598" s="36">
        <v>929.0</v>
      </c>
      <c r="G598" s="36">
        <v>3223800.0</v>
      </c>
      <c r="H598" s="36">
        <v>1663839.0</v>
      </c>
      <c r="I598" s="36">
        <v>1559961.0</v>
      </c>
    </row>
    <row r="599">
      <c r="A599" s="2" t="s">
        <v>1588</v>
      </c>
      <c r="B599" s="2" t="s">
        <v>20</v>
      </c>
      <c r="C599" s="2" t="s">
        <v>9</v>
      </c>
      <c r="D599" s="36">
        <v>133.0</v>
      </c>
      <c r="E599" s="36">
        <v>12000.0</v>
      </c>
      <c r="F599" s="36">
        <v>6942.86</v>
      </c>
      <c r="G599" s="36">
        <v>1596000.0</v>
      </c>
      <c r="H599" s="36">
        <v>923400.0</v>
      </c>
      <c r="I599" s="36">
        <v>672600.0</v>
      </c>
    </row>
    <row r="600">
      <c r="A600" s="2" t="s">
        <v>1589</v>
      </c>
      <c r="B600" s="2" t="s">
        <v>19</v>
      </c>
      <c r="C600" s="2" t="s">
        <v>8</v>
      </c>
      <c r="D600" s="36">
        <v>130.0</v>
      </c>
      <c r="E600" s="36">
        <v>4250.0</v>
      </c>
      <c r="F600" s="36">
        <v>2670.0</v>
      </c>
      <c r="G600" s="36">
        <v>552500.0</v>
      </c>
      <c r="H600" s="36">
        <v>347100.0</v>
      </c>
      <c r="I600" s="36">
        <v>205400.0</v>
      </c>
    </row>
    <row r="601">
      <c r="A601" s="2" t="s">
        <v>1589</v>
      </c>
      <c r="B601" s="2" t="s">
        <v>18</v>
      </c>
      <c r="C601" s="2" t="s">
        <v>6</v>
      </c>
      <c r="D601" s="36">
        <v>416.0</v>
      </c>
      <c r="E601" s="36">
        <v>1800.0</v>
      </c>
      <c r="F601" s="36">
        <v>929.0</v>
      </c>
      <c r="G601" s="36">
        <v>748800.0</v>
      </c>
      <c r="H601" s="36">
        <v>386464.0</v>
      </c>
      <c r="I601" s="36">
        <v>362336.0</v>
      </c>
    </row>
    <row r="602">
      <c r="A602" s="2" t="s">
        <v>1590</v>
      </c>
      <c r="B602" s="2" t="s">
        <v>20</v>
      </c>
      <c r="C602" s="2" t="s">
        <v>9</v>
      </c>
      <c r="D602" s="36">
        <v>31.0</v>
      </c>
      <c r="E602" s="36">
        <v>12000.0</v>
      </c>
      <c r="F602" s="36">
        <v>6942.86</v>
      </c>
      <c r="G602" s="36">
        <v>372000.0</v>
      </c>
      <c r="H602" s="36">
        <v>215229.0</v>
      </c>
      <c r="I602" s="36">
        <v>156771.0</v>
      </c>
    </row>
    <row r="603">
      <c r="A603" s="2" t="s">
        <v>1591</v>
      </c>
      <c r="B603" s="2" t="s">
        <v>19</v>
      </c>
      <c r="C603" s="2" t="s">
        <v>8</v>
      </c>
      <c r="D603" s="36">
        <v>225.0</v>
      </c>
      <c r="E603" s="36">
        <v>4250.0</v>
      </c>
      <c r="F603" s="36">
        <v>2670.0</v>
      </c>
      <c r="G603" s="36">
        <v>956250.0</v>
      </c>
      <c r="H603" s="36">
        <v>600750.0</v>
      </c>
      <c r="I603" s="36">
        <v>355500.0</v>
      </c>
    </row>
    <row r="604">
      <c r="A604" s="2" t="s">
        <v>1592</v>
      </c>
      <c r="B604" s="2" t="s">
        <v>18</v>
      </c>
      <c r="C604" s="2" t="s">
        <v>6</v>
      </c>
      <c r="D604" s="36">
        <v>398.0</v>
      </c>
      <c r="E604" s="36">
        <v>1800.0</v>
      </c>
      <c r="F604" s="36">
        <v>929.0</v>
      </c>
      <c r="G604" s="36">
        <v>716400.0</v>
      </c>
      <c r="H604" s="36">
        <v>369742.0</v>
      </c>
      <c r="I604" s="36">
        <v>346658.0</v>
      </c>
    </row>
    <row r="605">
      <c r="A605" s="2" t="s">
        <v>1593</v>
      </c>
      <c r="B605" s="2" t="s">
        <v>20</v>
      </c>
      <c r="C605" s="2" t="s">
        <v>9</v>
      </c>
      <c r="D605" s="36">
        <v>34.0</v>
      </c>
      <c r="E605" s="36">
        <v>12000.0</v>
      </c>
      <c r="F605" s="36">
        <v>6942.86</v>
      </c>
      <c r="G605" s="36">
        <v>408000.0</v>
      </c>
      <c r="H605" s="36">
        <v>236057.0</v>
      </c>
      <c r="I605" s="36">
        <v>171943.0</v>
      </c>
    </row>
    <row r="606">
      <c r="A606" s="2" t="s">
        <v>1594</v>
      </c>
      <c r="B606" s="2" t="s">
        <v>19</v>
      </c>
      <c r="C606" s="2" t="s">
        <v>8</v>
      </c>
      <c r="D606" s="36">
        <v>956.0</v>
      </c>
      <c r="E606" s="36">
        <v>4250.0</v>
      </c>
      <c r="F606" s="36">
        <v>2670.0</v>
      </c>
      <c r="G606" s="36">
        <v>4063000.0</v>
      </c>
      <c r="H606" s="36">
        <v>2552520.0</v>
      </c>
      <c r="I606" s="36">
        <v>1510480.0</v>
      </c>
    </row>
    <row r="607">
      <c r="A607" s="2" t="s">
        <v>1595</v>
      </c>
      <c r="B607" s="2" t="s">
        <v>18</v>
      </c>
      <c r="C607" s="2" t="s">
        <v>6</v>
      </c>
      <c r="D607" s="36">
        <v>196.0</v>
      </c>
      <c r="E607" s="36">
        <v>1800.0</v>
      </c>
      <c r="F607" s="36">
        <v>929.0</v>
      </c>
      <c r="G607" s="36">
        <v>352800.0</v>
      </c>
      <c r="H607" s="36">
        <v>182084.0</v>
      </c>
      <c r="I607" s="36">
        <v>170716.0</v>
      </c>
    </row>
    <row r="608">
      <c r="A608" s="2" t="s">
        <v>1596</v>
      </c>
      <c r="B608" s="2" t="s">
        <v>20</v>
      </c>
      <c r="C608" s="2" t="s">
        <v>9</v>
      </c>
      <c r="D608" s="36">
        <v>511.0</v>
      </c>
      <c r="E608" s="36">
        <v>12000.0</v>
      </c>
      <c r="F608" s="36">
        <v>6942.86</v>
      </c>
      <c r="G608" s="36">
        <v>6132000.0</v>
      </c>
      <c r="H608" s="36">
        <v>3547801.0</v>
      </c>
      <c r="I608" s="36">
        <v>2584199.0</v>
      </c>
    </row>
    <row r="609">
      <c r="A609" s="2" t="s">
        <v>1597</v>
      </c>
      <c r="B609" s="2" t="s">
        <v>19</v>
      </c>
      <c r="C609" s="2" t="s">
        <v>8</v>
      </c>
      <c r="D609" s="36">
        <v>199.0</v>
      </c>
      <c r="E609" s="36">
        <v>4250.0</v>
      </c>
      <c r="F609" s="36">
        <v>2670.0</v>
      </c>
      <c r="G609" s="36">
        <v>845750.0</v>
      </c>
      <c r="H609" s="36">
        <v>531330.0</v>
      </c>
      <c r="I609" s="36">
        <v>314420.0</v>
      </c>
    </row>
    <row r="610">
      <c r="A610" s="2" t="s">
        <v>1598</v>
      </c>
      <c r="B610" s="2" t="s">
        <v>18</v>
      </c>
      <c r="C610" s="2" t="s">
        <v>6</v>
      </c>
      <c r="D610" s="36">
        <v>499.0</v>
      </c>
      <c r="E610" s="36">
        <v>1800.0</v>
      </c>
      <c r="F610" s="36">
        <v>929.0</v>
      </c>
      <c r="G610" s="36">
        <v>898200.0</v>
      </c>
      <c r="H610" s="36">
        <v>463571.0</v>
      </c>
      <c r="I610" s="36">
        <v>434629.0</v>
      </c>
    </row>
    <row r="611">
      <c r="A611" s="2" t="s">
        <v>1599</v>
      </c>
      <c r="B611" s="2" t="s">
        <v>20</v>
      </c>
      <c r="C611" s="2" t="s">
        <v>9</v>
      </c>
      <c r="D611" s="36">
        <v>563.0</v>
      </c>
      <c r="E611" s="36">
        <v>12000.0</v>
      </c>
      <c r="F611" s="36">
        <v>6942.86</v>
      </c>
      <c r="G611" s="36">
        <v>6756000.0</v>
      </c>
      <c r="H611" s="36">
        <v>3908830.0</v>
      </c>
      <c r="I611" s="36">
        <v>2847170.0</v>
      </c>
    </row>
    <row r="612">
      <c r="A612" s="2" t="s">
        <v>1600</v>
      </c>
      <c r="B612" s="2" t="s">
        <v>19</v>
      </c>
      <c r="C612" s="2" t="s">
        <v>8</v>
      </c>
      <c r="D612" s="36">
        <v>467.0</v>
      </c>
      <c r="E612" s="36">
        <v>4250.0</v>
      </c>
      <c r="F612" s="36">
        <v>2670.0</v>
      </c>
      <c r="G612" s="36">
        <v>1984750.0</v>
      </c>
      <c r="H612" s="36">
        <v>1246890.0</v>
      </c>
      <c r="I612" s="36">
        <v>737860.0</v>
      </c>
    </row>
    <row r="613">
      <c r="A613" s="2" t="s">
        <v>1601</v>
      </c>
      <c r="B613" s="2" t="s">
        <v>18</v>
      </c>
      <c r="C613" s="2" t="s">
        <v>6</v>
      </c>
      <c r="D613" s="36">
        <v>1685.0</v>
      </c>
      <c r="E613" s="36">
        <v>1800.0</v>
      </c>
      <c r="F613" s="36">
        <v>929.0</v>
      </c>
      <c r="G613" s="36">
        <v>3033000.0</v>
      </c>
      <c r="H613" s="36">
        <v>1565365.0</v>
      </c>
      <c r="I613" s="36">
        <v>1467635.0</v>
      </c>
    </row>
    <row r="614">
      <c r="A614" s="2" t="s">
        <v>1602</v>
      </c>
      <c r="B614" s="2" t="s">
        <v>20</v>
      </c>
      <c r="C614" s="2" t="s">
        <v>9</v>
      </c>
      <c r="D614" s="36">
        <v>833.0</v>
      </c>
      <c r="E614" s="36">
        <v>12000.0</v>
      </c>
      <c r="F614" s="36">
        <v>6942.86</v>
      </c>
      <c r="G614" s="36">
        <v>9996000.0</v>
      </c>
      <c r="H614" s="36">
        <v>5783402.0</v>
      </c>
      <c r="I614" s="36">
        <v>4212598.0</v>
      </c>
    </row>
    <row r="615">
      <c r="A615" s="2" t="s">
        <v>1603</v>
      </c>
      <c r="B615" s="2" t="s">
        <v>19</v>
      </c>
      <c r="C615" s="2" t="s">
        <v>8</v>
      </c>
      <c r="D615" s="36">
        <v>322.0</v>
      </c>
      <c r="E615" s="36">
        <v>4250.0</v>
      </c>
      <c r="F615" s="36">
        <v>2670.0</v>
      </c>
      <c r="G615" s="36">
        <v>1368500.0</v>
      </c>
      <c r="H615" s="36">
        <v>859740.0</v>
      </c>
      <c r="I615" s="36">
        <v>508760.0</v>
      </c>
    </row>
    <row r="616">
      <c r="A616" s="2" t="s">
        <v>1604</v>
      </c>
      <c r="B616" s="2" t="s">
        <v>18</v>
      </c>
      <c r="C616" s="2" t="s">
        <v>6</v>
      </c>
      <c r="D616" s="36">
        <v>642.0</v>
      </c>
      <c r="E616" s="36">
        <v>1800.0</v>
      </c>
      <c r="F616" s="36">
        <v>929.0</v>
      </c>
      <c r="G616" s="36">
        <v>1155600.0</v>
      </c>
      <c r="H616" s="36">
        <v>596418.0</v>
      </c>
      <c r="I616" s="36">
        <v>559182.0</v>
      </c>
    </row>
    <row r="617">
      <c r="A617" s="2" t="s">
        <v>1605</v>
      </c>
      <c r="B617" s="2" t="s">
        <v>20</v>
      </c>
      <c r="C617" s="2" t="s">
        <v>9</v>
      </c>
      <c r="D617" s="36">
        <v>48.0</v>
      </c>
      <c r="E617" s="36">
        <v>12000.0</v>
      </c>
      <c r="F617" s="36">
        <v>6942.86</v>
      </c>
      <c r="G617" s="36">
        <v>576000.0</v>
      </c>
      <c r="H617" s="36">
        <v>333257.0</v>
      </c>
      <c r="I617" s="36">
        <v>242743.0</v>
      </c>
    </row>
    <row r="618">
      <c r="A618" s="2" t="s">
        <v>1606</v>
      </c>
      <c r="B618" s="2" t="s">
        <v>19</v>
      </c>
      <c r="C618" s="2" t="s">
        <v>8</v>
      </c>
      <c r="D618" s="36">
        <v>375.0</v>
      </c>
      <c r="E618" s="36">
        <v>4250.0</v>
      </c>
      <c r="F618" s="36">
        <v>2670.0</v>
      </c>
      <c r="G618" s="36">
        <v>1593750.0</v>
      </c>
      <c r="H618" s="36">
        <v>1001250.0</v>
      </c>
      <c r="I618" s="36">
        <v>592500.0</v>
      </c>
    </row>
    <row r="619">
      <c r="A619" s="2" t="s">
        <v>1607</v>
      </c>
      <c r="B619" s="2" t="s">
        <v>18</v>
      </c>
      <c r="C619" s="2" t="s">
        <v>6</v>
      </c>
      <c r="D619" s="36">
        <v>302.0</v>
      </c>
      <c r="E619" s="36">
        <v>1800.0</v>
      </c>
      <c r="F619" s="36">
        <v>929.0</v>
      </c>
      <c r="G619" s="36">
        <v>543600.0</v>
      </c>
      <c r="H619" s="36">
        <v>280558.0</v>
      </c>
      <c r="I619" s="36">
        <v>263042.0</v>
      </c>
    </row>
    <row r="620">
      <c r="A620" s="2" t="s">
        <v>1608</v>
      </c>
      <c r="B620" s="2" t="s">
        <v>20</v>
      </c>
      <c r="C620" s="2" t="s">
        <v>9</v>
      </c>
      <c r="D620" s="36">
        <v>2097.0</v>
      </c>
      <c r="E620" s="36">
        <v>12000.0</v>
      </c>
      <c r="F620" s="36">
        <v>6942.86</v>
      </c>
      <c r="G620" s="36">
        <v>2.5164E7</v>
      </c>
      <c r="H620" s="36">
        <v>1.4559177E7</v>
      </c>
      <c r="I620" s="36">
        <v>1.0604823E7</v>
      </c>
    </row>
    <row r="621">
      <c r="A621" s="2" t="s">
        <v>1609</v>
      </c>
      <c r="B621" s="2" t="s">
        <v>19</v>
      </c>
      <c r="C621" s="2" t="s">
        <v>8</v>
      </c>
      <c r="D621" s="36">
        <v>1235.0</v>
      </c>
      <c r="E621" s="36">
        <v>4250.0</v>
      </c>
      <c r="F621" s="36">
        <v>2670.0</v>
      </c>
      <c r="G621" s="36">
        <v>5248750.0</v>
      </c>
      <c r="H621" s="36">
        <v>3297450.0</v>
      </c>
      <c r="I621" s="36">
        <v>1951300.0</v>
      </c>
    </row>
    <row r="622">
      <c r="A622" s="2" t="s">
        <v>1610</v>
      </c>
      <c r="B622" s="2" t="s">
        <v>18</v>
      </c>
      <c r="C622" s="2" t="s">
        <v>6</v>
      </c>
      <c r="D622" s="36">
        <v>166.0</v>
      </c>
      <c r="E622" s="36">
        <v>1800.0</v>
      </c>
      <c r="F622" s="36">
        <v>929.0</v>
      </c>
      <c r="G622" s="36">
        <v>298800.0</v>
      </c>
      <c r="H622" s="36">
        <v>154214.0</v>
      </c>
      <c r="I622" s="36">
        <v>144586.0</v>
      </c>
    </row>
    <row r="623">
      <c r="A623" s="2" t="s">
        <v>1611</v>
      </c>
      <c r="B623" s="2" t="s">
        <v>20</v>
      </c>
      <c r="C623" s="2" t="s">
        <v>9</v>
      </c>
      <c r="D623" s="36">
        <v>283.0</v>
      </c>
      <c r="E623" s="36">
        <v>12000.0</v>
      </c>
      <c r="F623" s="36">
        <v>6942.86</v>
      </c>
      <c r="G623" s="36">
        <v>3396000.0</v>
      </c>
      <c r="H623" s="36">
        <v>1964829.0</v>
      </c>
      <c r="I623" s="36">
        <v>1431171.0</v>
      </c>
    </row>
    <row r="624">
      <c r="A624" s="2" t="s">
        <v>1611</v>
      </c>
      <c r="B624" s="2" t="s">
        <v>19</v>
      </c>
      <c r="C624" s="2" t="s">
        <v>8</v>
      </c>
      <c r="D624" s="36">
        <v>537.0</v>
      </c>
      <c r="E624" s="36">
        <v>4250.0</v>
      </c>
      <c r="F624" s="36">
        <v>2670.0</v>
      </c>
      <c r="G624" s="36">
        <v>2282250.0</v>
      </c>
      <c r="H624" s="36">
        <v>1433790.0</v>
      </c>
      <c r="I624" s="36">
        <v>848460.0</v>
      </c>
    </row>
    <row r="625">
      <c r="A625" s="2" t="s">
        <v>1612</v>
      </c>
      <c r="B625" s="2" t="s">
        <v>18</v>
      </c>
      <c r="C625" s="2" t="s">
        <v>6</v>
      </c>
      <c r="D625" s="36">
        <v>1618.0</v>
      </c>
      <c r="E625" s="36">
        <v>1800.0</v>
      </c>
      <c r="F625" s="36">
        <v>929.0</v>
      </c>
      <c r="G625" s="36">
        <v>2912400.0</v>
      </c>
      <c r="H625" s="36">
        <v>1503122.0</v>
      </c>
      <c r="I625" s="36">
        <v>1409278.0</v>
      </c>
    </row>
    <row r="626">
      <c r="A626" s="2" t="s">
        <v>1613</v>
      </c>
      <c r="B626" s="2" t="s">
        <v>20</v>
      </c>
      <c r="C626" s="2" t="s">
        <v>9</v>
      </c>
      <c r="D626" s="36">
        <v>2019.0</v>
      </c>
      <c r="E626" s="36">
        <v>12000.0</v>
      </c>
      <c r="F626" s="36">
        <v>6942.86</v>
      </c>
      <c r="G626" s="36">
        <v>2.4228E7</v>
      </c>
      <c r="H626" s="36">
        <v>1.4017634E7</v>
      </c>
      <c r="I626" s="36">
        <v>1.0210366E7</v>
      </c>
    </row>
    <row r="627">
      <c r="A627" s="2" t="s">
        <v>1614</v>
      </c>
      <c r="B627" s="2" t="s">
        <v>19</v>
      </c>
      <c r="C627" s="2" t="s">
        <v>8</v>
      </c>
      <c r="D627" s="36">
        <v>202.0</v>
      </c>
      <c r="E627" s="36">
        <v>4250.0</v>
      </c>
      <c r="F627" s="36">
        <v>2670.0</v>
      </c>
      <c r="G627" s="36">
        <v>858500.0</v>
      </c>
      <c r="H627" s="36">
        <v>539340.0</v>
      </c>
      <c r="I627" s="36">
        <v>319160.0</v>
      </c>
    </row>
    <row r="628">
      <c r="A628" s="2" t="s">
        <v>1615</v>
      </c>
      <c r="B628" s="2" t="s">
        <v>18</v>
      </c>
      <c r="C628" s="2" t="s">
        <v>6</v>
      </c>
      <c r="D628" s="36">
        <v>160.0</v>
      </c>
      <c r="E628" s="36">
        <v>1800.0</v>
      </c>
      <c r="F628" s="36">
        <v>929.0</v>
      </c>
      <c r="G628" s="36">
        <v>288000.0</v>
      </c>
      <c r="H628" s="36">
        <v>148640.0</v>
      </c>
      <c r="I628" s="36">
        <v>139360.0</v>
      </c>
    </row>
    <row r="629">
      <c r="A629" s="2" t="s">
        <v>1616</v>
      </c>
      <c r="B629" s="2" t="s">
        <v>20</v>
      </c>
      <c r="C629" s="2" t="s">
        <v>9</v>
      </c>
      <c r="D629" s="36">
        <v>229.0</v>
      </c>
      <c r="E629" s="36">
        <v>12000.0</v>
      </c>
      <c r="F629" s="36">
        <v>6942.86</v>
      </c>
      <c r="G629" s="36">
        <v>2748000.0</v>
      </c>
      <c r="H629" s="36">
        <v>1589915.0</v>
      </c>
      <c r="I629" s="36">
        <v>1158085.0</v>
      </c>
    </row>
    <row r="630">
      <c r="A630" s="2" t="s">
        <v>1617</v>
      </c>
      <c r="B630" s="2" t="s">
        <v>19</v>
      </c>
      <c r="C630" s="2" t="s">
        <v>8</v>
      </c>
      <c r="D630" s="36">
        <v>563.0</v>
      </c>
      <c r="E630" s="36">
        <v>4250.0</v>
      </c>
      <c r="F630" s="36">
        <v>2670.0</v>
      </c>
      <c r="G630" s="36">
        <v>2392750.0</v>
      </c>
      <c r="H630" s="36">
        <v>1503210.0</v>
      </c>
      <c r="I630" s="36">
        <v>889540.0</v>
      </c>
    </row>
    <row r="631">
      <c r="A631" s="2" t="s">
        <v>1618</v>
      </c>
      <c r="B631" s="2" t="s">
        <v>18</v>
      </c>
      <c r="C631" s="2" t="s">
        <v>6</v>
      </c>
      <c r="D631" s="36">
        <v>904.0</v>
      </c>
      <c r="E631" s="36">
        <v>1800.0</v>
      </c>
      <c r="F631" s="36">
        <v>929.0</v>
      </c>
      <c r="G631" s="36">
        <v>1627200.0</v>
      </c>
      <c r="H631" s="36">
        <v>839816.0</v>
      </c>
      <c r="I631" s="36">
        <v>787384.0</v>
      </c>
    </row>
    <row r="632">
      <c r="A632" s="2" t="s">
        <v>1619</v>
      </c>
      <c r="B632" s="2" t="s">
        <v>20</v>
      </c>
      <c r="C632" s="2" t="s">
        <v>9</v>
      </c>
      <c r="D632" s="36">
        <v>535.0</v>
      </c>
      <c r="E632" s="36">
        <v>12000.0</v>
      </c>
      <c r="F632" s="36">
        <v>6942.86</v>
      </c>
      <c r="G632" s="36">
        <v>6420000.0</v>
      </c>
      <c r="H632" s="36">
        <v>3714430.0</v>
      </c>
      <c r="I632" s="36">
        <v>2705570.0</v>
      </c>
    </row>
    <row r="633">
      <c r="A633" s="2" t="s">
        <v>1620</v>
      </c>
      <c r="B633" s="2" t="s">
        <v>19</v>
      </c>
      <c r="C633" s="2" t="s">
        <v>8</v>
      </c>
      <c r="D633" s="36">
        <v>417.0</v>
      </c>
      <c r="E633" s="36">
        <v>4250.0</v>
      </c>
      <c r="F633" s="36">
        <v>2670.0</v>
      </c>
      <c r="G633" s="36">
        <v>1772250.0</v>
      </c>
      <c r="H633" s="36">
        <v>1113390.0</v>
      </c>
      <c r="I633" s="36">
        <v>658860.0</v>
      </c>
    </row>
    <row r="634">
      <c r="A634" s="2" t="s">
        <v>1621</v>
      </c>
      <c r="B634" s="2" t="s">
        <v>18</v>
      </c>
      <c r="C634" s="2" t="s">
        <v>6</v>
      </c>
      <c r="D634" s="36">
        <v>95.0</v>
      </c>
      <c r="E634" s="36">
        <v>1800.0</v>
      </c>
      <c r="F634" s="36">
        <v>929.0</v>
      </c>
      <c r="G634" s="36">
        <v>171000.0</v>
      </c>
      <c r="H634" s="36">
        <v>88255.0</v>
      </c>
      <c r="I634" s="36">
        <v>82745.0</v>
      </c>
    </row>
    <row r="635">
      <c r="A635" s="2" t="s">
        <v>1622</v>
      </c>
      <c r="B635" s="2" t="s">
        <v>20</v>
      </c>
      <c r="C635" s="2" t="s">
        <v>9</v>
      </c>
      <c r="D635" s="36">
        <v>294.0</v>
      </c>
      <c r="E635" s="36">
        <v>12000.0</v>
      </c>
      <c r="F635" s="36">
        <v>6942.86</v>
      </c>
      <c r="G635" s="36">
        <v>3528000.0</v>
      </c>
      <c r="H635" s="36">
        <v>2041201.0</v>
      </c>
      <c r="I635" s="36">
        <v>1486799.0</v>
      </c>
    </row>
    <row r="636">
      <c r="A636" s="2" t="s">
        <v>1623</v>
      </c>
      <c r="B636" s="2" t="s">
        <v>19</v>
      </c>
      <c r="C636" s="2" t="s">
        <v>8</v>
      </c>
      <c r="D636" s="36">
        <v>211.0</v>
      </c>
      <c r="E636" s="36">
        <v>4250.0</v>
      </c>
      <c r="F636" s="36">
        <v>2670.0</v>
      </c>
      <c r="G636" s="36">
        <v>896750.0</v>
      </c>
      <c r="H636" s="36">
        <v>563370.0</v>
      </c>
      <c r="I636" s="36">
        <v>333380.0</v>
      </c>
    </row>
    <row r="637">
      <c r="A637" s="2" t="s">
        <v>1624</v>
      </c>
      <c r="B637" s="2" t="s">
        <v>18</v>
      </c>
      <c r="C637" s="2" t="s">
        <v>6</v>
      </c>
      <c r="D637" s="36">
        <v>49.0</v>
      </c>
      <c r="E637" s="36">
        <v>1800.0</v>
      </c>
      <c r="F637" s="36">
        <v>929.0</v>
      </c>
      <c r="G637" s="36">
        <v>88200.0</v>
      </c>
      <c r="H637" s="36">
        <v>45521.0</v>
      </c>
      <c r="I637" s="36">
        <v>42679.0</v>
      </c>
    </row>
    <row r="638">
      <c r="A638" s="2" t="s">
        <v>1625</v>
      </c>
      <c r="B638" s="2" t="s">
        <v>20</v>
      </c>
      <c r="C638" s="2" t="s">
        <v>9</v>
      </c>
      <c r="D638" s="36">
        <v>1784.0</v>
      </c>
      <c r="E638" s="36">
        <v>12000.0</v>
      </c>
      <c r="F638" s="36">
        <v>6942.86</v>
      </c>
      <c r="G638" s="36">
        <v>2.1408E7</v>
      </c>
      <c r="H638" s="36">
        <v>1.2386062E7</v>
      </c>
      <c r="I638" s="36">
        <v>9021938.0</v>
      </c>
    </row>
    <row r="639">
      <c r="A639" s="2" t="s">
        <v>1626</v>
      </c>
      <c r="B639" s="2" t="s">
        <v>19</v>
      </c>
      <c r="C639" s="2" t="s">
        <v>8</v>
      </c>
      <c r="D639" s="36">
        <v>303.0</v>
      </c>
      <c r="E639" s="36">
        <v>4250.0</v>
      </c>
      <c r="F639" s="36">
        <v>2670.0</v>
      </c>
      <c r="G639" s="36">
        <v>1287750.0</v>
      </c>
      <c r="H639" s="36">
        <v>809010.0</v>
      </c>
      <c r="I639" s="36">
        <v>478740.0</v>
      </c>
    </row>
    <row r="640">
      <c r="A640" s="2" t="s">
        <v>1627</v>
      </c>
      <c r="B640" s="2" t="s">
        <v>18</v>
      </c>
      <c r="C640" s="2" t="s">
        <v>6</v>
      </c>
      <c r="D640" s="36">
        <v>297.0</v>
      </c>
      <c r="E640" s="36">
        <v>1800.0</v>
      </c>
      <c r="F640" s="36">
        <v>929.0</v>
      </c>
      <c r="G640" s="36">
        <v>534600.0</v>
      </c>
      <c r="H640" s="36">
        <v>275913.0</v>
      </c>
      <c r="I640" s="36">
        <v>258687.0</v>
      </c>
    </row>
    <row r="641">
      <c r="A641" s="2" t="s">
        <v>1628</v>
      </c>
      <c r="B641" s="2" t="s">
        <v>20</v>
      </c>
      <c r="C641" s="2" t="s">
        <v>9</v>
      </c>
      <c r="D641" s="36">
        <v>54.0</v>
      </c>
      <c r="E641" s="36">
        <v>12000.0</v>
      </c>
      <c r="F641" s="36">
        <v>6942.86</v>
      </c>
      <c r="G641" s="36">
        <v>648000.0</v>
      </c>
      <c r="H641" s="36">
        <v>374914.0</v>
      </c>
      <c r="I641" s="36">
        <v>273086.0</v>
      </c>
    </row>
    <row r="642">
      <c r="A642" s="2" t="s">
        <v>1629</v>
      </c>
      <c r="B642" s="2" t="s">
        <v>19</v>
      </c>
      <c r="C642" s="2" t="s">
        <v>8</v>
      </c>
      <c r="D642" s="36">
        <v>131.0</v>
      </c>
      <c r="E642" s="36">
        <v>4250.0</v>
      </c>
      <c r="F642" s="36">
        <v>2670.0</v>
      </c>
      <c r="G642" s="36">
        <v>556750.0</v>
      </c>
      <c r="H642" s="36">
        <v>349770.0</v>
      </c>
      <c r="I642" s="36">
        <v>206980.0</v>
      </c>
    </row>
    <row r="643">
      <c r="A643" s="2" t="s">
        <v>1630</v>
      </c>
      <c r="B643" s="2" t="s">
        <v>18</v>
      </c>
      <c r="C643" s="2" t="s">
        <v>6</v>
      </c>
      <c r="D643" s="36">
        <v>491.0</v>
      </c>
      <c r="E643" s="36">
        <v>1800.0</v>
      </c>
      <c r="F643" s="36">
        <v>929.0</v>
      </c>
      <c r="G643" s="36">
        <v>883800.0</v>
      </c>
      <c r="H643" s="36">
        <v>456139.0</v>
      </c>
      <c r="I643" s="36">
        <v>427661.0</v>
      </c>
    </row>
    <row r="644">
      <c r="A644" s="2" t="s">
        <v>1631</v>
      </c>
      <c r="B644" s="2" t="s">
        <v>20</v>
      </c>
      <c r="C644" s="2" t="s">
        <v>9</v>
      </c>
      <c r="D644" s="36">
        <v>130.0</v>
      </c>
      <c r="E644" s="36">
        <v>12000.0</v>
      </c>
      <c r="F644" s="36">
        <v>6942.86</v>
      </c>
      <c r="G644" s="36">
        <v>1560000.0</v>
      </c>
      <c r="H644" s="36">
        <v>902572.0</v>
      </c>
      <c r="I644" s="36">
        <v>657428.0</v>
      </c>
    </row>
    <row r="645">
      <c r="A645" s="2" t="s">
        <v>1632</v>
      </c>
      <c r="B645" s="2" t="s">
        <v>19</v>
      </c>
      <c r="C645" s="2" t="s">
        <v>8</v>
      </c>
      <c r="D645" s="36">
        <v>210.0</v>
      </c>
      <c r="E645" s="36">
        <v>4250.0</v>
      </c>
      <c r="F645" s="36">
        <v>2670.0</v>
      </c>
      <c r="G645" s="36">
        <v>892500.0</v>
      </c>
      <c r="H645" s="36">
        <v>560700.0</v>
      </c>
      <c r="I645" s="36">
        <v>331800.0</v>
      </c>
    </row>
    <row r="646">
      <c r="A646" s="2" t="s">
        <v>1633</v>
      </c>
      <c r="B646" s="2" t="s">
        <v>18</v>
      </c>
      <c r="C646" s="2" t="s">
        <v>6</v>
      </c>
      <c r="D646" s="36">
        <v>456.0</v>
      </c>
      <c r="E646" s="36">
        <v>1800.0</v>
      </c>
      <c r="F646" s="36">
        <v>929.0</v>
      </c>
      <c r="G646" s="36">
        <v>820800.0</v>
      </c>
      <c r="H646" s="36">
        <v>423624.0</v>
      </c>
      <c r="I646" s="36">
        <v>397176.0</v>
      </c>
    </row>
    <row r="647">
      <c r="A647" s="2" t="s">
        <v>1634</v>
      </c>
      <c r="B647" s="2" t="s">
        <v>18</v>
      </c>
      <c r="C647" s="2" t="s">
        <v>6</v>
      </c>
      <c r="D647" s="36">
        <v>2486.0</v>
      </c>
      <c r="E647" s="36">
        <v>1800.0</v>
      </c>
      <c r="F647" s="36">
        <v>929.0</v>
      </c>
      <c r="G647" s="36">
        <v>4474800.0</v>
      </c>
      <c r="H647" s="36">
        <v>2309494.0</v>
      </c>
      <c r="I647" s="36">
        <v>2165306.0</v>
      </c>
    </row>
    <row r="648">
      <c r="A648" s="2" t="s">
        <v>1634</v>
      </c>
      <c r="B648" s="2" t="s">
        <v>19</v>
      </c>
      <c r="C648" s="2" t="s">
        <v>8</v>
      </c>
      <c r="D648" s="36">
        <v>232.0</v>
      </c>
      <c r="E648" s="36">
        <v>4250.0</v>
      </c>
      <c r="F648" s="36">
        <v>2670.0</v>
      </c>
      <c r="G648" s="36">
        <v>986000.0</v>
      </c>
      <c r="H648" s="36">
        <v>619440.0</v>
      </c>
      <c r="I648" s="36">
        <v>366560.0</v>
      </c>
    </row>
    <row r="649">
      <c r="A649" s="2" t="s">
        <v>1634</v>
      </c>
      <c r="B649" s="2" t="s">
        <v>20</v>
      </c>
      <c r="C649" s="2" t="s">
        <v>9</v>
      </c>
      <c r="D649" s="36">
        <v>2127.0</v>
      </c>
      <c r="E649" s="36">
        <v>12000.0</v>
      </c>
      <c r="F649" s="36">
        <v>6942.86</v>
      </c>
      <c r="G649" s="36">
        <v>2.5524E7</v>
      </c>
      <c r="H649" s="36">
        <v>1.4767463E7</v>
      </c>
      <c r="I649" s="36">
        <v>1.0756537E7</v>
      </c>
    </row>
    <row r="650">
      <c r="A650" s="2" t="s">
        <v>1635</v>
      </c>
      <c r="B650" s="2" t="s">
        <v>20</v>
      </c>
      <c r="C650" s="2" t="s">
        <v>9</v>
      </c>
      <c r="D650" s="36">
        <v>113.0</v>
      </c>
      <c r="E650" s="36">
        <v>12000.0</v>
      </c>
      <c r="F650" s="36">
        <v>6942.86</v>
      </c>
      <c r="G650" s="36">
        <v>1356000.0</v>
      </c>
      <c r="H650" s="36">
        <v>784543.0</v>
      </c>
      <c r="I650" s="36">
        <v>571457.0</v>
      </c>
    </row>
    <row r="651">
      <c r="A651" s="2" t="s">
        <v>1636</v>
      </c>
      <c r="B651" s="2" t="s">
        <v>19</v>
      </c>
      <c r="C651" s="2" t="s">
        <v>8</v>
      </c>
      <c r="D651" s="36">
        <v>314.0</v>
      </c>
      <c r="E651" s="36">
        <v>4250.0</v>
      </c>
      <c r="F651" s="36">
        <v>2670.0</v>
      </c>
      <c r="G651" s="36">
        <v>1334500.0</v>
      </c>
      <c r="H651" s="36">
        <v>838380.0</v>
      </c>
      <c r="I651" s="36">
        <v>496120.0</v>
      </c>
    </row>
    <row r="652">
      <c r="A652" s="2" t="s">
        <v>1637</v>
      </c>
      <c r="B652" s="2" t="s">
        <v>18</v>
      </c>
      <c r="C652" s="2" t="s">
        <v>6</v>
      </c>
      <c r="D652" s="36">
        <v>610.0</v>
      </c>
      <c r="E652" s="36">
        <v>1800.0</v>
      </c>
      <c r="F652" s="36">
        <v>929.0</v>
      </c>
      <c r="G652" s="36">
        <v>1098000.0</v>
      </c>
      <c r="H652" s="36">
        <v>566690.0</v>
      </c>
      <c r="I652" s="36">
        <v>531310.0</v>
      </c>
    </row>
    <row r="653">
      <c r="A653" s="2" t="s">
        <v>1638</v>
      </c>
      <c r="B653" s="2" t="s">
        <v>20</v>
      </c>
      <c r="C653" s="2" t="s">
        <v>9</v>
      </c>
      <c r="D653" s="36">
        <v>974.0</v>
      </c>
      <c r="E653" s="36">
        <v>12000.0</v>
      </c>
      <c r="F653" s="36">
        <v>6942.86</v>
      </c>
      <c r="G653" s="36">
        <v>1.1688E7</v>
      </c>
      <c r="H653" s="36">
        <v>6762346.0</v>
      </c>
      <c r="I653" s="36">
        <v>4925654.0</v>
      </c>
    </row>
    <row r="654">
      <c r="A654" s="2" t="s">
        <v>1639</v>
      </c>
      <c r="B654" s="2" t="s">
        <v>19</v>
      </c>
      <c r="C654" s="2" t="s">
        <v>8</v>
      </c>
      <c r="D654" s="36">
        <v>14.0</v>
      </c>
      <c r="E654" s="36">
        <v>4250.0</v>
      </c>
      <c r="F654" s="36">
        <v>2670.0</v>
      </c>
      <c r="G654" s="36">
        <v>59500.0</v>
      </c>
      <c r="H654" s="36">
        <v>37380.0</v>
      </c>
      <c r="I654" s="36">
        <v>22120.0</v>
      </c>
    </row>
    <row r="655">
      <c r="A655" s="2" t="s">
        <v>1640</v>
      </c>
      <c r="B655" s="2" t="s">
        <v>18</v>
      </c>
      <c r="C655" s="2" t="s">
        <v>6</v>
      </c>
      <c r="D655" s="36">
        <v>942.0</v>
      </c>
      <c r="E655" s="36">
        <v>1800.0</v>
      </c>
      <c r="F655" s="36">
        <v>929.0</v>
      </c>
      <c r="G655" s="36">
        <v>1695600.0</v>
      </c>
      <c r="H655" s="36">
        <v>875118.0</v>
      </c>
      <c r="I655" s="36">
        <v>820482.0</v>
      </c>
    </row>
    <row r="656">
      <c r="A656" s="2" t="s">
        <v>1641</v>
      </c>
      <c r="B656" s="2" t="s">
        <v>20</v>
      </c>
      <c r="C656" s="2" t="s">
        <v>9</v>
      </c>
      <c r="D656" s="36">
        <v>13.0</v>
      </c>
      <c r="E656" s="36">
        <v>12000.0</v>
      </c>
      <c r="F656" s="36">
        <v>6942.86</v>
      </c>
      <c r="G656" s="36">
        <v>156000.0</v>
      </c>
      <c r="H656" s="36">
        <v>90257.0</v>
      </c>
      <c r="I656" s="36">
        <v>65743.0</v>
      </c>
    </row>
    <row r="657">
      <c r="A657" s="2" t="s">
        <v>1642</v>
      </c>
      <c r="B657" s="2" t="s">
        <v>19</v>
      </c>
      <c r="C657" s="2" t="s">
        <v>8</v>
      </c>
      <c r="D657" s="36">
        <v>360.0</v>
      </c>
      <c r="E657" s="36">
        <v>4250.0</v>
      </c>
      <c r="F657" s="36">
        <v>2670.0</v>
      </c>
      <c r="G657" s="36">
        <v>1530000.0</v>
      </c>
      <c r="H657" s="36">
        <v>961200.0</v>
      </c>
      <c r="I657" s="36">
        <v>568800.0</v>
      </c>
    </row>
    <row r="658">
      <c r="A658" s="2" t="s">
        <v>1643</v>
      </c>
      <c r="B658" s="2" t="s">
        <v>18</v>
      </c>
      <c r="C658" s="2" t="s">
        <v>6</v>
      </c>
      <c r="D658" s="36">
        <v>122.0</v>
      </c>
      <c r="E658" s="36">
        <v>1800.0</v>
      </c>
      <c r="F658" s="36">
        <v>929.0</v>
      </c>
      <c r="G658" s="36">
        <v>219600.0</v>
      </c>
      <c r="H658" s="36">
        <v>113338.0</v>
      </c>
      <c r="I658" s="36">
        <v>106262.0</v>
      </c>
    </row>
    <row r="659">
      <c r="A659" s="2" t="s">
        <v>1644</v>
      </c>
      <c r="B659" s="2" t="s">
        <v>20</v>
      </c>
      <c r="C659" s="2" t="s">
        <v>9</v>
      </c>
      <c r="D659" s="36">
        <v>101.0</v>
      </c>
      <c r="E659" s="36">
        <v>12000.0</v>
      </c>
      <c r="F659" s="36">
        <v>6942.86</v>
      </c>
      <c r="G659" s="36">
        <v>1212000.0</v>
      </c>
      <c r="H659" s="36">
        <v>701229.0</v>
      </c>
      <c r="I659" s="36">
        <v>510771.0</v>
      </c>
    </row>
    <row r="660">
      <c r="A660" s="2" t="s">
        <v>1645</v>
      </c>
      <c r="B660" s="2" t="s">
        <v>19</v>
      </c>
      <c r="C660" s="2" t="s">
        <v>8</v>
      </c>
      <c r="D660" s="36">
        <v>437.0</v>
      </c>
      <c r="E660" s="36">
        <v>4250.0</v>
      </c>
      <c r="F660" s="36">
        <v>2670.0</v>
      </c>
      <c r="G660" s="36">
        <v>1857250.0</v>
      </c>
      <c r="H660" s="36">
        <v>1166790.0</v>
      </c>
      <c r="I660" s="36">
        <v>690460.0</v>
      </c>
    </row>
    <row r="661">
      <c r="A661" s="2" t="s">
        <v>1646</v>
      </c>
      <c r="B661" s="2" t="s">
        <v>18</v>
      </c>
      <c r="C661" s="2" t="s">
        <v>6</v>
      </c>
      <c r="D661" s="36">
        <v>849.0</v>
      </c>
      <c r="E661" s="36">
        <v>1800.0</v>
      </c>
      <c r="F661" s="36">
        <v>929.0</v>
      </c>
      <c r="G661" s="36">
        <v>1528200.0</v>
      </c>
      <c r="H661" s="36">
        <v>788721.0</v>
      </c>
      <c r="I661" s="36">
        <v>739479.0</v>
      </c>
    </row>
    <row r="662">
      <c r="A662" s="2" t="s">
        <v>1647</v>
      </c>
      <c r="B662" s="2" t="s">
        <v>20</v>
      </c>
      <c r="C662" s="2" t="s">
        <v>9</v>
      </c>
      <c r="D662" s="36">
        <v>63.0</v>
      </c>
      <c r="E662" s="36">
        <v>12000.0</v>
      </c>
      <c r="F662" s="36">
        <v>6942.86</v>
      </c>
      <c r="G662" s="36">
        <v>756000.0</v>
      </c>
      <c r="H662" s="36">
        <v>437400.0</v>
      </c>
      <c r="I662" s="36">
        <v>318600.0</v>
      </c>
    </row>
    <row r="663">
      <c r="A663" s="2" t="s">
        <v>1648</v>
      </c>
      <c r="B663" s="2" t="s">
        <v>19</v>
      </c>
      <c r="C663" s="2" t="s">
        <v>8</v>
      </c>
      <c r="D663" s="36">
        <v>9.0</v>
      </c>
      <c r="E663" s="36">
        <v>4250.0</v>
      </c>
      <c r="F663" s="36">
        <v>2670.0</v>
      </c>
      <c r="G663" s="36">
        <v>38250.0</v>
      </c>
      <c r="H663" s="36">
        <v>24030.0</v>
      </c>
      <c r="I663" s="36">
        <v>14220.0</v>
      </c>
    </row>
    <row r="664">
      <c r="A664" s="2" t="s">
        <v>1649</v>
      </c>
      <c r="B664" s="2" t="s">
        <v>18</v>
      </c>
      <c r="C664" s="2" t="s">
        <v>6</v>
      </c>
      <c r="D664" s="36">
        <v>55.0</v>
      </c>
      <c r="E664" s="36">
        <v>1800.0</v>
      </c>
      <c r="F664" s="36">
        <v>929.0</v>
      </c>
      <c r="G664" s="36">
        <v>99000.0</v>
      </c>
      <c r="H664" s="36">
        <v>51095.0</v>
      </c>
      <c r="I664" s="36">
        <v>47905.0</v>
      </c>
    </row>
    <row r="665">
      <c r="A665" s="2" t="s">
        <v>1650</v>
      </c>
      <c r="B665" s="2" t="s">
        <v>20</v>
      </c>
      <c r="C665" s="2" t="s">
        <v>9</v>
      </c>
      <c r="D665" s="36">
        <v>1979.0</v>
      </c>
      <c r="E665" s="36">
        <v>12000.0</v>
      </c>
      <c r="F665" s="36">
        <v>6942.86</v>
      </c>
      <c r="G665" s="36">
        <v>2.3748E7</v>
      </c>
      <c r="H665" s="36">
        <v>1.373992E7</v>
      </c>
      <c r="I665" s="36">
        <v>1.000808E7</v>
      </c>
    </row>
    <row r="666">
      <c r="A666" s="2" t="s">
        <v>1651</v>
      </c>
      <c r="B666" s="2" t="s">
        <v>19</v>
      </c>
      <c r="C666" s="2" t="s">
        <v>8</v>
      </c>
      <c r="D666" s="36">
        <v>190.0</v>
      </c>
      <c r="E666" s="36">
        <v>4250.0</v>
      </c>
      <c r="F666" s="36">
        <v>2670.0</v>
      </c>
      <c r="G666" s="36">
        <v>807500.0</v>
      </c>
      <c r="H666" s="36">
        <v>507300.0</v>
      </c>
      <c r="I666" s="36">
        <v>300200.0</v>
      </c>
    </row>
    <row r="667">
      <c r="A667" s="2" t="s">
        <v>1651</v>
      </c>
      <c r="B667" s="2" t="s">
        <v>18</v>
      </c>
      <c r="C667" s="2" t="s">
        <v>6</v>
      </c>
      <c r="D667" s="36">
        <v>102.0</v>
      </c>
      <c r="E667" s="36">
        <v>1800.0</v>
      </c>
      <c r="F667" s="36">
        <v>929.0</v>
      </c>
      <c r="G667" s="36">
        <v>183600.0</v>
      </c>
      <c r="H667" s="36">
        <v>94758.0</v>
      </c>
      <c r="I667" s="36">
        <v>88842.0</v>
      </c>
    </row>
    <row r="668">
      <c r="A668" s="2" t="s">
        <v>1652</v>
      </c>
      <c r="B668" s="2" t="s">
        <v>20</v>
      </c>
      <c r="C668" s="2" t="s">
        <v>9</v>
      </c>
      <c r="D668" s="36">
        <v>478.0</v>
      </c>
      <c r="E668" s="36">
        <v>12000.0</v>
      </c>
      <c r="F668" s="36">
        <v>6942.86</v>
      </c>
      <c r="G668" s="36">
        <v>5736000.0</v>
      </c>
      <c r="H668" s="36">
        <v>3318687.0</v>
      </c>
      <c r="I668" s="36">
        <v>2417313.0</v>
      </c>
    </row>
    <row r="669">
      <c r="A669" s="2" t="s">
        <v>1653</v>
      </c>
      <c r="B669" s="2" t="s">
        <v>19</v>
      </c>
      <c r="C669" s="2" t="s">
        <v>8</v>
      </c>
      <c r="D669" s="36">
        <v>107.0</v>
      </c>
      <c r="E669" s="36">
        <v>4250.0</v>
      </c>
      <c r="F669" s="36">
        <v>2670.0</v>
      </c>
      <c r="G669" s="36">
        <v>454750.0</v>
      </c>
      <c r="H669" s="36">
        <v>285690.0</v>
      </c>
      <c r="I669" s="36">
        <v>169060.0</v>
      </c>
    </row>
    <row r="670">
      <c r="A670" s="2" t="s">
        <v>1654</v>
      </c>
      <c r="B670" s="2" t="s">
        <v>18</v>
      </c>
      <c r="C670" s="2" t="s">
        <v>6</v>
      </c>
      <c r="D670" s="36">
        <v>516.0</v>
      </c>
      <c r="E670" s="36">
        <v>1800.0</v>
      </c>
      <c r="F670" s="36">
        <v>929.0</v>
      </c>
      <c r="G670" s="36">
        <v>928800.0</v>
      </c>
      <c r="H670" s="36">
        <v>479364.0</v>
      </c>
      <c r="I670" s="36">
        <v>449436.0</v>
      </c>
    </row>
    <row r="671">
      <c r="A671" s="2" t="s">
        <v>1655</v>
      </c>
      <c r="B671" s="2" t="s">
        <v>20</v>
      </c>
      <c r="C671" s="2" t="s">
        <v>9</v>
      </c>
      <c r="D671" s="36">
        <v>185.0</v>
      </c>
      <c r="E671" s="36">
        <v>12000.0</v>
      </c>
      <c r="F671" s="36">
        <v>6942.86</v>
      </c>
      <c r="G671" s="36">
        <v>2220000.0</v>
      </c>
      <c r="H671" s="36">
        <v>1284429.0</v>
      </c>
      <c r="I671" s="36">
        <v>935571.0</v>
      </c>
    </row>
    <row r="672">
      <c r="A672" s="2" t="s">
        <v>1656</v>
      </c>
      <c r="B672" s="2" t="s">
        <v>19</v>
      </c>
      <c r="C672" s="2" t="s">
        <v>8</v>
      </c>
      <c r="D672" s="36">
        <v>208.0</v>
      </c>
      <c r="E672" s="36">
        <v>4250.0</v>
      </c>
      <c r="F672" s="36">
        <v>2670.0</v>
      </c>
      <c r="G672" s="36">
        <v>884000.0</v>
      </c>
      <c r="H672" s="36">
        <v>555360.0</v>
      </c>
      <c r="I672" s="36">
        <v>328640.0</v>
      </c>
    </row>
    <row r="673">
      <c r="A673" s="2" t="s">
        <v>1656</v>
      </c>
      <c r="B673" s="2" t="s">
        <v>18</v>
      </c>
      <c r="C673" s="2" t="s">
        <v>6</v>
      </c>
      <c r="D673" s="36">
        <v>986.0</v>
      </c>
      <c r="E673" s="36">
        <v>1800.0</v>
      </c>
      <c r="F673" s="36">
        <v>929.0</v>
      </c>
      <c r="G673" s="36">
        <v>1774800.0</v>
      </c>
      <c r="H673" s="36">
        <v>915994.0</v>
      </c>
      <c r="I673" s="36">
        <v>858806.0</v>
      </c>
    </row>
    <row r="674">
      <c r="A674" s="2" t="s">
        <v>1657</v>
      </c>
      <c r="B674" s="2" t="s">
        <v>18</v>
      </c>
      <c r="C674" s="2" t="s">
        <v>6</v>
      </c>
      <c r="D674" s="36">
        <v>84.0</v>
      </c>
      <c r="E674" s="36">
        <v>1800.0</v>
      </c>
      <c r="F674" s="36">
        <v>929.0</v>
      </c>
      <c r="G674" s="36">
        <v>151200.0</v>
      </c>
      <c r="H674" s="36">
        <v>78036.0</v>
      </c>
      <c r="I674" s="36">
        <v>73164.0</v>
      </c>
    </row>
    <row r="675">
      <c r="A675" s="2" t="s">
        <v>1657</v>
      </c>
      <c r="B675" s="2" t="s">
        <v>19</v>
      </c>
      <c r="C675" s="2" t="s">
        <v>8</v>
      </c>
      <c r="D675" s="36">
        <v>114.0</v>
      </c>
      <c r="E675" s="36">
        <v>4250.0</v>
      </c>
      <c r="F675" s="36">
        <v>2670.0</v>
      </c>
      <c r="G675" s="36">
        <v>484500.0</v>
      </c>
      <c r="H675" s="36">
        <v>304380.0</v>
      </c>
      <c r="I675" s="36">
        <v>180120.0</v>
      </c>
    </row>
    <row r="676">
      <c r="A676" s="2" t="s">
        <v>1657</v>
      </c>
      <c r="B676" s="2" t="s">
        <v>20</v>
      </c>
      <c r="C676" s="2" t="s">
        <v>9</v>
      </c>
      <c r="D676" s="36">
        <v>129.0</v>
      </c>
      <c r="E676" s="36">
        <v>12000.0</v>
      </c>
      <c r="F676" s="36">
        <v>6942.86</v>
      </c>
      <c r="G676" s="36">
        <v>1548000.0</v>
      </c>
      <c r="H676" s="36">
        <v>895629.0</v>
      </c>
      <c r="I676" s="36">
        <v>652371.0</v>
      </c>
    </row>
    <row r="677">
      <c r="A677" s="2" t="s">
        <v>1658</v>
      </c>
      <c r="B677" s="2" t="s">
        <v>20</v>
      </c>
      <c r="C677" s="2" t="s">
        <v>9</v>
      </c>
      <c r="D677" s="36">
        <v>129.0</v>
      </c>
      <c r="E677" s="36">
        <v>12000.0</v>
      </c>
      <c r="F677" s="36">
        <v>6942.86</v>
      </c>
      <c r="G677" s="36">
        <v>1548000.0</v>
      </c>
      <c r="H677" s="36">
        <v>895629.0</v>
      </c>
      <c r="I677" s="36">
        <v>652371.0</v>
      </c>
    </row>
    <row r="678">
      <c r="A678" s="2" t="s">
        <v>1658</v>
      </c>
      <c r="B678" s="2" t="s">
        <v>19</v>
      </c>
      <c r="C678" s="2" t="s">
        <v>8</v>
      </c>
      <c r="D678" s="36">
        <v>114.0</v>
      </c>
      <c r="E678" s="36">
        <v>4250.0</v>
      </c>
      <c r="F678" s="36">
        <v>2670.0</v>
      </c>
      <c r="G678" s="36">
        <v>484500.0</v>
      </c>
      <c r="H678" s="36">
        <v>304380.0</v>
      </c>
      <c r="I678" s="36">
        <v>180120.0</v>
      </c>
    </row>
    <row r="679">
      <c r="A679" s="2" t="s">
        <v>1659</v>
      </c>
      <c r="B679" s="2" t="s">
        <v>18</v>
      </c>
      <c r="C679" s="2" t="s">
        <v>6</v>
      </c>
      <c r="D679" s="36">
        <v>84.0</v>
      </c>
      <c r="E679" s="36">
        <v>1800.0</v>
      </c>
      <c r="F679" s="36">
        <v>929.0</v>
      </c>
      <c r="G679" s="36">
        <v>151200.0</v>
      </c>
      <c r="H679" s="36">
        <v>78036.0</v>
      </c>
      <c r="I679" s="36">
        <v>73164.0</v>
      </c>
    </row>
    <row r="680">
      <c r="A680" s="2" t="s">
        <v>1660</v>
      </c>
      <c r="B680" s="2" t="s">
        <v>20</v>
      </c>
      <c r="C680" s="2" t="s">
        <v>9</v>
      </c>
      <c r="D680" s="36">
        <v>422.0</v>
      </c>
      <c r="E680" s="36">
        <v>12000.0</v>
      </c>
      <c r="F680" s="36">
        <v>6942.86</v>
      </c>
      <c r="G680" s="36">
        <v>5064000.0</v>
      </c>
      <c r="H680" s="36">
        <v>2929887.0</v>
      </c>
      <c r="I680" s="36">
        <v>2134113.0</v>
      </c>
    </row>
    <row r="681">
      <c r="A681" s="2" t="s">
        <v>1661</v>
      </c>
      <c r="B681" s="2" t="s">
        <v>19</v>
      </c>
      <c r="C681" s="2" t="s">
        <v>8</v>
      </c>
      <c r="D681" s="36">
        <v>2459.0</v>
      </c>
      <c r="E681" s="36">
        <v>4250.0</v>
      </c>
      <c r="F681" s="36">
        <v>2670.0</v>
      </c>
      <c r="G681" s="36">
        <v>1.045075E7</v>
      </c>
      <c r="H681" s="36">
        <v>6565530.0</v>
      </c>
      <c r="I681" s="36">
        <v>3885220.0</v>
      </c>
    </row>
    <row r="682">
      <c r="A682" s="2" t="s">
        <v>1661</v>
      </c>
      <c r="B682" s="2" t="s">
        <v>18</v>
      </c>
      <c r="C682" s="2" t="s">
        <v>6</v>
      </c>
      <c r="D682" s="36">
        <v>319.0</v>
      </c>
      <c r="E682" s="36">
        <v>1800.0</v>
      </c>
      <c r="F682" s="36">
        <v>929.0</v>
      </c>
      <c r="G682" s="36">
        <v>574200.0</v>
      </c>
      <c r="H682" s="36">
        <v>296351.0</v>
      </c>
      <c r="I682" s="36">
        <v>277849.0</v>
      </c>
    </row>
    <row r="683">
      <c r="A683" s="2" t="s">
        <v>1662</v>
      </c>
      <c r="B683" s="2" t="s">
        <v>20</v>
      </c>
      <c r="C683" s="2" t="s">
        <v>9</v>
      </c>
      <c r="D683" s="36">
        <v>219.0</v>
      </c>
      <c r="E683" s="36">
        <v>12000.0</v>
      </c>
      <c r="F683" s="36">
        <v>6942.86</v>
      </c>
      <c r="G683" s="36">
        <v>2628000.0</v>
      </c>
      <c r="H683" s="36">
        <v>1520486.0</v>
      </c>
      <c r="I683" s="36">
        <v>1107514.0</v>
      </c>
    </row>
    <row r="684">
      <c r="A684" s="2" t="s">
        <v>1663</v>
      </c>
      <c r="B684" s="2" t="s">
        <v>19</v>
      </c>
      <c r="C684" s="2" t="s">
        <v>8</v>
      </c>
      <c r="D684" s="36">
        <v>172.0</v>
      </c>
      <c r="E684" s="36">
        <v>4250.0</v>
      </c>
      <c r="F684" s="36">
        <v>2670.0</v>
      </c>
      <c r="G684" s="36">
        <v>731000.0</v>
      </c>
      <c r="H684" s="36">
        <v>459240.0</v>
      </c>
      <c r="I684" s="36">
        <v>271760.0</v>
      </c>
    </row>
    <row r="685">
      <c r="A685" s="2" t="s">
        <v>1664</v>
      </c>
      <c r="B685" s="2" t="s">
        <v>18</v>
      </c>
      <c r="C685" s="2" t="s">
        <v>6</v>
      </c>
      <c r="D685" s="36">
        <v>192.0</v>
      </c>
      <c r="E685" s="36">
        <v>1800.0</v>
      </c>
      <c r="F685" s="36">
        <v>929.0</v>
      </c>
      <c r="G685" s="36">
        <v>345600.0</v>
      </c>
      <c r="H685" s="36">
        <v>178368.0</v>
      </c>
      <c r="I685" s="36">
        <v>167232.0</v>
      </c>
    </row>
    <row r="686">
      <c r="A686" s="2" t="s">
        <v>1665</v>
      </c>
      <c r="B686" s="2" t="s">
        <v>20</v>
      </c>
      <c r="C686" s="2" t="s">
        <v>9</v>
      </c>
      <c r="D686" s="36">
        <v>265.0</v>
      </c>
      <c r="E686" s="36">
        <v>12000.0</v>
      </c>
      <c r="F686" s="36">
        <v>6942.86</v>
      </c>
      <c r="G686" s="36">
        <v>3180000.0</v>
      </c>
      <c r="H686" s="36">
        <v>1839858.0</v>
      </c>
      <c r="I686" s="36">
        <v>1340142.0</v>
      </c>
    </row>
    <row r="687">
      <c r="A687" s="2" t="s">
        <v>1666</v>
      </c>
      <c r="B687" s="2" t="s">
        <v>19</v>
      </c>
      <c r="C687" s="2" t="s">
        <v>8</v>
      </c>
      <c r="D687" s="36">
        <v>440.0</v>
      </c>
      <c r="E687" s="36">
        <v>4250.0</v>
      </c>
      <c r="F687" s="36">
        <v>2670.0</v>
      </c>
      <c r="G687" s="36">
        <v>1870000.0</v>
      </c>
      <c r="H687" s="36">
        <v>1174800.0</v>
      </c>
      <c r="I687" s="36">
        <v>695200.0</v>
      </c>
    </row>
    <row r="688">
      <c r="A688" s="2" t="s">
        <v>1666</v>
      </c>
      <c r="B688" s="2" t="s">
        <v>18</v>
      </c>
      <c r="C688" s="2" t="s">
        <v>6</v>
      </c>
      <c r="D688" s="36">
        <v>580.0</v>
      </c>
      <c r="E688" s="36">
        <v>1800.0</v>
      </c>
      <c r="F688" s="36">
        <v>929.0</v>
      </c>
      <c r="G688" s="36">
        <v>1044000.0</v>
      </c>
      <c r="H688" s="36">
        <v>538820.0</v>
      </c>
      <c r="I688" s="36">
        <v>505180.0</v>
      </c>
    </row>
    <row r="689">
      <c r="A689" s="2" t="s">
        <v>1667</v>
      </c>
      <c r="B689" s="2" t="s">
        <v>20</v>
      </c>
      <c r="C689" s="2" t="s">
        <v>9</v>
      </c>
      <c r="D689" s="36">
        <v>2069.0</v>
      </c>
      <c r="E689" s="36">
        <v>12000.0</v>
      </c>
      <c r="F689" s="36">
        <v>6942.86</v>
      </c>
      <c r="G689" s="36">
        <v>2.4828E7</v>
      </c>
      <c r="H689" s="36">
        <v>1.4364777E7</v>
      </c>
      <c r="I689" s="36">
        <v>1.0463223E7</v>
      </c>
    </row>
    <row r="690">
      <c r="A690" s="2" t="s">
        <v>1668</v>
      </c>
      <c r="B690" s="2" t="s">
        <v>19</v>
      </c>
      <c r="C690" s="2" t="s">
        <v>8</v>
      </c>
      <c r="D690" s="36">
        <v>63.0</v>
      </c>
      <c r="E690" s="36">
        <v>4250.0</v>
      </c>
      <c r="F690" s="36">
        <v>2670.0</v>
      </c>
      <c r="G690" s="36">
        <v>267750.0</v>
      </c>
      <c r="H690" s="36">
        <v>168210.0</v>
      </c>
      <c r="I690" s="36">
        <v>99540.0</v>
      </c>
    </row>
    <row r="691">
      <c r="A691" s="2" t="s">
        <v>1669</v>
      </c>
      <c r="B691" s="2" t="s">
        <v>18</v>
      </c>
      <c r="C691" s="2" t="s">
        <v>6</v>
      </c>
      <c r="D691" s="36">
        <v>121.0</v>
      </c>
      <c r="E691" s="36">
        <v>1800.0</v>
      </c>
      <c r="F691" s="36">
        <v>929.0</v>
      </c>
      <c r="G691" s="36">
        <v>217800.0</v>
      </c>
      <c r="H691" s="36">
        <v>112409.0</v>
      </c>
      <c r="I691" s="36">
        <v>105391.0</v>
      </c>
    </row>
    <row r="692">
      <c r="A692" s="2" t="s">
        <v>1670</v>
      </c>
      <c r="B692" s="2" t="s">
        <v>19</v>
      </c>
      <c r="C692" s="2" t="s">
        <v>8</v>
      </c>
      <c r="D692" s="36">
        <v>156.0</v>
      </c>
      <c r="E692" s="36">
        <v>4250.0</v>
      </c>
      <c r="F692" s="36">
        <v>2670.0</v>
      </c>
      <c r="G692" s="36">
        <v>663000.0</v>
      </c>
      <c r="H692" s="36">
        <v>416520.0</v>
      </c>
      <c r="I692" s="36">
        <v>246480.0</v>
      </c>
    </row>
    <row r="693">
      <c r="A693" s="2" t="s">
        <v>1671</v>
      </c>
      <c r="B693" s="2" t="s">
        <v>18</v>
      </c>
      <c r="C693" s="2" t="s">
        <v>6</v>
      </c>
      <c r="D693" s="36">
        <v>1609.0</v>
      </c>
      <c r="E693" s="36">
        <v>1800.0</v>
      </c>
      <c r="F693" s="36">
        <v>929.0</v>
      </c>
      <c r="G693" s="36">
        <v>2896200.0</v>
      </c>
      <c r="H693" s="36">
        <v>1494761.0</v>
      </c>
      <c r="I693" s="36">
        <v>1401439.0</v>
      </c>
    </row>
    <row r="694">
      <c r="A694" s="2" t="s">
        <v>1672</v>
      </c>
      <c r="B694" s="2" t="s">
        <v>20</v>
      </c>
      <c r="C694" s="2" t="s">
        <v>9</v>
      </c>
      <c r="D694" s="36">
        <v>219.0</v>
      </c>
      <c r="E694" s="36">
        <v>12000.0</v>
      </c>
      <c r="F694" s="36">
        <v>6942.86</v>
      </c>
      <c r="G694" s="36">
        <v>2628000.0</v>
      </c>
      <c r="H694" s="36">
        <v>1520486.0</v>
      </c>
      <c r="I694" s="36">
        <v>1107514.0</v>
      </c>
    </row>
    <row r="695">
      <c r="A695" s="2" t="s">
        <v>1673</v>
      </c>
      <c r="B695" s="2" t="s">
        <v>19</v>
      </c>
      <c r="C695" s="2" t="s">
        <v>8</v>
      </c>
      <c r="D695" s="36">
        <v>172.0</v>
      </c>
      <c r="E695" s="36">
        <v>4250.0</v>
      </c>
      <c r="F695" s="36">
        <v>2670.0</v>
      </c>
      <c r="G695" s="36">
        <v>731000.0</v>
      </c>
      <c r="H695" s="36">
        <v>459240.0</v>
      </c>
      <c r="I695" s="36">
        <v>271760.0</v>
      </c>
    </row>
    <row r="696">
      <c r="A696" s="2" t="s">
        <v>1673</v>
      </c>
      <c r="B696" s="2" t="s">
        <v>18</v>
      </c>
      <c r="C696" s="2" t="s">
        <v>6</v>
      </c>
      <c r="D696" s="36">
        <v>329.0</v>
      </c>
      <c r="E696" s="36">
        <v>1800.0</v>
      </c>
      <c r="F696" s="36">
        <v>929.0</v>
      </c>
      <c r="G696" s="36">
        <v>592200.0</v>
      </c>
      <c r="H696" s="36">
        <v>305641.0</v>
      </c>
      <c r="I696" s="36">
        <v>286559.0</v>
      </c>
    </row>
    <row r="697">
      <c r="A697" s="2" t="s">
        <v>1674</v>
      </c>
      <c r="B697" s="2" t="s">
        <v>20</v>
      </c>
      <c r="C697" s="2" t="s">
        <v>9</v>
      </c>
      <c r="D697" s="36">
        <v>705.0</v>
      </c>
      <c r="E697" s="36">
        <v>12000.0</v>
      </c>
      <c r="F697" s="36">
        <v>6942.86</v>
      </c>
      <c r="G697" s="36">
        <v>8460000.0</v>
      </c>
      <c r="H697" s="36">
        <v>4894716.0</v>
      </c>
      <c r="I697" s="36">
        <v>3565284.0</v>
      </c>
    </row>
    <row r="698">
      <c r="A698" s="2" t="s">
        <v>1675</v>
      </c>
      <c r="B698" s="2" t="s">
        <v>19</v>
      </c>
      <c r="C698" s="2" t="s">
        <v>8</v>
      </c>
      <c r="D698" s="36">
        <v>1891.0</v>
      </c>
      <c r="E698" s="36">
        <v>4250.0</v>
      </c>
      <c r="F698" s="36">
        <v>2670.0</v>
      </c>
      <c r="G698" s="36">
        <v>8036750.0</v>
      </c>
      <c r="H698" s="36">
        <v>5048970.0</v>
      </c>
      <c r="I698" s="36">
        <v>2987780.0</v>
      </c>
    </row>
    <row r="699">
      <c r="A699" s="2" t="s">
        <v>1676</v>
      </c>
      <c r="B699" s="2" t="s">
        <v>18</v>
      </c>
      <c r="C699" s="2" t="s">
        <v>6</v>
      </c>
      <c r="D699" s="36">
        <v>68.0</v>
      </c>
      <c r="E699" s="36">
        <v>1800.0</v>
      </c>
      <c r="F699" s="36">
        <v>929.0</v>
      </c>
      <c r="G699" s="36">
        <v>122400.0</v>
      </c>
      <c r="H699" s="36">
        <v>63172.0</v>
      </c>
      <c r="I699" s="36">
        <v>59228.0</v>
      </c>
    </row>
    <row r="700">
      <c r="A700" s="2" t="s">
        <v>1677</v>
      </c>
      <c r="B700" s="2" t="s">
        <v>20</v>
      </c>
      <c r="C700" s="2" t="s">
        <v>9</v>
      </c>
      <c r="D700" s="36">
        <v>305.0</v>
      </c>
      <c r="E700" s="36">
        <v>12000.0</v>
      </c>
      <c r="F700" s="36">
        <v>6942.86</v>
      </c>
      <c r="G700" s="36">
        <v>3660000.0</v>
      </c>
      <c r="H700" s="36">
        <v>2117572.0</v>
      </c>
      <c r="I700" s="36">
        <v>1542428.0</v>
      </c>
    </row>
    <row r="701">
      <c r="A701" s="2" t="s">
        <v>1678</v>
      </c>
      <c r="B701" s="2" t="s">
        <v>19</v>
      </c>
      <c r="C701" s="2" t="s">
        <v>8</v>
      </c>
      <c r="D701" s="36">
        <v>547.0</v>
      </c>
      <c r="E701" s="36">
        <v>4250.0</v>
      </c>
      <c r="F701" s="36">
        <v>2670.0</v>
      </c>
      <c r="G701" s="36">
        <v>2324750.0</v>
      </c>
      <c r="H701" s="36">
        <v>1460490.0</v>
      </c>
      <c r="I701" s="36">
        <v>864260.0</v>
      </c>
    </row>
    <row r="702">
      <c r="A702" s="2" t="s">
        <v>1679</v>
      </c>
      <c r="B702" s="2" t="s">
        <v>18</v>
      </c>
      <c r="C702" s="2" t="s">
        <v>6</v>
      </c>
      <c r="D702" s="36">
        <v>494.0</v>
      </c>
      <c r="E702" s="36">
        <v>1800.0</v>
      </c>
      <c r="F702" s="36">
        <v>929.0</v>
      </c>
      <c r="G702" s="36">
        <v>889200.0</v>
      </c>
      <c r="H702" s="36">
        <v>458926.0</v>
      </c>
      <c r="I702" s="36">
        <v>430274.0</v>
      </c>
    </row>
    <row r="703">
      <c r="A703" s="2" t="s">
        <v>1680</v>
      </c>
      <c r="B703" s="2" t="s">
        <v>20</v>
      </c>
      <c r="C703" s="2" t="s">
        <v>9</v>
      </c>
      <c r="D703" s="36">
        <v>2376.0</v>
      </c>
      <c r="E703" s="36">
        <v>12000.0</v>
      </c>
      <c r="F703" s="36">
        <v>6942.86</v>
      </c>
      <c r="G703" s="36">
        <v>2.8512E7</v>
      </c>
      <c r="H703" s="36">
        <v>1.6496235E7</v>
      </c>
      <c r="I703" s="36">
        <v>1.2015765E7</v>
      </c>
    </row>
    <row r="704">
      <c r="A704" s="2" t="s">
        <v>1681</v>
      </c>
      <c r="B704" s="2" t="s">
        <v>19</v>
      </c>
      <c r="C704" s="2" t="s">
        <v>8</v>
      </c>
      <c r="D704" s="36">
        <v>440.0</v>
      </c>
      <c r="E704" s="36">
        <v>4250.0</v>
      </c>
      <c r="F704" s="36">
        <v>2670.0</v>
      </c>
      <c r="G704" s="36">
        <v>1870000.0</v>
      </c>
      <c r="H704" s="36">
        <v>1174800.0</v>
      </c>
      <c r="I704" s="36">
        <v>695200.0</v>
      </c>
    </row>
    <row r="705">
      <c r="A705" s="2" t="s">
        <v>1682</v>
      </c>
      <c r="B705" s="2" t="s">
        <v>18</v>
      </c>
      <c r="C705" s="2" t="s">
        <v>6</v>
      </c>
      <c r="D705" s="36">
        <v>381.0</v>
      </c>
      <c r="E705" s="36">
        <v>1800.0</v>
      </c>
      <c r="F705" s="36">
        <v>929.0</v>
      </c>
      <c r="G705" s="36">
        <v>685800.0</v>
      </c>
      <c r="H705" s="36">
        <v>353949.0</v>
      </c>
      <c r="I705" s="36">
        <v>331851.0</v>
      </c>
    </row>
    <row r="706">
      <c r="A706" s="2" t="s">
        <v>1683</v>
      </c>
      <c r="B706" s="2" t="s">
        <v>20</v>
      </c>
      <c r="C706" s="2" t="s">
        <v>9</v>
      </c>
      <c r="D706" s="36">
        <v>403.0</v>
      </c>
      <c r="E706" s="36">
        <v>12000.0</v>
      </c>
      <c r="F706" s="36">
        <v>6942.86</v>
      </c>
      <c r="G706" s="36">
        <v>4836000.0</v>
      </c>
      <c r="H706" s="36">
        <v>2797973.0</v>
      </c>
      <c r="I706" s="36">
        <v>2038027.0</v>
      </c>
    </row>
    <row r="707">
      <c r="A707" s="2" t="s">
        <v>1684</v>
      </c>
      <c r="B707" s="2" t="s">
        <v>19</v>
      </c>
      <c r="C707" s="2" t="s">
        <v>8</v>
      </c>
      <c r="D707" s="36">
        <v>547.0</v>
      </c>
      <c r="E707" s="36">
        <v>4250.0</v>
      </c>
      <c r="F707" s="36">
        <v>2670.0</v>
      </c>
      <c r="G707" s="36">
        <v>2324750.0</v>
      </c>
      <c r="H707" s="36">
        <v>1460490.0</v>
      </c>
      <c r="I707" s="36">
        <v>864260.0</v>
      </c>
    </row>
    <row r="708">
      <c r="A708" s="2" t="s">
        <v>1685</v>
      </c>
      <c r="B708" s="2" t="s">
        <v>18</v>
      </c>
      <c r="C708" s="2" t="s">
        <v>6</v>
      </c>
      <c r="D708" s="36">
        <v>2239.0</v>
      </c>
      <c r="E708" s="36">
        <v>1800.0</v>
      </c>
      <c r="F708" s="36">
        <v>929.0</v>
      </c>
      <c r="G708" s="36">
        <v>4030200.0</v>
      </c>
      <c r="H708" s="36">
        <v>2080031.0</v>
      </c>
      <c r="I708" s="36">
        <v>1950169.0</v>
      </c>
    </row>
    <row r="709">
      <c r="A709" s="2" t="s">
        <v>1686</v>
      </c>
      <c r="B709" s="2" t="s">
        <v>20</v>
      </c>
      <c r="C709" s="2" t="s">
        <v>9</v>
      </c>
      <c r="D709" s="36">
        <v>43.0</v>
      </c>
      <c r="E709" s="36">
        <v>12000.0</v>
      </c>
      <c r="F709" s="36">
        <v>6942.86</v>
      </c>
      <c r="G709" s="36">
        <v>516000.0</v>
      </c>
      <c r="H709" s="36">
        <v>298543.0</v>
      </c>
      <c r="I709" s="36">
        <v>217457.0</v>
      </c>
    </row>
    <row r="710">
      <c r="A710" s="2" t="s">
        <v>1687</v>
      </c>
      <c r="B710" s="2" t="s">
        <v>19</v>
      </c>
      <c r="C710" s="2" t="s">
        <v>8</v>
      </c>
      <c r="D710" s="36">
        <v>54.0</v>
      </c>
      <c r="E710" s="36">
        <v>4250.0</v>
      </c>
      <c r="F710" s="36">
        <v>2670.0</v>
      </c>
      <c r="G710" s="36">
        <v>229500.0</v>
      </c>
      <c r="H710" s="36">
        <v>144180.0</v>
      </c>
      <c r="I710" s="36">
        <v>85320.0</v>
      </c>
    </row>
    <row r="711">
      <c r="A711" s="2" t="s">
        <v>1688</v>
      </c>
      <c r="B711" s="2" t="s">
        <v>18</v>
      </c>
      <c r="C711" s="2" t="s">
        <v>6</v>
      </c>
      <c r="D711" s="36">
        <v>2168.0</v>
      </c>
      <c r="E711" s="36">
        <v>1800.0</v>
      </c>
      <c r="F711" s="36">
        <v>929.0</v>
      </c>
      <c r="G711" s="36">
        <v>3902400.0</v>
      </c>
      <c r="H711" s="36">
        <v>2014072.0</v>
      </c>
      <c r="I711" s="36">
        <v>1888328.0</v>
      </c>
    </row>
    <row r="712">
      <c r="A712" s="2" t="s">
        <v>1689</v>
      </c>
      <c r="B712" s="2" t="s">
        <v>20</v>
      </c>
      <c r="C712" s="2" t="s">
        <v>9</v>
      </c>
      <c r="D712" s="36">
        <v>390.0</v>
      </c>
      <c r="E712" s="36">
        <v>12000.0</v>
      </c>
      <c r="F712" s="36">
        <v>6942.86</v>
      </c>
      <c r="G712" s="36">
        <v>4680000.0</v>
      </c>
      <c r="H712" s="36">
        <v>2707715.0</v>
      </c>
      <c r="I712" s="36">
        <v>1972285.0</v>
      </c>
    </row>
    <row r="713">
      <c r="A713" s="2" t="s">
        <v>1690</v>
      </c>
      <c r="B713" s="2" t="s">
        <v>19</v>
      </c>
      <c r="C713" s="2" t="s">
        <v>8</v>
      </c>
      <c r="D713" s="36">
        <v>1014.0</v>
      </c>
      <c r="E713" s="36">
        <v>4250.0</v>
      </c>
      <c r="F713" s="36">
        <v>2670.0</v>
      </c>
      <c r="G713" s="36">
        <v>4309500.0</v>
      </c>
      <c r="H713" s="36">
        <v>2707380.0</v>
      </c>
      <c r="I713" s="36">
        <v>1602120.0</v>
      </c>
    </row>
    <row r="714">
      <c r="A714" s="2" t="s">
        <v>1691</v>
      </c>
      <c r="B714" s="2" t="s">
        <v>18</v>
      </c>
      <c r="C714" s="2" t="s">
        <v>6</v>
      </c>
      <c r="D714" s="36">
        <v>101.0</v>
      </c>
      <c r="E714" s="36">
        <v>1800.0</v>
      </c>
      <c r="F714" s="36">
        <v>929.0</v>
      </c>
      <c r="G714" s="36">
        <v>181800.0</v>
      </c>
      <c r="H714" s="36">
        <v>93829.0</v>
      </c>
      <c r="I714" s="36">
        <v>87971.0</v>
      </c>
    </row>
    <row r="715">
      <c r="A715" s="2" t="s">
        <v>1692</v>
      </c>
      <c r="B715" s="2" t="s">
        <v>20</v>
      </c>
      <c r="C715" s="2" t="s">
        <v>9</v>
      </c>
      <c r="D715" s="36">
        <v>657.0</v>
      </c>
      <c r="E715" s="36">
        <v>12000.0</v>
      </c>
      <c r="F715" s="36">
        <v>6942.86</v>
      </c>
      <c r="G715" s="36">
        <v>7884000.0</v>
      </c>
      <c r="H715" s="36">
        <v>4561459.0</v>
      </c>
      <c r="I715" s="36">
        <v>3322541.0</v>
      </c>
    </row>
    <row r="716">
      <c r="A716" s="2" t="s">
        <v>1693</v>
      </c>
      <c r="B716" s="2" t="s">
        <v>19</v>
      </c>
      <c r="C716" s="2" t="s">
        <v>8</v>
      </c>
      <c r="D716" s="36">
        <v>270.0</v>
      </c>
      <c r="E716" s="36">
        <v>4250.0</v>
      </c>
      <c r="F716" s="36">
        <v>2670.0</v>
      </c>
      <c r="G716" s="36">
        <v>1147500.0</v>
      </c>
      <c r="H716" s="36">
        <v>720900.0</v>
      </c>
      <c r="I716" s="36">
        <v>426600.0</v>
      </c>
    </row>
    <row r="717">
      <c r="A717" s="2" t="s">
        <v>1693</v>
      </c>
      <c r="B717" s="2" t="s">
        <v>18</v>
      </c>
      <c r="C717" s="2" t="s">
        <v>6</v>
      </c>
      <c r="D717" s="36">
        <v>1535.0</v>
      </c>
      <c r="E717" s="36">
        <v>1800.0</v>
      </c>
      <c r="F717" s="36">
        <v>929.0</v>
      </c>
      <c r="G717" s="36">
        <v>2763000.0</v>
      </c>
      <c r="H717" s="36">
        <v>1426015.0</v>
      </c>
      <c r="I717" s="36">
        <v>1336985.0</v>
      </c>
    </row>
    <row r="718">
      <c r="A718" s="2" t="s">
        <v>1694</v>
      </c>
      <c r="B718" s="2" t="s">
        <v>18</v>
      </c>
      <c r="C718" s="2" t="s">
        <v>6</v>
      </c>
      <c r="D718" s="36">
        <v>526.0</v>
      </c>
      <c r="E718" s="36">
        <v>1800.0</v>
      </c>
      <c r="F718" s="36">
        <v>929.0</v>
      </c>
      <c r="G718" s="36">
        <v>946800.0</v>
      </c>
      <c r="H718" s="36">
        <v>488654.0</v>
      </c>
      <c r="I718" s="36">
        <v>458146.0</v>
      </c>
    </row>
    <row r="719">
      <c r="A719" s="2" t="s">
        <v>1694</v>
      </c>
      <c r="B719" s="2" t="s">
        <v>19</v>
      </c>
      <c r="C719" s="2" t="s">
        <v>8</v>
      </c>
      <c r="D719" s="36">
        <v>353.0</v>
      </c>
      <c r="E719" s="36">
        <v>4250.0</v>
      </c>
      <c r="F719" s="36">
        <v>2670.0</v>
      </c>
      <c r="G719" s="36">
        <v>1500250.0</v>
      </c>
      <c r="H719" s="36">
        <v>942510.0</v>
      </c>
      <c r="I719" s="36">
        <v>557740.0</v>
      </c>
    </row>
    <row r="720">
      <c r="A720" s="2" t="s">
        <v>1694</v>
      </c>
      <c r="B720" s="2" t="s">
        <v>20</v>
      </c>
      <c r="C720" s="2" t="s">
        <v>9</v>
      </c>
      <c r="D720" s="36">
        <v>230.0</v>
      </c>
      <c r="E720" s="36">
        <v>12000.0</v>
      </c>
      <c r="F720" s="36">
        <v>6942.86</v>
      </c>
      <c r="G720" s="36">
        <v>2760000.0</v>
      </c>
      <c r="H720" s="36">
        <v>1596858.0</v>
      </c>
      <c r="I720" s="36">
        <v>1163142.0</v>
      </c>
    </row>
    <row r="721">
      <c r="A721" s="2" t="s">
        <v>1695</v>
      </c>
      <c r="B721" s="2" t="s">
        <v>20</v>
      </c>
      <c r="C721" s="2" t="s">
        <v>9</v>
      </c>
      <c r="D721" s="36">
        <v>230.0</v>
      </c>
      <c r="E721" s="36">
        <v>12000.0</v>
      </c>
      <c r="F721" s="36">
        <v>6942.86</v>
      </c>
      <c r="G721" s="36">
        <v>2760000.0</v>
      </c>
      <c r="H721" s="36">
        <v>1596858.0</v>
      </c>
      <c r="I721" s="36">
        <v>1163142.0</v>
      </c>
    </row>
    <row r="722">
      <c r="A722" s="2" t="s">
        <v>1696</v>
      </c>
      <c r="B722" s="2" t="s">
        <v>19</v>
      </c>
      <c r="C722" s="2" t="s">
        <v>8</v>
      </c>
      <c r="D722" s="36">
        <v>353.0</v>
      </c>
      <c r="E722" s="36">
        <v>4250.0</v>
      </c>
      <c r="F722" s="36">
        <v>2670.0</v>
      </c>
      <c r="G722" s="36">
        <v>1500250.0</v>
      </c>
      <c r="H722" s="36">
        <v>942510.0</v>
      </c>
      <c r="I722" s="36">
        <v>557740.0</v>
      </c>
    </row>
    <row r="723">
      <c r="A723" s="2" t="s">
        <v>1696</v>
      </c>
      <c r="B723" s="2" t="s">
        <v>18</v>
      </c>
      <c r="C723" s="2" t="s">
        <v>6</v>
      </c>
      <c r="D723" s="36">
        <v>526.0</v>
      </c>
      <c r="E723" s="36">
        <v>1800.0</v>
      </c>
      <c r="F723" s="36">
        <v>929.0</v>
      </c>
      <c r="G723" s="36">
        <v>946800.0</v>
      </c>
      <c r="H723" s="36">
        <v>488654.0</v>
      </c>
      <c r="I723" s="36">
        <v>458146.0</v>
      </c>
    </row>
    <row r="724">
      <c r="A724" s="2" t="s">
        <v>1697</v>
      </c>
      <c r="B724" s="2" t="s">
        <v>20</v>
      </c>
      <c r="C724" s="2" t="s">
        <v>9</v>
      </c>
      <c r="D724" s="36">
        <v>1736.0</v>
      </c>
      <c r="E724" s="36">
        <v>12000.0</v>
      </c>
      <c r="F724" s="36">
        <v>6942.86</v>
      </c>
      <c r="G724" s="36">
        <v>2.0832E7</v>
      </c>
      <c r="H724" s="36">
        <v>1.2052805E7</v>
      </c>
      <c r="I724" s="36">
        <v>8779195.0</v>
      </c>
    </row>
    <row r="725">
      <c r="A725" s="2" t="s">
        <v>1698</v>
      </c>
      <c r="B725" s="2" t="s">
        <v>19</v>
      </c>
      <c r="C725" s="2" t="s">
        <v>8</v>
      </c>
      <c r="D725" s="36">
        <v>182.0</v>
      </c>
      <c r="E725" s="36">
        <v>4250.0</v>
      </c>
      <c r="F725" s="36">
        <v>2670.0</v>
      </c>
      <c r="G725" s="36">
        <v>773500.0</v>
      </c>
      <c r="H725" s="36">
        <v>485940.0</v>
      </c>
      <c r="I725" s="36">
        <v>287560.0</v>
      </c>
    </row>
    <row r="726">
      <c r="A726" s="2" t="s">
        <v>1699</v>
      </c>
      <c r="B726" s="2" t="s">
        <v>20</v>
      </c>
      <c r="C726" s="2" t="s">
        <v>9</v>
      </c>
      <c r="D726" s="36">
        <v>1736.0</v>
      </c>
      <c r="E726" s="36">
        <v>12000.0</v>
      </c>
      <c r="F726" s="36">
        <v>6942.86</v>
      </c>
      <c r="G726" s="36">
        <v>2.0832E7</v>
      </c>
      <c r="H726" s="36">
        <v>1.2052805E7</v>
      </c>
      <c r="I726" s="36">
        <v>8779195.0</v>
      </c>
    </row>
    <row r="727">
      <c r="A727" s="2" t="s">
        <v>1700</v>
      </c>
      <c r="B727" s="2" t="s">
        <v>19</v>
      </c>
      <c r="C727" s="2" t="s">
        <v>8</v>
      </c>
      <c r="D727" s="36">
        <v>182.0</v>
      </c>
      <c r="E727" s="36">
        <v>4250.0</v>
      </c>
      <c r="F727" s="36">
        <v>2670.0</v>
      </c>
      <c r="G727" s="36">
        <v>773500.0</v>
      </c>
      <c r="H727" s="36">
        <v>485940.0</v>
      </c>
      <c r="I727" s="36">
        <v>287560.0</v>
      </c>
    </row>
    <row r="728">
      <c r="A728" s="2" t="s">
        <v>1701</v>
      </c>
      <c r="B728" s="2" t="s">
        <v>18</v>
      </c>
      <c r="C728" s="2" t="s">
        <v>6</v>
      </c>
      <c r="D728" s="36">
        <v>192.0</v>
      </c>
      <c r="E728" s="36">
        <v>1800.0</v>
      </c>
      <c r="F728" s="36">
        <v>929.0</v>
      </c>
      <c r="G728" s="36">
        <v>345600.0</v>
      </c>
      <c r="H728" s="36">
        <v>178368.0</v>
      </c>
      <c r="I728" s="36">
        <v>167232.0</v>
      </c>
    </row>
    <row r="729">
      <c r="A729" s="2" t="s">
        <v>1702</v>
      </c>
      <c r="B729" s="2" t="s">
        <v>20</v>
      </c>
      <c r="C729" s="2" t="s">
        <v>9</v>
      </c>
      <c r="D729" s="36">
        <v>265.0</v>
      </c>
      <c r="E729" s="36">
        <v>12000.0</v>
      </c>
      <c r="F729" s="36">
        <v>6942.86</v>
      </c>
      <c r="G729" s="36">
        <v>3180000.0</v>
      </c>
      <c r="H729" s="36">
        <v>1839858.0</v>
      </c>
      <c r="I729" s="36">
        <v>1340142.0</v>
      </c>
    </row>
    <row r="730">
      <c r="A730" s="2" t="s">
        <v>1703</v>
      </c>
      <c r="B730" s="2" t="s">
        <v>19</v>
      </c>
      <c r="C730" s="2" t="s">
        <v>8</v>
      </c>
      <c r="D730" s="36">
        <v>440.0</v>
      </c>
      <c r="E730" s="36">
        <v>4250.0</v>
      </c>
      <c r="F730" s="36">
        <v>2670.0</v>
      </c>
      <c r="G730" s="36">
        <v>1870000.0</v>
      </c>
      <c r="H730" s="36">
        <v>1174800.0</v>
      </c>
      <c r="I730" s="36">
        <v>695200.0</v>
      </c>
    </row>
    <row r="731">
      <c r="A731" s="2" t="s">
        <v>1704</v>
      </c>
      <c r="B731" s="2" t="s">
        <v>18</v>
      </c>
      <c r="C731" s="2" t="s">
        <v>6</v>
      </c>
      <c r="D731" s="36">
        <v>580.0</v>
      </c>
      <c r="E731" s="36">
        <v>1800.0</v>
      </c>
      <c r="F731" s="36">
        <v>929.0</v>
      </c>
      <c r="G731" s="36">
        <v>1044000.0</v>
      </c>
      <c r="H731" s="36">
        <v>538820.0</v>
      </c>
      <c r="I731" s="36">
        <v>505180.0</v>
      </c>
    </row>
    <row r="732">
      <c r="A732" s="2" t="s">
        <v>1705</v>
      </c>
      <c r="B732" s="2" t="s">
        <v>20</v>
      </c>
      <c r="C732" s="2" t="s">
        <v>9</v>
      </c>
      <c r="D732" s="36">
        <v>2069.0</v>
      </c>
      <c r="E732" s="36">
        <v>12000.0</v>
      </c>
      <c r="F732" s="36">
        <v>6942.86</v>
      </c>
      <c r="G732" s="36">
        <v>2.4828E7</v>
      </c>
      <c r="H732" s="36">
        <v>1.4364777E7</v>
      </c>
      <c r="I732" s="36">
        <v>1.0463223E7</v>
      </c>
    </row>
    <row r="733">
      <c r="A733" s="2" t="s">
        <v>1706</v>
      </c>
      <c r="B733" s="2" t="s">
        <v>19</v>
      </c>
      <c r="C733" s="2" t="s">
        <v>8</v>
      </c>
      <c r="D733" s="36">
        <v>63.0</v>
      </c>
      <c r="E733" s="36">
        <v>4250.0</v>
      </c>
      <c r="F733" s="36">
        <v>2670.0</v>
      </c>
      <c r="G733" s="36">
        <v>267750.0</v>
      </c>
      <c r="H733" s="36">
        <v>168210.0</v>
      </c>
      <c r="I733" s="36">
        <v>99540.0</v>
      </c>
    </row>
    <row r="734">
      <c r="A734" s="2" t="s">
        <v>1707</v>
      </c>
      <c r="B734" s="2" t="s">
        <v>18</v>
      </c>
      <c r="C734" s="2" t="s">
        <v>6</v>
      </c>
      <c r="D734" s="36">
        <v>121.0</v>
      </c>
      <c r="E734" s="36">
        <v>1800.0</v>
      </c>
      <c r="F734" s="36">
        <v>929.0</v>
      </c>
      <c r="G734" s="36">
        <v>217800.0</v>
      </c>
      <c r="H734" s="36">
        <v>112409.0</v>
      </c>
      <c r="I734" s="36">
        <v>105391.0</v>
      </c>
    </row>
    <row r="735">
      <c r="A735" s="2" t="s">
        <v>1708</v>
      </c>
      <c r="B735" s="2" t="s">
        <v>20</v>
      </c>
      <c r="C735" s="2" t="s">
        <v>9</v>
      </c>
      <c r="D735" s="36">
        <v>420.0</v>
      </c>
      <c r="E735" s="36">
        <v>12000.0</v>
      </c>
      <c r="F735" s="36">
        <v>6942.86</v>
      </c>
      <c r="G735" s="36">
        <v>5040000.0</v>
      </c>
      <c r="H735" s="36">
        <v>2916001.0</v>
      </c>
      <c r="I735" s="36">
        <v>2123999.0</v>
      </c>
    </row>
    <row r="736">
      <c r="A736" s="2" t="s">
        <v>1709</v>
      </c>
      <c r="B736" s="2" t="s">
        <v>19</v>
      </c>
      <c r="C736" s="2" t="s">
        <v>8</v>
      </c>
      <c r="D736" s="36">
        <v>72.0</v>
      </c>
      <c r="E736" s="36">
        <v>4250.0</v>
      </c>
      <c r="F736" s="36">
        <v>2670.0</v>
      </c>
      <c r="G736" s="36">
        <v>306000.0</v>
      </c>
      <c r="H736" s="36">
        <v>192240.0</v>
      </c>
      <c r="I736" s="36">
        <v>113760.0</v>
      </c>
    </row>
    <row r="737">
      <c r="A737" s="2" t="s">
        <v>1709</v>
      </c>
      <c r="B737" s="2" t="s">
        <v>18</v>
      </c>
      <c r="C737" s="2" t="s">
        <v>6</v>
      </c>
      <c r="D737" s="36">
        <v>47.0</v>
      </c>
      <c r="E737" s="36">
        <v>1800.0</v>
      </c>
      <c r="F737" s="36">
        <v>929.0</v>
      </c>
      <c r="G737" s="36">
        <v>84600.0</v>
      </c>
      <c r="H737" s="36">
        <v>43663.0</v>
      </c>
      <c r="I737" s="36">
        <v>40937.0</v>
      </c>
    </row>
    <row r="738">
      <c r="A738" s="2" t="s">
        <v>1710</v>
      </c>
      <c r="B738" s="2" t="s">
        <v>20</v>
      </c>
      <c r="C738" s="2" t="s">
        <v>9</v>
      </c>
      <c r="D738" s="36">
        <v>891.0</v>
      </c>
      <c r="E738" s="36">
        <v>12000.0</v>
      </c>
      <c r="F738" s="36">
        <v>6942.86</v>
      </c>
      <c r="G738" s="36">
        <v>1.0692E7</v>
      </c>
      <c r="H738" s="36">
        <v>6186088.0</v>
      </c>
      <c r="I738" s="36">
        <v>4505912.0</v>
      </c>
    </row>
    <row r="739">
      <c r="A739" s="2" t="s">
        <v>1711</v>
      </c>
      <c r="B739" s="2" t="s">
        <v>19</v>
      </c>
      <c r="C739" s="2" t="s">
        <v>8</v>
      </c>
      <c r="D739" s="36">
        <v>1.0</v>
      </c>
      <c r="E739" s="36">
        <v>4250.0</v>
      </c>
      <c r="F739" s="36">
        <v>2670.0</v>
      </c>
      <c r="G739" s="36">
        <v>4250.0</v>
      </c>
      <c r="H739" s="36">
        <v>2670.0</v>
      </c>
      <c r="I739" s="36">
        <v>1580.0</v>
      </c>
    </row>
    <row r="740">
      <c r="A740" s="2" t="s">
        <v>1712</v>
      </c>
      <c r="B740" s="2" t="s">
        <v>18</v>
      </c>
      <c r="C740" s="2" t="s">
        <v>6</v>
      </c>
      <c r="D740" s="36">
        <v>272.0</v>
      </c>
      <c r="E740" s="36">
        <v>1800.0</v>
      </c>
      <c r="F740" s="36">
        <v>929.0</v>
      </c>
      <c r="G740" s="36">
        <v>489600.0</v>
      </c>
      <c r="H740" s="36">
        <v>252688.0</v>
      </c>
      <c r="I740" s="36">
        <v>236912.0</v>
      </c>
    </row>
    <row r="741">
      <c r="A741" s="2" t="s">
        <v>1713</v>
      </c>
      <c r="B741" s="2" t="s">
        <v>20</v>
      </c>
      <c r="C741" s="2" t="s">
        <v>9</v>
      </c>
      <c r="D741" s="36">
        <v>304.0</v>
      </c>
      <c r="E741" s="36">
        <v>12000.0</v>
      </c>
      <c r="F741" s="36">
        <v>6942.86</v>
      </c>
      <c r="G741" s="36">
        <v>3648000.0</v>
      </c>
      <c r="H741" s="36">
        <v>2110629.0</v>
      </c>
      <c r="I741" s="36">
        <v>1537371.0</v>
      </c>
    </row>
    <row r="742">
      <c r="A742" s="2" t="s">
        <v>1714</v>
      </c>
      <c r="B742" s="2" t="s">
        <v>19</v>
      </c>
      <c r="C742" s="2" t="s">
        <v>8</v>
      </c>
      <c r="D742" s="36">
        <v>161.0</v>
      </c>
      <c r="E742" s="36">
        <v>4250.0</v>
      </c>
      <c r="F742" s="36">
        <v>2670.0</v>
      </c>
      <c r="G742" s="36">
        <v>684250.0</v>
      </c>
      <c r="H742" s="36">
        <v>429870.0</v>
      </c>
      <c r="I742" s="36">
        <v>254380.0</v>
      </c>
    </row>
    <row r="743">
      <c r="A743" s="2" t="s">
        <v>1715</v>
      </c>
      <c r="B743" s="2" t="s">
        <v>18</v>
      </c>
      <c r="C743" s="2" t="s">
        <v>6</v>
      </c>
      <c r="D743" s="36">
        <v>23.0</v>
      </c>
      <c r="E743" s="36">
        <v>1800.0</v>
      </c>
      <c r="F743" s="36">
        <v>929.0</v>
      </c>
      <c r="G743" s="36">
        <v>41400.0</v>
      </c>
      <c r="H743" s="36">
        <v>21367.0</v>
      </c>
      <c r="I743" s="36">
        <v>20033.0</v>
      </c>
    </row>
    <row r="744">
      <c r="A744" s="2" t="s">
        <v>1716</v>
      </c>
      <c r="B744" s="2" t="s">
        <v>20</v>
      </c>
      <c r="C744" s="2" t="s">
        <v>9</v>
      </c>
      <c r="D744" s="36">
        <v>65.0</v>
      </c>
      <c r="E744" s="36">
        <v>12000.0</v>
      </c>
      <c r="F744" s="36">
        <v>6942.86</v>
      </c>
      <c r="G744" s="36">
        <v>780000.0</v>
      </c>
      <c r="H744" s="36">
        <v>451286.0</v>
      </c>
      <c r="I744" s="36">
        <v>328714.0</v>
      </c>
    </row>
    <row r="745">
      <c r="A745" s="2" t="s">
        <v>1717</v>
      </c>
      <c r="B745" s="2" t="s">
        <v>19</v>
      </c>
      <c r="C745" s="2" t="s">
        <v>8</v>
      </c>
      <c r="D745" s="36">
        <v>343.0</v>
      </c>
      <c r="E745" s="36">
        <v>4250.0</v>
      </c>
      <c r="F745" s="36">
        <v>2670.0</v>
      </c>
      <c r="G745" s="36">
        <v>1457750.0</v>
      </c>
      <c r="H745" s="36">
        <v>915810.0</v>
      </c>
      <c r="I745" s="36">
        <v>541940.0</v>
      </c>
    </row>
    <row r="746">
      <c r="A746" s="2" t="s">
        <v>1718</v>
      </c>
      <c r="B746" s="2" t="s">
        <v>18</v>
      </c>
      <c r="C746" s="2" t="s">
        <v>6</v>
      </c>
      <c r="D746" s="36">
        <v>2192.0</v>
      </c>
      <c r="E746" s="36">
        <v>1800.0</v>
      </c>
      <c r="F746" s="36">
        <v>929.0</v>
      </c>
      <c r="G746" s="36">
        <v>3945600.0</v>
      </c>
      <c r="H746" s="36">
        <v>2036368.0</v>
      </c>
      <c r="I746" s="36">
        <v>1909232.0</v>
      </c>
    </row>
    <row r="747">
      <c r="A747" s="2" t="s">
        <v>1719</v>
      </c>
      <c r="B747" s="2" t="s">
        <v>20</v>
      </c>
      <c r="C747" s="2" t="s">
        <v>9</v>
      </c>
      <c r="D747" s="36">
        <v>371.0</v>
      </c>
      <c r="E747" s="36">
        <v>12000.0</v>
      </c>
      <c r="F747" s="36">
        <v>6942.86</v>
      </c>
      <c r="G747" s="36">
        <v>4452000.0</v>
      </c>
      <c r="H747" s="36">
        <v>2575801.0</v>
      </c>
      <c r="I747" s="36">
        <v>1876199.0</v>
      </c>
    </row>
    <row r="748">
      <c r="A748" s="2" t="s">
        <v>1720</v>
      </c>
      <c r="B748" s="2" t="s">
        <v>19</v>
      </c>
      <c r="C748" s="2" t="s">
        <v>8</v>
      </c>
      <c r="D748" s="36">
        <v>157.0</v>
      </c>
      <c r="E748" s="36">
        <v>4250.0</v>
      </c>
      <c r="F748" s="36">
        <v>2670.0</v>
      </c>
      <c r="G748" s="36">
        <v>667250.0</v>
      </c>
      <c r="H748" s="36">
        <v>419190.0</v>
      </c>
      <c r="I748" s="36">
        <v>248060.0</v>
      </c>
    </row>
    <row r="749">
      <c r="A749" s="2" t="s">
        <v>1721</v>
      </c>
      <c r="B749" s="2" t="s">
        <v>18</v>
      </c>
      <c r="C749" s="2" t="s">
        <v>6</v>
      </c>
      <c r="D749" s="36">
        <v>109.0</v>
      </c>
      <c r="E749" s="36">
        <v>1800.0</v>
      </c>
      <c r="F749" s="36">
        <v>929.0</v>
      </c>
      <c r="G749" s="36">
        <v>196200.0</v>
      </c>
      <c r="H749" s="36">
        <v>101261.0</v>
      </c>
      <c r="I749" s="36">
        <v>94939.0</v>
      </c>
    </row>
    <row r="750">
      <c r="A750" s="2" t="s">
        <v>1722</v>
      </c>
      <c r="B750" s="2" t="s">
        <v>18</v>
      </c>
      <c r="C750" s="2" t="s">
        <v>6</v>
      </c>
      <c r="D750" s="36">
        <v>489.0</v>
      </c>
      <c r="E750" s="36">
        <v>1800.0</v>
      </c>
      <c r="F750" s="36">
        <v>929.0</v>
      </c>
      <c r="G750" s="36">
        <v>880200.0</v>
      </c>
      <c r="H750" s="36">
        <v>454281.0</v>
      </c>
      <c r="I750" s="36">
        <v>425919.0</v>
      </c>
    </row>
    <row r="751">
      <c r="A751" s="2" t="s">
        <v>1722</v>
      </c>
      <c r="B751" s="2" t="s">
        <v>19</v>
      </c>
      <c r="C751" s="2" t="s">
        <v>8</v>
      </c>
      <c r="D751" s="36">
        <v>173.0</v>
      </c>
      <c r="E751" s="36">
        <v>4250.0</v>
      </c>
      <c r="F751" s="36">
        <v>2670.0</v>
      </c>
      <c r="G751" s="36">
        <v>735250.0</v>
      </c>
      <c r="H751" s="36">
        <v>461910.0</v>
      </c>
      <c r="I751" s="36">
        <v>273340.0</v>
      </c>
    </row>
    <row r="752">
      <c r="A752" s="2" t="s">
        <v>1722</v>
      </c>
      <c r="B752" s="2" t="s">
        <v>20</v>
      </c>
      <c r="C752" s="2" t="s">
        <v>9</v>
      </c>
      <c r="D752" s="36">
        <v>365.0</v>
      </c>
      <c r="E752" s="36">
        <v>12000.0</v>
      </c>
      <c r="F752" s="36">
        <v>6942.86</v>
      </c>
      <c r="G752" s="36">
        <v>4380000.0</v>
      </c>
      <c r="H752" s="36">
        <v>2534144.0</v>
      </c>
      <c r="I752" s="36">
        <v>1845856.0</v>
      </c>
    </row>
    <row r="753">
      <c r="A753" s="2" t="s">
        <v>1723</v>
      </c>
      <c r="B753" s="2" t="s">
        <v>20</v>
      </c>
      <c r="C753" s="2" t="s">
        <v>9</v>
      </c>
      <c r="D753" s="36">
        <v>365.0</v>
      </c>
      <c r="E753" s="36">
        <v>12000.0</v>
      </c>
      <c r="F753" s="36">
        <v>6942.86</v>
      </c>
      <c r="G753" s="36">
        <v>4380000.0</v>
      </c>
      <c r="H753" s="36">
        <v>2534144.0</v>
      </c>
      <c r="I753" s="36">
        <v>1845856.0</v>
      </c>
    </row>
    <row r="754">
      <c r="A754" s="2" t="s">
        <v>1724</v>
      </c>
      <c r="B754" s="2" t="s">
        <v>19</v>
      </c>
      <c r="C754" s="2" t="s">
        <v>8</v>
      </c>
      <c r="D754" s="36">
        <v>173.0</v>
      </c>
      <c r="E754" s="36">
        <v>4250.0</v>
      </c>
      <c r="F754" s="36">
        <v>2670.0</v>
      </c>
      <c r="G754" s="36">
        <v>735250.0</v>
      </c>
      <c r="H754" s="36">
        <v>461910.0</v>
      </c>
      <c r="I754" s="36">
        <v>273340.0</v>
      </c>
    </row>
    <row r="755">
      <c r="A755" s="2" t="s">
        <v>1724</v>
      </c>
      <c r="B755" s="2" t="s">
        <v>18</v>
      </c>
      <c r="C755" s="2" t="s">
        <v>6</v>
      </c>
      <c r="D755" s="36">
        <v>489.0</v>
      </c>
      <c r="E755" s="36">
        <v>1800.0</v>
      </c>
      <c r="F755" s="36">
        <v>929.0</v>
      </c>
      <c r="G755" s="36">
        <v>880200.0</v>
      </c>
      <c r="H755" s="36">
        <v>454281.0</v>
      </c>
      <c r="I755" s="36">
        <v>425919.0</v>
      </c>
    </row>
    <row r="756">
      <c r="A756" s="2" t="s">
        <v>1725</v>
      </c>
      <c r="B756" s="2" t="s">
        <v>20</v>
      </c>
      <c r="C756" s="2" t="s">
        <v>9</v>
      </c>
      <c r="D756" s="36">
        <v>95.0</v>
      </c>
      <c r="E756" s="36">
        <v>12000.0</v>
      </c>
      <c r="F756" s="36">
        <v>6942.86</v>
      </c>
      <c r="G756" s="36">
        <v>1140000.0</v>
      </c>
      <c r="H756" s="36">
        <v>659572.0</v>
      </c>
      <c r="I756" s="36">
        <v>480428.0</v>
      </c>
    </row>
    <row r="757">
      <c r="A757" s="2" t="s">
        <v>1726</v>
      </c>
      <c r="B757" s="2" t="s">
        <v>19</v>
      </c>
      <c r="C757" s="2" t="s">
        <v>8</v>
      </c>
      <c r="D757" s="36">
        <v>120.0</v>
      </c>
      <c r="E757" s="36">
        <v>4250.0</v>
      </c>
      <c r="F757" s="36">
        <v>2670.0</v>
      </c>
      <c r="G757" s="36">
        <v>510000.0</v>
      </c>
      <c r="H757" s="36">
        <v>320400.0</v>
      </c>
      <c r="I757" s="36">
        <v>189600.0</v>
      </c>
    </row>
    <row r="758">
      <c r="A758" s="2" t="s">
        <v>1727</v>
      </c>
      <c r="B758" s="2" t="s">
        <v>18</v>
      </c>
      <c r="C758" s="2" t="s">
        <v>6</v>
      </c>
      <c r="D758" s="36">
        <v>379.0</v>
      </c>
      <c r="E758" s="36">
        <v>1800.0</v>
      </c>
      <c r="F758" s="36">
        <v>929.0</v>
      </c>
      <c r="G758" s="36">
        <v>682200.0</v>
      </c>
      <c r="H758" s="36">
        <v>352091.0</v>
      </c>
      <c r="I758" s="36">
        <v>330109.0</v>
      </c>
    </row>
    <row r="759">
      <c r="A759" s="2" t="s">
        <v>1728</v>
      </c>
      <c r="B759" s="2" t="s">
        <v>20</v>
      </c>
      <c r="C759" s="2" t="s">
        <v>9</v>
      </c>
      <c r="D759" s="36">
        <v>876.0</v>
      </c>
      <c r="E759" s="36">
        <v>12000.0</v>
      </c>
      <c r="F759" s="36">
        <v>6942.86</v>
      </c>
      <c r="G759" s="36">
        <v>1.0512E7</v>
      </c>
      <c r="H759" s="36">
        <v>6081945.0</v>
      </c>
      <c r="I759" s="36">
        <v>4430055.0</v>
      </c>
    </row>
    <row r="760">
      <c r="A760" s="2" t="s">
        <v>1728</v>
      </c>
      <c r="B760" s="2" t="s">
        <v>19</v>
      </c>
      <c r="C760" s="2" t="s">
        <v>8</v>
      </c>
      <c r="D760" s="36">
        <v>39.0</v>
      </c>
      <c r="E760" s="36">
        <v>4250.0</v>
      </c>
      <c r="F760" s="36">
        <v>2670.0</v>
      </c>
      <c r="G760" s="36">
        <v>165750.0</v>
      </c>
      <c r="H760" s="36">
        <v>104130.0</v>
      </c>
      <c r="I760" s="36">
        <v>61620.0</v>
      </c>
    </row>
    <row r="761">
      <c r="A761" s="2" t="s">
        <v>1729</v>
      </c>
      <c r="B761" s="2" t="s">
        <v>18</v>
      </c>
      <c r="C761" s="2" t="s">
        <v>6</v>
      </c>
      <c r="D761" s="36">
        <v>430.0</v>
      </c>
      <c r="E761" s="36">
        <v>1800.0</v>
      </c>
      <c r="F761" s="36">
        <v>929.0</v>
      </c>
      <c r="G761" s="36">
        <v>774000.0</v>
      </c>
      <c r="H761" s="36">
        <v>399470.0</v>
      </c>
      <c r="I761" s="36">
        <v>374530.0</v>
      </c>
    </row>
    <row r="762">
      <c r="A762" s="2" t="s">
        <v>1730</v>
      </c>
      <c r="B762" s="2" t="s">
        <v>20</v>
      </c>
      <c r="C762" s="2" t="s">
        <v>9</v>
      </c>
      <c r="D762" s="36">
        <v>58.0</v>
      </c>
      <c r="E762" s="36">
        <v>12000.0</v>
      </c>
      <c r="F762" s="36">
        <v>6942.86</v>
      </c>
      <c r="G762" s="36">
        <v>696000.0</v>
      </c>
      <c r="H762" s="36">
        <v>402686.0</v>
      </c>
      <c r="I762" s="36">
        <v>293314.0</v>
      </c>
    </row>
    <row r="763">
      <c r="A763" s="2" t="s">
        <v>1731</v>
      </c>
      <c r="B763" s="2" t="s">
        <v>19</v>
      </c>
      <c r="C763" s="2" t="s">
        <v>8</v>
      </c>
      <c r="D763" s="36">
        <v>547.0</v>
      </c>
      <c r="E763" s="36">
        <v>4250.0</v>
      </c>
      <c r="F763" s="36">
        <v>2670.0</v>
      </c>
      <c r="G763" s="36">
        <v>2324750.0</v>
      </c>
      <c r="H763" s="36">
        <v>1460490.0</v>
      </c>
      <c r="I763" s="36">
        <v>864260.0</v>
      </c>
    </row>
    <row r="764">
      <c r="A764" s="2" t="s">
        <v>1731</v>
      </c>
      <c r="B764" s="2" t="s">
        <v>18</v>
      </c>
      <c r="C764" s="2" t="s">
        <v>6</v>
      </c>
      <c r="D764" s="36">
        <v>1560.0</v>
      </c>
      <c r="E764" s="36">
        <v>1800.0</v>
      </c>
      <c r="F764" s="36">
        <v>929.0</v>
      </c>
      <c r="G764" s="36">
        <v>2808000.0</v>
      </c>
      <c r="H764" s="36">
        <v>1449240.0</v>
      </c>
      <c r="I764" s="36">
        <v>1358760.0</v>
      </c>
    </row>
    <row r="765">
      <c r="A765" s="2" t="s">
        <v>1732</v>
      </c>
      <c r="B765" s="2" t="s">
        <v>20</v>
      </c>
      <c r="C765" s="2" t="s">
        <v>9</v>
      </c>
      <c r="D765" s="36">
        <v>727.0</v>
      </c>
      <c r="E765" s="36">
        <v>12000.0</v>
      </c>
      <c r="F765" s="36">
        <v>6942.86</v>
      </c>
      <c r="G765" s="36">
        <v>8724000.0</v>
      </c>
      <c r="H765" s="36">
        <v>5047459.0</v>
      </c>
      <c r="I765" s="36">
        <v>3676541.0</v>
      </c>
    </row>
    <row r="766">
      <c r="A766" s="2" t="s">
        <v>1733</v>
      </c>
      <c r="B766" s="2" t="s">
        <v>19</v>
      </c>
      <c r="C766" s="2" t="s">
        <v>8</v>
      </c>
      <c r="D766" s="36">
        <v>254.0</v>
      </c>
      <c r="E766" s="36">
        <v>4250.0</v>
      </c>
      <c r="F766" s="36">
        <v>2670.0</v>
      </c>
      <c r="G766" s="36">
        <v>1079500.0</v>
      </c>
      <c r="H766" s="36">
        <v>678180.0</v>
      </c>
      <c r="I766" s="36">
        <v>401320.0</v>
      </c>
    </row>
    <row r="767">
      <c r="A767" s="2" t="s">
        <v>1734</v>
      </c>
      <c r="B767" s="2" t="s">
        <v>18</v>
      </c>
      <c r="C767" s="2" t="s">
        <v>6</v>
      </c>
      <c r="D767" s="36">
        <v>164.0</v>
      </c>
      <c r="E767" s="36">
        <v>1800.0</v>
      </c>
      <c r="F767" s="36">
        <v>929.0</v>
      </c>
      <c r="G767" s="36">
        <v>295200.0</v>
      </c>
      <c r="H767" s="36">
        <v>152356.0</v>
      </c>
      <c r="I767" s="36">
        <v>142844.0</v>
      </c>
    </row>
    <row r="768">
      <c r="A768" s="2" t="s">
        <v>1735</v>
      </c>
      <c r="B768" s="2" t="s">
        <v>20</v>
      </c>
      <c r="C768" s="2" t="s">
        <v>9</v>
      </c>
      <c r="D768" s="36">
        <v>2409.0</v>
      </c>
      <c r="E768" s="36">
        <v>12000.0</v>
      </c>
      <c r="F768" s="36">
        <v>6942.86</v>
      </c>
      <c r="G768" s="36">
        <v>2.8908E7</v>
      </c>
      <c r="H768" s="36">
        <v>1.672535E7</v>
      </c>
      <c r="I768" s="36">
        <v>1.218265E7</v>
      </c>
    </row>
    <row r="769">
      <c r="A769" s="2" t="s">
        <v>1736</v>
      </c>
      <c r="B769" s="2" t="s">
        <v>20</v>
      </c>
      <c r="C769" s="2" t="s">
        <v>9</v>
      </c>
      <c r="D769" s="36">
        <v>876.0</v>
      </c>
      <c r="E769" s="36">
        <v>12000.0</v>
      </c>
      <c r="F769" s="36">
        <v>6942.86</v>
      </c>
      <c r="G769" s="36">
        <v>1.0512E7</v>
      </c>
      <c r="H769" s="36">
        <v>6081945.0</v>
      </c>
      <c r="I769" s="36">
        <v>4430055.0</v>
      </c>
    </row>
    <row r="770">
      <c r="A770" s="2" t="s">
        <v>1737</v>
      </c>
      <c r="B770" s="2" t="s">
        <v>19</v>
      </c>
      <c r="C770" s="2" t="s">
        <v>8</v>
      </c>
      <c r="D770" s="36">
        <v>39.0</v>
      </c>
      <c r="E770" s="36">
        <v>4250.0</v>
      </c>
      <c r="F770" s="36">
        <v>2670.0</v>
      </c>
      <c r="G770" s="36">
        <v>165750.0</v>
      </c>
      <c r="H770" s="36">
        <v>104130.0</v>
      </c>
      <c r="I770" s="36">
        <v>61620.0</v>
      </c>
    </row>
    <row r="771">
      <c r="A771" s="2" t="s">
        <v>1738</v>
      </c>
      <c r="B771" s="2" t="s">
        <v>18</v>
      </c>
      <c r="C771" s="2" t="s">
        <v>6</v>
      </c>
      <c r="D771" s="36">
        <v>430.0</v>
      </c>
      <c r="E771" s="36">
        <v>1800.0</v>
      </c>
      <c r="F771" s="36">
        <v>929.0</v>
      </c>
      <c r="G771" s="36">
        <v>774000.0</v>
      </c>
      <c r="H771" s="36">
        <v>399470.0</v>
      </c>
      <c r="I771" s="36">
        <v>374530.0</v>
      </c>
    </row>
    <row r="772">
      <c r="A772" s="2" t="s">
        <v>1739</v>
      </c>
      <c r="B772" s="2" t="s">
        <v>20</v>
      </c>
      <c r="C772" s="2" t="s">
        <v>9</v>
      </c>
      <c r="D772" s="36">
        <v>58.0</v>
      </c>
      <c r="E772" s="36">
        <v>12000.0</v>
      </c>
      <c r="F772" s="36">
        <v>6942.86</v>
      </c>
      <c r="G772" s="36">
        <v>696000.0</v>
      </c>
      <c r="H772" s="36">
        <v>402686.0</v>
      </c>
      <c r="I772" s="36">
        <v>293314.0</v>
      </c>
    </row>
    <row r="773">
      <c r="A773" s="2" t="s">
        <v>1740</v>
      </c>
      <c r="B773" s="2" t="s">
        <v>19</v>
      </c>
      <c r="C773" s="2" t="s">
        <v>8</v>
      </c>
      <c r="D773" s="36">
        <v>547.0</v>
      </c>
      <c r="E773" s="36">
        <v>4250.0</v>
      </c>
      <c r="F773" s="36">
        <v>2670.0</v>
      </c>
      <c r="G773" s="36">
        <v>2324750.0</v>
      </c>
      <c r="H773" s="36">
        <v>1460490.0</v>
      </c>
      <c r="I773" s="36">
        <v>864260.0</v>
      </c>
    </row>
    <row r="774">
      <c r="A774" s="2" t="s">
        <v>1741</v>
      </c>
      <c r="B774" s="2" t="s">
        <v>18</v>
      </c>
      <c r="C774" s="2" t="s">
        <v>6</v>
      </c>
      <c r="D774" s="36">
        <v>1560.0</v>
      </c>
      <c r="E774" s="36">
        <v>1800.0</v>
      </c>
      <c r="F774" s="36">
        <v>929.0</v>
      </c>
      <c r="G774" s="36">
        <v>2808000.0</v>
      </c>
      <c r="H774" s="36">
        <v>1449240.0</v>
      </c>
      <c r="I774" s="36">
        <v>1358760.0</v>
      </c>
    </row>
    <row r="775">
      <c r="A775" s="2" t="s">
        <v>1742</v>
      </c>
      <c r="B775" s="2" t="s">
        <v>20</v>
      </c>
      <c r="C775" s="2" t="s">
        <v>9</v>
      </c>
      <c r="D775" s="36">
        <v>727.0</v>
      </c>
      <c r="E775" s="36">
        <v>12000.0</v>
      </c>
      <c r="F775" s="36">
        <v>6942.86</v>
      </c>
      <c r="G775" s="36">
        <v>8724000.0</v>
      </c>
      <c r="H775" s="36">
        <v>5047459.0</v>
      </c>
      <c r="I775" s="36">
        <v>3676541.0</v>
      </c>
    </row>
    <row r="776">
      <c r="A776" s="2" t="s">
        <v>1743</v>
      </c>
      <c r="B776" s="2" t="s">
        <v>19</v>
      </c>
      <c r="C776" s="2" t="s">
        <v>8</v>
      </c>
      <c r="D776" s="36">
        <v>254.0</v>
      </c>
      <c r="E776" s="36">
        <v>4250.0</v>
      </c>
      <c r="F776" s="36">
        <v>2670.0</v>
      </c>
      <c r="G776" s="36">
        <v>1079500.0</v>
      </c>
      <c r="H776" s="36">
        <v>678180.0</v>
      </c>
      <c r="I776" s="36">
        <v>401320.0</v>
      </c>
    </row>
    <row r="777">
      <c r="A777" s="2" t="s">
        <v>1744</v>
      </c>
      <c r="B777" s="2" t="s">
        <v>18</v>
      </c>
      <c r="C777" s="2" t="s">
        <v>6</v>
      </c>
      <c r="D777" s="36">
        <v>164.0</v>
      </c>
      <c r="E777" s="36">
        <v>1800.0</v>
      </c>
      <c r="F777" s="36">
        <v>929.0</v>
      </c>
      <c r="G777" s="36">
        <v>295200.0</v>
      </c>
      <c r="H777" s="36">
        <v>152356.0</v>
      </c>
      <c r="I777" s="36">
        <v>142844.0</v>
      </c>
    </row>
    <row r="778">
      <c r="A778" s="2" t="s">
        <v>1745</v>
      </c>
      <c r="B778" s="2" t="s">
        <v>20</v>
      </c>
      <c r="C778" s="2" t="s">
        <v>9</v>
      </c>
      <c r="D778" s="36">
        <v>2409.0</v>
      </c>
      <c r="E778" s="36">
        <v>12000.0</v>
      </c>
      <c r="F778" s="36">
        <v>6942.86</v>
      </c>
      <c r="G778" s="36">
        <v>2.8908E7</v>
      </c>
      <c r="H778" s="36">
        <v>1.672535E7</v>
      </c>
      <c r="I778" s="36">
        <v>1.218265E7</v>
      </c>
    </row>
    <row r="779">
      <c r="A779" s="2" t="s">
        <v>1746</v>
      </c>
      <c r="B779" s="2" t="s">
        <v>19</v>
      </c>
      <c r="C779" s="2" t="s">
        <v>8</v>
      </c>
      <c r="D779" s="36">
        <v>351.0</v>
      </c>
      <c r="E779" s="36">
        <v>4250.0</v>
      </c>
      <c r="F779" s="36">
        <v>2670.0</v>
      </c>
      <c r="G779" s="36">
        <v>1491750.0</v>
      </c>
      <c r="H779" s="36">
        <v>937170.0</v>
      </c>
      <c r="I779" s="36">
        <v>554580.0</v>
      </c>
    </row>
    <row r="780">
      <c r="A780" s="2" t="s">
        <v>1747</v>
      </c>
      <c r="B780" s="2" t="s">
        <v>18</v>
      </c>
      <c r="C780" s="2" t="s">
        <v>6</v>
      </c>
      <c r="D780" s="36">
        <v>471.0</v>
      </c>
      <c r="E780" s="36">
        <v>1800.0</v>
      </c>
      <c r="F780" s="36">
        <v>929.0</v>
      </c>
      <c r="G780" s="36">
        <v>847800.0</v>
      </c>
      <c r="H780" s="36">
        <v>437559.0</v>
      </c>
      <c r="I780" s="36">
        <v>410241.0</v>
      </c>
    </row>
    <row r="781">
      <c r="A781" s="2" t="s">
        <v>1748</v>
      </c>
      <c r="B781" s="2" t="s">
        <v>20</v>
      </c>
      <c r="C781" s="2" t="s">
        <v>9</v>
      </c>
      <c r="D781" s="36">
        <v>56.0</v>
      </c>
      <c r="E781" s="36">
        <v>12000.0</v>
      </c>
      <c r="F781" s="36">
        <v>6942.86</v>
      </c>
      <c r="G781" s="36">
        <v>672000.0</v>
      </c>
      <c r="H781" s="36">
        <v>388800.0</v>
      </c>
      <c r="I781" s="36">
        <v>283200.0</v>
      </c>
    </row>
    <row r="782">
      <c r="A782" s="2" t="s">
        <v>1749</v>
      </c>
      <c r="B782" s="2" t="s">
        <v>19</v>
      </c>
      <c r="C782" s="2" t="s">
        <v>8</v>
      </c>
      <c r="D782" s="36">
        <v>453.0</v>
      </c>
      <c r="E782" s="36">
        <v>4250.0</v>
      </c>
      <c r="F782" s="36">
        <v>2670.0</v>
      </c>
      <c r="G782" s="36">
        <v>1925250.0</v>
      </c>
      <c r="H782" s="36">
        <v>1209510.0</v>
      </c>
      <c r="I782" s="36">
        <v>715740.0</v>
      </c>
    </row>
    <row r="783">
      <c r="A783" s="2" t="s">
        <v>1750</v>
      </c>
      <c r="B783" s="2" t="s">
        <v>18</v>
      </c>
      <c r="C783" s="2" t="s">
        <v>6</v>
      </c>
      <c r="D783" s="36">
        <v>710.0</v>
      </c>
      <c r="E783" s="36">
        <v>1800.0</v>
      </c>
      <c r="F783" s="36">
        <v>929.0</v>
      </c>
      <c r="G783" s="36">
        <v>1278000.0</v>
      </c>
      <c r="H783" s="36">
        <v>659590.0</v>
      </c>
      <c r="I783" s="36">
        <v>618410.0</v>
      </c>
    </row>
    <row r="784">
      <c r="A784" s="2" t="s">
        <v>1751</v>
      </c>
      <c r="B784" s="2" t="s">
        <v>20</v>
      </c>
      <c r="C784" s="2" t="s">
        <v>9</v>
      </c>
      <c r="D784" s="36">
        <v>2290.0</v>
      </c>
      <c r="E784" s="36">
        <v>12000.0</v>
      </c>
      <c r="F784" s="36">
        <v>6942.86</v>
      </c>
      <c r="G784" s="36">
        <v>2.748E7</v>
      </c>
      <c r="H784" s="36">
        <v>1.5899149E7</v>
      </c>
      <c r="I784" s="36">
        <v>1.1580851E7</v>
      </c>
    </row>
    <row r="785">
      <c r="A785" s="2" t="s">
        <v>1752</v>
      </c>
      <c r="B785" s="2" t="s">
        <v>19</v>
      </c>
      <c r="C785" s="2" t="s">
        <v>8</v>
      </c>
      <c r="D785" s="36">
        <v>129.0</v>
      </c>
      <c r="E785" s="36">
        <v>4250.0</v>
      </c>
      <c r="F785" s="36">
        <v>2670.0</v>
      </c>
      <c r="G785" s="36">
        <v>548250.0</v>
      </c>
      <c r="H785" s="36">
        <v>344430.0</v>
      </c>
      <c r="I785" s="36">
        <v>203820.0</v>
      </c>
    </row>
    <row r="786">
      <c r="A786" s="2" t="s">
        <v>1753</v>
      </c>
      <c r="B786" s="2" t="s">
        <v>18</v>
      </c>
      <c r="C786" s="2" t="s">
        <v>6</v>
      </c>
      <c r="D786" s="36">
        <v>657.0</v>
      </c>
      <c r="E786" s="36">
        <v>1800.0</v>
      </c>
      <c r="F786" s="36">
        <v>929.0</v>
      </c>
      <c r="G786" s="36">
        <v>1182600.0</v>
      </c>
      <c r="H786" s="36">
        <v>610353.0</v>
      </c>
      <c r="I786" s="36">
        <v>572247.0</v>
      </c>
    </row>
    <row r="787">
      <c r="A787" s="2" t="s">
        <v>1754</v>
      </c>
      <c r="B787" s="2" t="s">
        <v>20</v>
      </c>
      <c r="C787" s="2" t="s">
        <v>9</v>
      </c>
      <c r="D787" s="36">
        <v>78.0</v>
      </c>
      <c r="E787" s="36">
        <v>12000.0</v>
      </c>
      <c r="F787" s="36">
        <v>6942.86</v>
      </c>
      <c r="G787" s="36">
        <v>936000.0</v>
      </c>
      <c r="H787" s="36">
        <v>541543.0</v>
      </c>
      <c r="I787" s="36">
        <v>394457.0</v>
      </c>
    </row>
    <row r="788">
      <c r="A788" s="2" t="s">
        <v>1755</v>
      </c>
      <c r="B788" s="2" t="s">
        <v>19</v>
      </c>
      <c r="C788" s="2" t="s">
        <v>8</v>
      </c>
      <c r="D788" s="36">
        <v>1597.0</v>
      </c>
      <c r="E788" s="36">
        <v>4250.0</v>
      </c>
      <c r="F788" s="36">
        <v>2670.0</v>
      </c>
      <c r="G788" s="36">
        <v>6787250.0</v>
      </c>
      <c r="H788" s="36">
        <v>4263990.0</v>
      </c>
      <c r="I788" s="36">
        <v>2523260.0</v>
      </c>
    </row>
    <row r="789">
      <c r="A789" s="2" t="s">
        <v>1756</v>
      </c>
      <c r="B789" s="2" t="s">
        <v>18</v>
      </c>
      <c r="C789" s="2" t="s">
        <v>6</v>
      </c>
      <c r="D789" s="36">
        <v>153.0</v>
      </c>
      <c r="E789" s="36">
        <v>1800.0</v>
      </c>
      <c r="F789" s="36">
        <v>929.0</v>
      </c>
      <c r="G789" s="36">
        <v>275400.0</v>
      </c>
      <c r="H789" s="36">
        <v>142137.0</v>
      </c>
      <c r="I789" s="36">
        <v>133263.0</v>
      </c>
    </row>
    <row r="790">
      <c r="A790" s="2" t="s">
        <v>1757</v>
      </c>
      <c r="B790" s="2" t="s">
        <v>20</v>
      </c>
      <c r="C790" s="2" t="s">
        <v>9</v>
      </c>
      <c r="D790" s="36">
        <v>1681.0</v>
      </c>
      <c r="E790" s="36">
        <v>12000.0</v>
      </c>
      <c r="F790" s="36">
        <v>6942.86</v>
      </c>
      <c r="G790" s="36">
        <v>2.0172E7</v>
      </c>
      <c r="H790" s="36">
        <v>1.1670948E7</v>
      </c>
      <c r="I790" s="36">
        <v>8501052.0</v>
      </c>
    </row>
    <row r="791">
      <c r="A791" s="2" t="s">
        <v>1758</v>
      </c>
      <c r="B791" s="2" t="s">
        <v>19</v>
      </c>
      <c r="C791" s="2" t="s">
        <v>8</v>
      </c>
      <c r="D791" s="36">
        <v>510.0</v>
      </c>
      <c r="E791" s="36">
        <v>4250.0</v>
      </c>
      <c r="F791" s="36">
        <v>2670.0</v>
      </c>
      <c r="G791" s="36">
        <v>2167500.0</v>
      </c>
      <c r="H791" s="36">
        <v>1361700.0</v>
      </c>
      <c r="I791" s="36">
        <v>805800.0</v>
      </c>
    </row>
    <row r="792">
      <c r="A792" s="2" t="s">
        <v>1759</v>
      </c>
      <c r="B792" s="2" t="s">
        <v>18</v>
      </c>
      <c r="C792" s="2" t="s">
        <v>6</v>
      </c>
      <c r="D792" s="36">
        <v>254.0</v>
      </c>
      <c r="E792" s="36">
        <v>1800.0</v>
      </c>
      <c r="F792" s="36">
        <v>929.0</v>
      </c>
      <c r="G792" s="36">
        <v>457200.0</v>
      </c>
      <c r="H792" s="36">
        <v>235966.0</v>
      </c>
      <c r="I792" s="36">
        <v>221234.0</v>
      </c>
    </row>
    <row r="793">
      <c r="A793" s="2" t="s">
        <v>1760</v>
      </c>
      <c r="B793" s="2" t="s">
        <v>18</v>
      </c>
      <c r="C793" s="2" t="s">
        <v>6</v>
      </c>
      <c r="D793" s="36">
        <v>631.0</v>
      </c>
      <c r="E793" s="36">
        <v>1800.0</v>
      </c>
      <c r="F793" s="36">
        <v>929.0</v>
      </c>
      <c r="G793" s="36">
        <v>1135800.0</v>
      </c>
      <c r="H793" s="36">
        <v>586199.0</v>
      </c>
      <c r="I793" s="36">
        <v>549601.0</v>
      </c>
    </row>
    <row r="794">
      <c r="A794" s="2" t="s">
        <v>1761</v>
      </c>
      <c r="B794" s="2" t="s">
        <v>19</v>
      </c>
      <c r="C794" s="2" t="s">
        <v>8</v>
      </c>
      <c r="D794" s="36">
        <v>427.0</v>
      </c>
      <c r="E794" s="36">
        <v>4250.0</v>
      </c>
      <c r="F794" s="36">
        <v>2670.0</v>
      </c>
      <c r="G794" s="36">
        <v>1814750.0</v>
      </c>
      <c r="H794" s="36">
        <v>1140090.0</v>
      </c>
      <c r="I794" s="36">
        <v>674660.0</v>
      </c>
    </row>
    <row r="795">
      <c r="A795" s="2" t="s">
        <v>1761</v>
      </c>
      <c r="B795" s="2" t="s">
        <v>20</v>
      </c>
      <c r="C795" s="2" t="s">
        <v>9</v>
      </c>
      <c r="D795" s="36">
        <v>668.0</v>
      </c>
      <c r="E795" s="36">
        <v>12000.0</v>
      </c>
      <c r="F795" s="36">
        <v>6942.86</v>
      </c>
      <c r="G795" s="36">
        <v>8016000.0</v>
      </c>
      <c r="H795" s="36">
        <v>4637830.0</v>
      </c>
      <c r="I795" s="36">
        <v>3378170.0</v>
      </c>
    </row>
    <row r="796">
      <c r="A796" s="2" t="s">
        <v>1762</v>
      </c>
      <c r="B796" s="2" t="s">
        <v>20</v>
      </c>
      <c r="C796" s="2" t="s">
        <v>9</v>
      </c>
      <c r="D796" s="36">
        <v>668.0</v>
      </c>
      <c r="E796" s="36">
        <v>12000.0</v>
      </c>
      <c r="F796" s="36">
        <v>6942.86</v>
      </c>
      <c r="G796" s="36">
        <v>8016000.0</v>
      </c>
      <c r="H796" s="36">
        <v>4637830.0</v>
      </c>
      <c r="I796" s="36">
        <v>3378170.0</v>
      </c>
    </row>
    <row r="797">
      <c r="A797" s="2" t="s">
        <v>1763</v>
      </c>
      <c r="B797" s="2" t="s">
        <v>19</v>
      </c>
      <c r="C797" s="2" t="s">
        <v>8</v>
      </c>
      <c r="D797" s="36">
        <v>427.0</v>
      </c>
      <c r="E797" s="36">
        <v>4250.0</v>
      </c>
      <c r="F797" s="36">
        <v>2670.0</v>
      </c>
      <c r="G797" s="36">
        <v>1814750.0</v>
      </c>
      <c r="H797" s="36">
        <v>1140090.0</v>
      </c>
      <c r="I797" s="36">
        <v>674660.0</v>
      </c>
    </row>
    <row r="798">
      <c r="A798" s="2" t="s">
        <v>1764</v>
      </c>
      <c r="B798" s="2" t="s">
        <v>18</v>
      </c>
      <c r="C798" s="2" t="s">
        <v>6</v>
      </c>
      <c r="D798" s="36">
        <v>631.0</v>
      </c>
      <c r="E798" s="36">
        <v>1800.0</v>
      </c>
      <c r="F798" s="36">
        <v>929.0</v>
      </c>
      <c r="G798" s="36">
        <v>1135800.0</v>
      </c>
      <c r="H798" s="36">
        <v>586199.0</v>
      </c>
      <c r="I798" s="36">
        <v>549601.0</v>
      </c>
    </row>
    <row r="799">
      <c r="A799" s="2" t="s">
        <v>1765</v>
      </c>
      <c r="B799" s="2" t="s">
        <v>20</v>
      </c>
      <c r="C799" s="2" t="s">
        <v>9</v>
      </c>
      <c r="D799" s="36">
        <v>98.0</v>
      </c>
      <c r="E799" s="36">
        <v>12000.0</v>
      </c>
      <c r="F799" s="36">
        <v>6942.86</v>
      </c>
      <c r="G799" s="36">
        <v>1176000.0</v>
      </c>
      <c r="H799" s="36">
        <v>680400.0</v>
      </c>
      <c r="I799" s="36">
        <v>495600.0</v>
      </c>
    </row>
    <row r="800">
      <c r="A800" s="2" t="s">
        <v>1766</v>
      </c>
      <c r="B800" s="2" t="s">
        <v>19</v>
      </c>
      <c r="C800" s="2" t="s">
        <v>8</v>
      </c>
      <c r="D800" s="36">
        <v>948.0</v>
      </c>
      <c r="E800" s="36">
        <v>4250.0</v>
      </c>
      <c r="F800" s="36">
        <v>2670.0</v>
      </c>
      <c r="G800" s="36">
        <v>4029000.0</v>
      </c>
      <c r="H800" s="36">
        <v>2531160.0</v>
      </c>
      <c r="I800" s="36">
        <v>1497840.0</v>
      </c>
    </row>
    <row r="801">
      <c r="A801" s="2" t="s">
        <v>1766</v>
      </c>
      <c r="B801" s="2" t="s">
        <v>18</v>
      </c>
      <c r="C801" s="2" t="s">
        <v>6</v>
      </c>
      <c r="D801" s="36">
        <v>655.0</v>
      </c>
      <c r="E801" s="36">
        <v>1800.0</v>
      </c>
      <c r="F801" s="36">
        <v>929.0</v>
      </c>
      <c r="G801" s="36">
        <v>1179000.0</v>
      </c>
      <c r="H801" s="36">
        <v>608495.0</v>
      </c>
      <c r="I801" s="36">
        <v>570505.0</v>
      </c>
    </row>
    <row r="802">
      <c r="A802" s="2" t="s">
        <v>1767</v>
      </c>
      <c r="B802" s="2" t="s">
        <v>20</v>
      </c>
      <c r="C802" s="2" t="s">
        <v>9</v>
      </c>
      <c r="D802" s="36">
        <v>238.0</v>
      </c>
      <c r="E802" s="36">
        <v>12000.0</v>
      </c>
      <c r="F802" s="36">
        <v>6942.86</v>
      </c>
      <c r="G802" s="36">
        <v>2856000.0</v>
      </c>
      <c r="H802" s="36">
        <v>1652401.0</v>
      </c>
      <c r="I802" s="36">
        <v>1203599.0</v>
      </c>
    </row>
    <row r="803">
      <c r="A803" s="2" t="s">
        <v>1768</v>
      </c>
      <c r="B803" s="2" t="s">
        <v>19</v>
      </c>
      <c r="C803" s="2" t="s">
        <v>8</v>
      </c>
      <c r="D803" s="36">
        <v>1209.0</v>
      </c>
      <c r="E803" s="36">
        <v>4250.0</v>
      </c>
      <c r="F803" s="36">
        <v>2670.0</v>
      </c>
      <c r="G803" s="36">
        <v>5138250.0</v>
      </c>
      <c r="H803" s="36">
        <v>3228030.0</v>
      </c>
      <c r="I803" s="36">
        <v>1910220.0</v>
      </c>
    </row>
    <row r="804">
      <c r="A804" s="2" t="s">
        <v>1769</v>
      </c>
      <c r="B804" s="2" t="s">
        <v>18</v>
      </c>
      <c r="C804" s="2" t="s">
        <v>6</v>
      </c>
      <c r="D804" s="36">
        <v>614.0</v>
      </c>
      <c r="E804" s="36">
        <v>1800.0</v>
      </c>
      <c r="F804" s="36">
        <v>929.0</v>
      </c>
      <c r="G804" s="36">
        <v>1105200.0</v>
      </c>
      <c r="H804" s="36">
        <v>570406.0</v>
      </c>
      <c r="I804" s="36">
        <v>534794.0</v>
      </c>
    </row>
    <row r="805">
      <c r="A805" s="2" t="s">
        <v>1770</v>
      </c>
      <c r="B805" s="2" t="s">
        <v>20</v>
      </c>
      <c r="C805" s="2" t="s">
        <v>9</v>
      </c>
      <c r="D805" s="36">
        <v>218.0</v>
      </c>
      <c r="E805" s="36">
        <v>12000.0</v>
      </c>
      <c r="F805" s="36">
        <v>6942.86</v>
      </c>
      <c r="G805" s="36">
        <v>2616000.0</v>
      </c>
      <c r="H805" s="36">
        <v>1513543.0</v>
      </c>
      <c r="I805" s="36">
        <v>1102457.0</v>
      </c>
    </row>
    <row r="806">
      <c r="A806" s="2" t="s">
        <v>1771</v>
      </c>
      <c r="B806" s="2" t="s">
        <v>19</v>
      </c>
      <c r="C806" s="2" t="s">
        <v>8</v>
      </c>
      <c r="D806" s="36">
        <v>105.0</v>
      </c>
      <c r="E806" s="36">
        <v>4250.0</v>
      </c>
      <c r="F806" s="36">
        <v>2670.0</v>
      </c>
      <c r="G806" s="36">
        <v>446250.0</v>
      </c>
      <c r="H806" s="36">
        <v>280350.0</v>
      </c>
      <c r="I806" s="36">
        <v>165900.0</v>
      </c>
    </row>
    <row r="807">
      <c r="A807" s="2" t="s">
        <v>1772</v>
      </c>
      <c r="B807" s="2" t="s">
        <v>18</v>
      </c>
      <c r="C807" s="2" t="s">
        <v>6</v>
      </c>
      <c r="D807" s="36">
        <v>84.0</v>
      </c>
      <c r="E807" s="36">
        <v>1800.0</v>
      </c>
      <c r="F807" s="36">
        <v>929.0</v>
      </c>
      <c r="G807" s="36">
        <v>151200.0</v>
      </c>
      <c r="H807" s="36">
        <v>78036.0</v>
      </c>
      <c r="I807" s="36">
        <v>73164.0</v>
      </c>
    </row>
    <row r="808">
      <c r="A808" s="2" t="s">
        <v>1773</v>
      </c>
      <c r="B808" s="2" t="s">
        <v>20</v>
      </c>
      <c r="C808" s="2" t="s">
        <v>9</v>
      </c>
      <c r="D808" s="36">
        <v>653.0</v>
      </c>
      <c r="E808" s="36">
        <v>12000.0</v>
      </c>
      <c r="F808" s="36">
        <v>6942.86</v>
      </c>
      <c r="G808" s="36">
        <v>7836000.0</v>
      </c>
      <c r="H808" s="36">
        <v>4533688.0</v>
      </c>
      <c r="I808" s="36">
        <v>3302312.0</v>
      </c>
    </row>
    <row r="809">
      <c r="A809" s="2" t="s">
        <v>1774</v>
      </c>
      <c r="B809" s="2" t="s">
        <v>20</v>
      </c>
      <c r="C809" s="2" t="s">
        <v>9</v>
      </c>
      <c r="D809" s="36">
        <v>98.0</v>
      </c>
      <c r="E809" s="36">
        <v>12000.0</v>
      </c>
      <c r="F809" s="36">
        <v>6942.86</v>
      </c>
      <c r="G809" s="36">
        <v>1176000.0</v>
      </c>
      <c r="H809" s="36">
        <v>680400.0</v>
      </c>
      <c r="I809" s="36">
        <v>495600.0</v>
      </c>
    </row>
    <row r="810">
      <c r="A810" s="2" t="s">
        <v>1775</v>
      </c>
      <c r="B810" s="2" t="s">
        <v>19</v>
      </c>
      <c r="C810" s="2" t="s">
        <v>8</v>
      </c>
      <c r="D810" s="36">
        <v>948.0</v>
      </c>
      <c r="E810" s="36">
        <v>4250.0</v>
      </c>
      <c r="F810" s="36">
        <v>2670.0</v>
      </c>
      <c r="G810" s="36">
        <v>4029000.0</v>
      </c>
      <c r="H810" s="36">
        <v>2531160.0</v>
      </c>
      <c r="I810" s="36">
        <v>1497840.0</v>
      </c>
    </row>
    <row r="811">
      <c r="A811" s="2" t="s">
        <v>1776</v>
      </c>
      <c r="B811" s="2" t="s">
        <v>18</v>
      </c>
      <c r="C811" s="2" t="s">
        <v>6</v>
      </c>
      <c r="D811" s="36">
        <v>655.0</v>
      </c>
      <c r="E811" s="36">
        <v>1800.0</v>
      </c>
      <c r="F811" s="36">
        <v>929.0</v>
      </c>
      <c r="G811" s="36">
        <v>1179000.0</v>
      </c>
      <c r="H811" s="36">
        <v>608495.0</v>
      </c>
      <c r="I811" s="36">
        <v>570505.0</v>
      </c>
    </row>
    <row r="812">
      <c r="A812" s="2" t="s">
        <v>1777</v>
      </c>
      <c r="B812" s="2" t="s">
        <v>20</v>
      </c>
      <c r="C812" s="2" t="s">
        <v>9</v>
      </c>
      <c r="D812" s="36">
        <v>238.0</v>
      </c>
      <c r="E812" s="36">
        <v>12000.0</v>
      </c>
      <c r="F812" s="36">
        <v>6942.86</v>
      </c>
      <c r="G812" s="36">
        <v>2856000.0</v>
      </c>
      <c r="H812" s="36">
        <v>1652401.0</v>
      </c>
      <c r="I812" s="36">
        <v>1203599.0</v>
      </c>
    </row>
    <row r="813">
      <c r="A813" s="2" t="s">
        <v>1778</v>
      </c>
      <c r="B813" s="2" t="s">
        <v>19</v>
      </c>
      <c r="C813" s="2" t="s">
        <v>8</v>
      </c>
      <c r="D813" s="36">
        <v>1209.0</v>
      </c>
      <c r="E813" s="36">
        <v>4250.0</v>
      </c>
      <c r="F813" s="36">
        <v>2670.0</v>
      </c>
      <c r="G813" s="36">
        <v>5138250.0</v>
      </c>
      <c r="H813" s="36">
        <v>3228030.0</v>
      </c>
      <c r="I813" s="36">
        <v>1910220.0</v>
      </c>
    </row>
    <row r="814">
      <c r="A814" s="2" t="s">
        <v>1779</v>
      </c>
      <c r="B814" s="2" t="s">
        <v>18</v>
      </c>
      <c r="C814" s="2" t="s">
        <v>6</v>
      </c>
      <c r="D814" s="36">
        <v>614.0</v>
      </c>
      <c r="E814" s="36">
        <v>1800.0</v>
      </c>
      <c r="F814" s="36">
        <v>929.0</v>
      </c>
      <c r="G814" s="36">
        <v>1105200.0</v>
      </c>
      <c r="H814" s="36">
        <v>570406.0</v>
      </c>
      <c r="I814" s="36">
        <v>534794.0</v>
      </c>
    </row>
    <row r="815">
      <c r="A815" s="2" t="s">
        <v>1780</v>
      </c>
      <c r="B815" s="2" t="s">
        <v>20</v>
      </c>
      <c r="C815" s="2" t="s">
        <v>9</v>
      </c>
      <c r="D815" s="36">
        <v>218.0</v>
      </c>
      <c r="E815" s="36">
        <v>12000.0</v>
      </c>
      <c r="F815" s="36">
        <v>6942.86</v>
      </c>
      <c r="G815" s="36">
        <v>2616000.0</v>
      </c>
      <c r="H815" s="36">
        <v>1513543.0</v>
      </c>
      <c r="I815" s="36">
        <v>1102457.0</v>
      </c>
    </row>
    <row r="816">
      <c r="A816" s="2" t="s">
        <v>1780</v>
      </c>
      <c r="B816" s="2" t="s">
        <v>19</v>
      </c>
      <c r="C816" s="2" t="s">
        <v>8</v>
      </c>
      <c r="D816" s="36">
        <v>105.0</v>
      </c>
      <c r="E816" s="36">
        <v>4250.0</v>
      </c>
      <c r="F816" s="36">
        <v>2670.0</v>
      </c>
      <c r="G816" s="36">
        <v>446250.0</v>
      </c>
      <c r="H816" s="36">
        <v>280350.0</v>
      </c>
      <c r="I816" s="36">
        <v>165900.0</v>
      </c>
    </row>
    <row r="817">
      <c r="A817" s="2" t="s">
        <v>1781</v>
      </c>
      <c r="B817" s="2" t="s">
        <v>18</v>
      </c>
      <c r="C817" s="2" t="s">
        <v>6</v>
      </c>
      <c r="D817" s="36">
        <v>84.0</v>
      </c>
      <c r="E817" s="36">
        <v>1800.0</v>
      </c>
      <c r="F817" s="36">
        <v>929.0</v>
      </c>
      <c r="G817" s="36">
        <v>151200.0</v>
      </c>
      <c r="H817" s="36">
        <v>78036.0</v>
      </c>
      <c r="I817" s="36">
        <v>73164.0</v>
      </c>
    </row>
    <row r="818">
      <c r="A818" s="2" t="s">
        <v>1782</v>
      </c>
      <c r="B818" s="2" t="s">
        <v>20</v>
      </c>
      <c r="C818" s="2" t="s">
        <v>9</v>
      </c>
      <c r="D818" s="36">
        <v>653.0</v>
      </c>
      <c r="E818" s="36">
        <v>12000.0</v>
      </c>
      <c r="F818" s="36">
        <v>6942.86</v>
      </c>
      <c r="G818" s="36">
        <v>7836000.0</v>
      </c>
      <c r="H818" s="36">
        <v>4533688.0</v>
      </c>
      <c r="I818" s="36">
        <v>3302312.0</v>
      </c>
    </row>
    <row r="819">
      <c r="A819" s="2" t="s">
        <v>1783</v>
      </c>
      <c r="B819" s="2" t="s">
        <v>19</v>
      </c>
      <c r="C819" s="2" t="s">
        <v>8</v>
      </c>
      <c r="D819" s="36">
        <v>155.0</v>
      </c>
      <c r="E819" s="36">
        <v>4250.0</v>
      </c>
      <c r="F819" s="36">
        <v>2670.0</v>
      </c>
      <c r="G819" s="36">
        <v>658750.0</v>
      </c>
      <c r="H819" s="36">
        <v>413850.0</v>
      </c>
      <c r="I819" s="36">
        <v>244900.0</v>
      </c>
    </row>
    <row r="820">
      <c r="A820" s="2" t="s">
        <v>1784</v>
      </c>
      <c r="B820" s="2" t="s">
        <v>18</v>
      </c>
      <c r="C820" s="2" t="s">
        <v>6</v>
      </c>
      <c r="D820" s="36">
        <v>369.0</v>
      </c>
      <c r="E820" s="36">
        <v>1800.0</v>
      </c>
      <c r="F820" s="36">
        <v>929.0</v>
      </c>
      <c r="G820" s="36">
        <v>664200.0</v>
      </c>
      <c r="H820" s="36">
        <v>342801.0</v>
      </c>
      <c r="I820" s="36">
        <v>321399.0</v>
      </c>
    </row>
    <row r="821">
      <c r="A821" s="2" t="s">
        <v>1785</v>
      </c>
      <c r="B821" s="2" t="s">
        <v>20</v>
      </c>
      <c r="C821" s="2" t="s">
        <v>9</v>
      </c>
      <c r="D821" s="36">
        <v>674.0</v>
      </c>
      <c r="E821" s="36">
        <v>12000.0</v>
      </c>
      <c r="F821" s="36">
        <v>6942.86</v>
      </c>
      <c r="G821" s="36">
        <v>8088000.0</v>
      </c>
      <c r="H821" s="36">
        <v>4679488.0</v>
      </c>
      <c r="I821" s="36">
        <v>3408512.0</v>
      </c>
    </row>
    <row r="822">
      <c r="A822" s="2" t="s">
        <v>1786</v>
      </c>
      <c r="B822" s="2" t="s">
        <v>19</v>
      </c>
      <c r="C822" s="2" t="s">
        <v>8</v>
      </c>
      <c r="D822" s="36">
        <v>120.0</v>
      </c>
      <c r="E822" s="36">
        <v>4250.0</v>
      </c>
      <c r="F822" s="36">
        <v>2670.0</v>
      </c>
      <c r="G822" s="36">
        <v>510000.0</v>
      </c>
      <c r="H822" s="36">
        <v>320400.0</v>
      </c>
      <c r="I822" s="36">
        <v>189600.0</v>
      </c>
    </row>
    <row r="823">
      <c r="A823" s="2" t="s">
        <v>1787</v>
      </c>
      <c r="B823" s="2" t="s">
        <v>18</v>
      </c>
      <c r="C823" s="2" t="s">
        <v>6</v>
      </c>
      <c r="D823" s="36">
        <v>283.0</v>
      </c>
      <c r="E823" s="36">
        <v>1800.0</v>
      </c>
      <c r="F823" s="36">
        <v>929.0</v>
      </c>
      <c r="G823" s="36">
        <v>509400.0</v>
      </c>
      <c r="H823" s="36">
        <v>262907.0</v>
      </c>
      <c r="I823" s="36">
        <v>246493.0</v>
      </c>
    </row>
    <row r="824">
      <c r="A824" s="2" t="s">
        <v>1788</v>
      </c>
      <c r="B824" s="2" t="s">
        <v>18</v>
      </c>
      <c r="C824" s="2" t="s">
        <v>6</v>
      </c>
      <c r="D824" s="36">
        <v>163.0</v>
      </c>
      <c r="E824" s="36">
        <v>1800.0</v>
      </c>
      <c r="F824" s="36">
        <v>929.0</v>
      </c>
      <c r="G824" s="36">
        <v>293400.0</v>
      </c>
      <c r="H824" s="36">
        <v>151427.0</v>
      </c>
      <c r="I824" s="36">
        <v>141973.0</v>
      </c>
    </row>
    <row r="825">
      <c r="A825" s="2" t="s">
        <v>1788</v>
      </c>
      <c r="B825" s="2" t="s">
        <v>19</v>
      </c>
      <c r="C825" s="2" t="s">
        <v>8</v>
      </c>
      <c r="D825" s="36">
        <v>838.0</v>
      </c>
      <c r="E825" s="36">
        <v>4250.0</v>
      </c>
      <c r="F825" s="36">
        <v>2670.0</v>
      </c>
      <c r="G825" s="36">
        <v>3561500.0</v>
      </c>
      <c r="H825" s="36">
        <v>2237460.0</v>
      </c>
      <c r="I825" s="36">
        <v>1324040.0</v>
      </c>
    </row>
    <row r="826">
      <c r="A826" s="2" t="s">
        <v>1788</v>
      </c>
      <c r="B826" s="2" t="s">
        <v>20</v>
      </c>
      <c r="C826" s="2" t="s">
        <v>9</v>
      </c>
      <c r="D826" s="36">
        <v>772.0</v>
      </c>
      <c r="E826" s="36">
        <v>12000.0</v>
      </c>
      <c r="F826" s="36">
        <v>6942.86</v>
      </c>
      <c r="G826" s="36">
        <v>9264000.0</v>
      </c>
      <c r="H826" s="36">
        <v>5359888.0</v>
      </c>
      <c r="I826" s="36">
        <v>3904112.0</v>
      </c>
    </row>
    <row r="827">
      <c r="A827" s="2" t="s">
        <v>1789</v>
      </c>
      <c r="B827" s="2" t="s">
        <v>20</v>
      </c>
      <c r="C827" s="2" t="s">
        <v>9</v>
      </c>
      <c r="D827" s="36">
        <v>772.0</v>
      </c>
      <c r="E827" s="36">
        <v>12000.0</v>
      </c>
      <c r="F827" s="36">
        <v>6942.86</v>
      </c>
      <c r="G827" s="36">
        <v>9264000.0</v>
      </c>
      <c r="H827" s="36">
        <v>5359888.0</v>
      </c>
      <c r="I827" s="36">
        <v>3904112.0</v>
      </c>
    </row>
    <row r="828">
      <c r="A828" s="2" t="s">
        <v>1790</v>
      </c>
      <c r="B828" s="2" t="s">
        <v>19</v>
      </c>
      <c r="C828" s="2" t="s">
        <v>8</v>
      </c>
      <c r="D828" s="36">
        <v>838.0</v>
      </c>
      <c r="E828" s="36">
        <v>4250.0</v>
      </c>
      <c r="F828" s="36">
        <v>2670.0</v>
      </c>
      <c r="G828" s="36">
        <v>3561500.0</v>
      </c>
      <c r="H828" s="36">
        <v>2237460.0</v>
      </c>
      <c r="I828" s="36">
        <v>1324040.0</v>
      </c>
    </row>
    <row r="829">
      <c r="A829" s="2" t="s">
        <v>1790</v>
      </c>
      <c r="B829" s="2" t="s">
        <v>18</v>
      </c>
      <c r="C829" s="2" t="s">
        <v>6</v>
      </c>
      <c r="D829" s="36">
        <v>163.0</v>
      </c>
      <c r="E829" s="36">
        <v>1800.0</v>
      </c>
      <c r="F829" s="36">
        <v>929.0</v>
      </c>
      <c r="G829" s="36">
        <v>293400.0</v>
      </c>
      <c r="H829" s="36">
        <v>151427.0</v>
      </c>
      <c r="I829" s="36">
        <v>141973.0</v>
      </c>
    </row>
    <row r="830">
      <c r="A830" s="2" t="s">
        <v>1791</v>
      </c>
      <c r="B830" s="2" t="s">
        <v>20</v>
      </c>
      <c r="C830" s="2" t="s">
        <v>9</v>
      </c>
      <c r="D830" s="36">
        <v>710.0</v>
      </c>
      <c r="E830" s="36">
        <v>12000.0</v>
      </c>
      <c r="F830" s="36">
        <v>6942.86</v>
      </c>
      <c r="G830" s="36">
        <v>8520000.0</v>
      </c>
      <c r="H830" s="36">
        <v>4929431.0</v>
      </c>
      <c r="I830" s="36">
        <v>3590569.0</v>
      </c>
    </row>
    <row r="831">
      <c r="A831" s="2" t="s">
        <v>1791</v>
      </c>
      <c r="B831" s="2" t="s">
        <v>19</v>
      </c>
      <c r="C831" s="2" t="s">
        <v>8</v>
      </c>
      <c r="D831" s="36">
        <v>2098.0</v>
      </c>
      <c r="E831" s="36">
        <v>4250.0</v>
      </c>
      <c r="F831" s="36">
        <v>2670.0</v>
      </c>
      <c r="G831" s="36">
        <v>8916500.0</v>
      </c>
      <c r="H831" s="36">
        <v>5601660.0</v>
      </c>
      <c r="I831" s="36">
        <v>3314840.0</v>
      </c>
    </row>
    <row r="832">
      <c r="A832" s="2" t="s">
        <v>1792</v>
      </c>
      <c r="B832" s="2" t="s">
        <v>18</v>
      </c>
      <c r="C832" s="2" t="s">
        <v>6</v>
      </c>
      <c r="D832" s="36">
        <v>2008.0</v>
      </c>
      <c r="E832" s="36">
        <v>1800.0</v>
      </c>
      <c r="F832" s="36">
        <v>929.0</v>
      </c>
      <c r="G832" s="36">
        <v>3614400.0</v>
      </c>
      <c r="H832" s="36">
        <v>1865432.0</v>
      </c>
      <c r="I832" s="36">
        <v>1748968.0</v>
      </c>
    </row>
    <row r="833">
      <c r="A833" s="2" t="s">
        <v>1793</v>
      </c>
      <c r="B833" s="2" t="s">
        <v>20</v>
      </c>
      <c r="C833" s="2" t="s">
        <v>9</v>
      </c>
      <c r="D833" s="36">
        <v>381.0</v>
      </c>
      <c r="E833" s="36">
        <v>12000.0</v>
      </c>
      <c r="F833" s="36">
        <v>6942.86</v>
      </c>
      <c r="G833" s="36">
        <v>4572000.0</v>
      </c>
      <c r="H833" s="36">
        <v>2645230.0</v>
      </c>
      <c r="I833" s="36">
        <v>1926770.0</v>
      </c>
    </row>
    <row r="834">
      <c r="A834" s="2" t="s">
        <v>1794</v>
      </c>
      <c r="B834" s="2" t="s">
        <v>19</v>
      </c>
      <c r="C834" s="2" t="s">
        <v>8</v>
      </c>
      <c r="D834" s="36">
        <v>2026.0</v>
      </c>
      <c r="E834" s="36">
        <v>4250.0</v>
      </c>
      <c r="F834" s="36">
        <v>2670.0</v>
      </c>
      <c r="G834" s="36">
        <v>8610500.0</v>
      </c>
      <c r="H834" s="36">
        <v>5409420.0</v>
      </c>
      <c r="I834" s="36">
        <v>3201080.0</v>
      </c>
    </row>
    <row r="835">
      <c r="A835" s="2" t="s">
        <v>1794</v>
      </c>
      <c r="B835" s="2" t="s">
        <v>18</v>
      </c>
      <c r="C835" s="2" t="s">
        <v>6</v>
      </c>
      <c r="D835" s="36">
        <v>403.0</v>
      </c>
      <c r="E835" s="36">
        <v>1800.0</v>
      </c>
      <c r="F835" s="36">
        <v>929.0</v>
      </c>
      <c r="G835" s="36">
        <v>725400.0</v>
      </c>
      <c r="H835" s="36">
        <v>374387.0</v>
      </c>
      <c r="I835" s="36">
        <v>351013.0</v>
      </c>
    </row>
    <row r="836">
      <c r="A836" s="2" t="s">
        <v>1795</v>
      </c>
      <c r="B836" s="2" t="s">
        <v>20</v>
      </c>
      <c r="C836" s="2" t="s">
        <v>9</v>
      </c>
      <c r="D836" s="36">
        <v>514.0</v>
      </c>
      <c r="E836" s="36">
        <v>12000.0</v>
      </c>
      <c r="F836" s="36">
        <v>6942.86</v>
      </c>
      <c r="G836" s="36">
        <v>6168000.0</v>
      </c>
      <c r="H836" s="36">
        <v>3568630.0</v>
      </c>
      <c r="I836" s="36">
        <v>2599370.0</v>
      </c>
    </row>
    <row r="837">
      <c r="A837" s="2" t="s">
        <v>1796</v>
      </c>
      <c r="B837" s="2" t="s">
        <v>19</v>
      </c>
      <c r="C837" s="2" t="s">
        <v>8</v>
      </c>
      <c r="D837" s="36">
        <v>1113.0</v>
      </c>
      <c r="E837" s="36">
        <v>4250.0</v>
      </c>
      <c r="F837" s="36">
        <v>2670.0</v>
      </c>
      <c r="G837" s="36">
        <v>4730250.0</v>
      </c>
      <c r="H837" s="36">
        <v>2971710.0</v>
      </c>
      <c r="I837" s="36">
        <v>1758540.0</v>
      </c>
    </row>
    <row r="838">
      <c r="A838" s="2" t="s">
        <v>1797</v>
      </c>
      <c r="B838" s="2" t="s">
        <v>18</v>
      </c>
      <c r="C838" s="2" t="s">
        <v>6</v>
      </c>
      <c r="D838" s="36">
        <v>115.0</v>
      </c>
      <c r="E838" s="36">
        <v>1800.0</v>
      </c>
      <c r="F838" s="36">
        <v>929.0</v>
      </c>
      <c r="G838" s="36">
        <v>207000.0</v>
      </c>
      <c r="H838" s="36">
        <v>106835.0</v>
      </c>
      <c r="I838" s="36">
        <v>100165.0</v>
      </c>
    </row>
    <row r="839">
      <c r="A839" s="2" t="s">
        <v>1798</v>
      </c>
      <c r="B839" s="2" t="s">
        <v>20</v>
      </c>
      <c r="C839" s="2" t="s">
        <v>9</v>
      </c>
      <c r="D839" s="36">
        <v>558.0</v>
      </c>
      <c r="E839" s="36">
        <v>12000.0</v>
      </c>
      <c r="F839" s="36">
        <v>6942.86</v>
      </c>
      <c r="G839" s="36">
        <v>6696000.0</v>
      </c>
      <c r="H839" s="36">
        <v>3874116.0</v>
      </c>
      <c r="I839" s="36">
        <v>2821884.0</v>
      </c>
    </row>
    <row r="840">
      <c r="A840" s="2" t="s">
        <v>1799</v>
      </c>
      <c r="B840" s="2" t="s">
        <v>19</v>
      </c>
      <c r="C840" s="2" t="s">
        <v>8</v>
      </c>
      <c r="D840" s="36">
        <v>211.0</v>
      </c>
      <c r="E840" s="36">
        <v>4250.0</v>
      </c>
      <c r="F840" s="36">
        <v>2670.0</v>
      </c>
      <c r="G840" s="36">
        <v>896750.0</v>
      </c>
      <c r="H840" s="36">
        <v>563370.0</v>
      </c>
      <c r="I840" s="36">
        <v>333380.0</v>
      </c>
    </row>
    <row r="841">
      <c r="A841" s="2" t="s">
        <v>1799</v>
      </c>
      <c r="B841" s="2" t="s">
        <v>18</v>
      </c>
      <c r="C841" s="2" t="s">
        <v>6</v>
      </c>
      <c r="D841" s="36">
        <v>170.0</v>
      </c>
      <c r="E841" s="36">
        <v>1800.0</v>
      </c>
      <c r="F841" s="36">
        <v>929.0</v>
      </c>
      <c r="G841" s="36">
        <v>306000.0</v>
      </c>
      <c r="H841" s="36">
        <v>157930.0</v>
      </c>
      <c r="I841" s="36">
        <v>148070.0</v>
      </c>
    </row>
    <row r="842">
      <c r="A842" s="2" t="s">
        <v>1800</v>
      </c>
      <c r="B842" s="2" t="s">
        <v>20</v>
      </c>
      <c r="C842" s="2" t="s">
        <v>9</v>
      </c>
      <c r="D842" s="36">
        <v>2441.0</v>
      </c>
      <c r="E842" s="36">
        <v>12000.0</v>
      </c>
      <c r="F842" s="36">
        <v>6942.86</v>
      </c>
      <c r="G842" s="36">
        <v>2.9292E7</v>
      </c>
      <c r="H842" s="36">
        <v>1.6947521E7</v>
      </c>
      <c r="I842" s="36">
        <v>1.2344479E7</v>
      </c>
    </row>
    <row r="843">
      <c r="A843" s="2" t="s">
        <v>1800</v>
      </c>
      <c r="B843" s="2" t="s">
        <v>19</v>
      </c>
      <c r="C843" s="2" t="s">
        <v>8</v>
      </c>
      <c r="D843" s="36">
        <v>112.0</v>
      </c>
      <c r="E843" s="36">
        <v>4250.0</v>
      </c>
      <c r="F843" s="36">
        <v>2670.0</v>
      </c>
      <c r="G843" s="36">
        <v>476000.0</v>
      </c>
      <c r="H843" s="36">
        <v>299040.0</v>
      </c>
      <c r="I843" s="36">
        <v>176960.0</v>
      </c>
    </row>
    <row r="844">
      <c r="A844" s="2" t="s">
        <v>1801</v>
      </c>
      <c r="B844" s="2" t="s">
        <v>18</v>
      </c>
      <c r="C844" s="2" t="s">
        <v>6</v>
      </c>
      <c r="D844" s="36">
        <v>624.0</v>
      </c>
      <c r="E844" s="36">
        <v>1800.0</v>
      </c>
      <c r="F844" s="36">
        <v>929.0</v>
      </c>
      <c r="G844" s="36">
        <v>1123200.0</v>
      </c>
      <c r="H844" s="36">
        <v>579696.0</v>
      </c>
      <c r="I844" s="36">
        <v>543504.0</v>
      </c>
    </row>
    <row r="845">
      <c r="A845" s="2" t="s">
        <v>1802</v>
      </c>
      <c r="B845" s="2" t="s">
        <v>20</v>
      </c>
      <c r="C845" s="2" t="s">
        <v>9</v>
      </c>
      <c r="D845" s="36">
        <v>499.0</v>
      </c>
      <c r="E845" s="36">
        <v>12000.0</v>
      </c>
      <c r="F845" s="36">
        <v>6942.86</v>
      </c>
      <c r="G845" s="36">
        <v>5988000.0</v>
      </c>
      <c r="H845" s="36">
        <v>3464487.0</v>
      </c>
      <c r="I845" s="36">
        <v>2523513.0</v>
      </c>
    </row>
    <row r="846">
      <c r="A846" s="2" t="s">
        <v>1803</v>
      </c>
      <c r="B846" s="2" t="s">
        <v>20</v>
      </c>
      <c r="C846" s="2" t="s">
        <v>9</v>
      </c>
      <c r="D846" s="36">
        <v>558.0</v>
      </c>
      <c r="E846" s="36">
        <v>12000.0</v>
      </c>
      <c r="F846" s="36">
        <v>6942.86</v>
      </c>
      <c r="G846" s="36">
        <v>6696000.0</v>
      </c>
      <c r="H846" s="36">
        <v>3874116.0</v>
      </c>
      <c r="I846" s="36">
        <v>2821884.0</v>
      </c>
    </row>
    <row r="847">
      <c r="A847" s="2" t="s">
        <v>1804</v>
      </c>
      <c r="B847" s="2" t="s">
        <v>19</v>
      </c>
      <c r="C847" s="2" t="s">
        <v>8</v>
      </c>
      <c r="D847" s="36">
        <v>211.0</v>
      </c>
      <c r="E847" s="36">
        <v>4250.0</v>
      </c>
      <c r="F847" s="36">
        <v>2670.0</v>
      </c>
      <c r="G847" s="36">
        <v>896750.0</v>
      </c>
      <c r="H847" s="36">
        <v>563370.0</v>
      </c>
      <c r="I847" s="36">
        <v>333380.0</v>
      </c>
    </row>
    <row r="848">
      <c r="A848" s="2" t="s">
        <v>1805</v>
      </c>
      <c r="B848" s="2" t="s">
        <v>18</v>
      </c>
      <c r="C848" s="2" t="s">
        <v>6</v>
      </c>
      <c r="D848" s="36">
        <v>170.0</v>
      </c>
      <c r="E848" s="36">
        <v>1800.0</v>
      </c>
      <c r="F848" s="36">
        <v>929.0</v>
      </c>
      <c r="G848" s="36">
        <v>306000.0</v>
      </c>
      <c r="H848" s="36">
        <v>157930.0</v>
      </c>
      <c r="I848" s="36">
        <v>148070.0</v>
      </c>
    </row>
    <row r="849">
      <c r="A849" s="2" t="s">
        <v>1806</v>
      </c>
      <c r="B849" s="2" t="s">
        <v>20</v>
      </c>
      <c r="C849" s="2" t="s">
        <v>9</v>
      </c>
      <c r="D849" s="36">
        <v>2441.0</v>
      </c>
      <c r="E849" s="36">
        <v>12000.0</v>
      </c>
      <c r="F849" s="36">
        <v>6942.86</v>
      </c>
      <c r="G849" s="36">
        <v>2.9292E7</v>
      </c>
      <c r="H849" s="36">
        <v>1.6947521E7</v>
      </c>
      <c r="I849" s="36">
        <v>1.2344479E7</v>
      </c>
    </row>
    <row r="850">
      <c r="A850" s="2" t="s">
        <v>1807</v>
      </c>
      <c r="B850" s="2" t="s">
        <v>19</v>
      </c>
      <c r="C850" s="2" t="s">
        <v>8</v>
      </c>
      <c r="D850" s="36">
        <v>112.0</v>
      </c>
      <c r="E850" s="36">
        <v>4250.0</v>
      </c>
      <c r="F850" s="36">
        <v>2670.0</v>
      </c>
      <c r="G850" s="36">
        <v>476000.0</v>
      </c>
      <c r="H850" s="36">
        <v>299040.0</v>
      </c>
      <c r="I850" s="36">
        <v>176960.0</v>
      </c>
    </row>
    <row r="851">
      <c r="A851" s="2" t="s">
        <v>1808</v>
      </c>
      <c r="B851" s="2" t="s">
        <v>18</v>
      </c>
      <c r="C851" s="2" t="s">
        <v>6</v>
      </c>
      <c r="D851" s="36">
        <v>624.0</v>
      </c>
      <c r="E851" s="36">
        <v>1800.0</v>
      </c>
      <c r="F851" s="36">
        <v>929.0</v>
      </c>
      <c r="G851" s="36">
        <v>1123200.0</v>
      </c>
      <c r="H851" s="36">
        <v>579696.0</v>
      </c>
      <c r="I851" s="36">
        <v>543504.0</v>
      </c>
    </row>
    <row r="852">
      <c r="A852" s="2" t="s">
        <v>1809</v>
      </c>
      <c r="B852" s="2" t="s">
        <v>20</v>
      </c>
      <c r="C852" s="2" t="s">
        <v>9</v>
      </c>
      <c r="D852" s="36">
        <v>499.0</v>
      </c>
      <c r="E852" s="36">
        <v>12000.0</v>
      </c>
      <c r="F852" s="36">
        <v>6942.86</v>
      </c>
      <c r="G852" s="36">
        <v>5988000.0</v>
      </c>
      <c r="H852" s="36">
        <v>3464487.0</v>
      </c>
      <c r="I852" s="36">
        <v>2523513.0</v>
      </c>
    </row>
    <row r="853">
      <c r="A853" s="2" t="s">
        <v>1810</v>
      </c>
      <c r="B853" s="2" t="s">
        <v>19</v>
      </c>
      <c r="C853" s="2" t="s">
        <v>8</v>
      </c>
      <c r="D853" s="36">
        <v>156.0</v>
      </c>
      <c r="E853" s="36">
        <v>4250.0</v>
      </c>
      <c r="F853" s="36">
        <v>2670.0</v>
      </c>
      <c r="G853" s="36">
        <v>663000.0</v>
      </c>
      <c r="H853" s="36">
        <v>416520.0</v>
      </c>
      <c r="I853" s="36">
        <v>246480.0</v>
      </c>
    </row>
    <row r="854">
      <c r="A854" s="2" t="s">
        <v>1811</v>
      </c>
      <c r="B854" s="2" t="s">
        <v>18</v>
      </c>
      <c r="C854" s="2" t="s">
        <v>6</v>
      </c>
      <c r="D854" s="36">
        <v>1609.0</v>
      </c>
      <c r="E854" s="36">
        <v>1800.0</v>
      </c>
      <c r="F854" s="36">
        <v>929.0</v>
      </c>
      <c r="G854" s="36">
        <v>2896200.0</v>
      </c>
      <c r="H854" s="36">
        <v>1494761.0</v>
      </c>
      <c r="I854" s="36">
        <v>1401439.0</v>
      </c>
    </row>
    <row r="855">
      <c r="A855" s="2" t="s">
        <v>1812</v>
      </c>
      <c r="B855" s="2" t="s">
        <v>20</v>
      </c>
      <c r="C855" s="2" t="s">
        <v>9</v>
      </c>
      <c r="D855" s="36">
        <v>817.0</v>
      </c>
      <c r="E855" s="36">
        <v>12000.0</v>
      </c>
      <c r="F855" s="36">
        <v>6942.86</v>
      </c>
      <c r="G855" s="36">
        <v>9804000.0</v>
      </c>
      <c r="H855" s="36">
        <v>5672317.0</v>
      </c>
      <c r="I855" s="36">
        <v>4131683.0</v>
      </c>
    </row>
    <row r="856">
      <c r="A856" s="2" t="s">
        <v>1813</v>
      </c>
      <c r="B856" s="2" t="s">
        <v>19</v>
      </c>
      <c r="C856" s="2" t="s">
        <v>8</v>
      </c>
      <c r="D856" s="36">
        <v>2436.0</v>
      </c>
      <c r="E856" s="36">
        <v>4250.0</v>
      </c>
      <c r="F856" s="36">
        <v>2670.0</v>
      </c>
      <c r="G856" s="36">
        <v>1.0353E7</v>
      </c>
      <c r="H856" s="36">
        <v>6504120.0</v>
      </c>
      <c r="I856" s="36">
        <v>3848880.0</v>
      </c>
    </row>
    <row r="857">
      <c r="A857" s="2" t="s">
        <v>1814</v>
      </c>
      <c r="B857" s="2" t="s">
        <v>18</v>
      </c>
      <c r="C857" s="2" t="s">
        <v>6</v>
      </c>
      <c r="D857" s="36">
        <v>482.0</v>
      </c>
      <c r="E857" s="36">
        <v>1800.0</v>
      </c>
      <c r="F857" s="36">
        <v>929.0</v>
      </c>
      <c r="G857" s="36">
        <v>867600.0</v>
      </c>
      <c r="H857" s="36">
        <v>447778.0</v>
      </c>
      <c r="I857" s="36">
        <v>419822.0</v>
      </c>
    </row>
    <row r="858">
      <c r="A858" s="2" t="s">
        <v>1815</v>
      </c>
      <c r="B858" s="2" t="s">
        <v>20</v>
      </c>
      <c r="C858" s="2" t="s">
        <v>9</v>
      </c>
      <c r="D858" s="36">
        <v>236.0</v>
      </c>
      <c r="E858" s="36">
        <v>12000.0</v>
      </c>
      <c r="F858" s="36">
        <v>6942.86</v>
      </c>
      <c r="G858" s="36">
        <v>2832000.0</v>
      </c>
      <c r="H858" s="36">
        <v>1638515.0</v>
      </c>
      <c r="I858" s="36">
        <v>1193485.0</v>
      </c>
    </row>
    <row r="859">
      <c r="A859" s="2" t="s">
        <v>1816</v>
      </c>
      <c r="B859" s="2" t="s">
        <v>19</v>
      </c>
      <c r="C859" s="2" t="s">
        <v>8</v>
      </c>
      <c r="D859" s="36">
        <v>156.0</v>
      </c>
      <c r="E859" s="36">
        <v>4250.0</v>
      </c>
      <c r="F859" s="36">
        <v>2670.0</v>
      </c>
      <c r="G859" s="36">
        <v>663000.0</v>
      </c>
      <c r="H859" s="36">
        <v>416520.0</v>
      </c>
      <c r="I859" s="36">
        <v>246480.0</v>
      </c>
    </row>
    <row r="860">
      <c r="A860" s="2" t="s">
        <v>1817</v>
      </c>
      <c r="B860" s="2" t="s">
        <v>18</v>
      </c>
      <c r="C860" s="2" t="s">
        <v>6</v>
      </c>
      <c r="D860" s="36">
        <v>2424.0</v>
      </c>
      <c r="E860" s="36">
        <v>1800.0</v>
      </c>
      <c r="F860" s="36">
        <v>929.0</v>
      </c>
      <c r="G860" s="36">
        <v>4363200.0</v>
      </c>
      <c r="H860" s="36">
        <v>2251896.0</v>
      </c>
      <c r="I860" s="36">
        <v>2111304.0</v>
      </c>
    </row>
    <row r="861">
      <c r="A861" s="2" t="s">
        <v>1818</v>
      </c>
      <c r="B861" s="2" t="s">
        <v>20</v>
      </c>
      <c r="C861" s="2" t="s">
        <v>9</v>
      </c>
      <c r="D861" s="36">
        <v>492.0</v>
      </c>
      <c r="E861" s="36">
        <v>12000.0</v>
      </c>
      <c r="F861" s="36">
        <v>6942.86</v>
      </c>
      <c r="G861" s="36">
        <v>5904000.0</v>
      </c>
      <c r="H861" s="36">
        <v>3415887.0</v>
      </c>
      <c r="I861" s="36">
        <v>2488113.0</v>
      </c>
    </row>
    <row r="862">
      <c r="A862" s="2" t="s">
        <v>1819</v>
      </c>
      <c r="B862" s="2" t="s">
        <v>19</v>
      </c>
      <c r="C862" s="2" t="s">
        <v>8</v>
      </c>
      <c r="D862" s="36">
        <v>163.0</v>
      </c>
      <c r="E862" s="36">
        <v>4250.0</v>
      </c>
      <c r="F862" s="36">
        <v>2670.0</v>
      </c>
      <c r="G862" s="36">
        <v>692750.0</v>
      </c>
      <c r="H862" s="36">
        <v>435210.0</v>
      </c>
      <c r="I862" s="36">
        <v>257540.0</v>
      </c>
    </row>
    <row r="863">
      <c r="A863" s="2" t="s">
        <v>1820</v>
      </c>
      <c r="B863" s="2" t="s">
        <v>18</v>
      </c>
      <c r="C863" s="2" t="s">
        <v>6</v>
      </c>
      <c r="D863" s="36">
        <v>85.0</v>
      </c>
      <c r="E863" s="36">
        <v>1800.0</v>
      </c>
      <c r="F863" s="36">
        <v>929.0</v>
      </c>
      <c r="G863" s="36">
        <v>153000.0</v>
      </c>
      <c r="H863" s="36">
        <v>78965.0</v>
      </c>
      <c r="I863" s="36">
        <v>74035.0</v>
      </c>
    </row>
    <row r="864">
      <c r="A864" s="2" t="s">
        <v>1821</v>
      </c>
      <c r="B864" s="2" t="s">
        <v>18</v>
      </c>
      <c r="C864" s="2" t="s">
        <v>6</v>
      </c>
      <c r="D864" s="36">
        <v>343.0</v>
      </c>
      <c r="E864" s="36">
        <v>1800.0</v>
      </c>
      <c r="F864" s="36">
        <v>929.0</v>
      </c>
      <c r="G864" s="36">
        <v>617400.0</v>
      </c>
      <c r="H864" s="36">
        <v>318647.0</v>
      </c>
      <c r="I864" s="36">
        <v>298753.0</v>
      </c>
    </row>
    <row r="865">
      <c r="A865" s="2" t="s">
        <v>1821</v>
      </c>
      <c r="B865" s="2" t="s">
        <v>19</v>
      </c>
      <c r="C865" s="2" t="s">
        <v>8</v>
      </c>
      <c r="D865" s="36">
        <v>36.0</v>
      </c>
      <c r="E865" s="36">
        <v>4250.0</v>
      </c>
      <c r="F865" s="36">
        <v>2670.0</v>
      </c>
      <c r="G865" s="36">
        <v>153000.0</v>
      </c>
      <c r="H865" s="36">
        <v>96120.0</v>
      </c>
      <c r="I865" s="36">
        <v>56880.0</v>
      </c>
    </row>
    <row r="866">
      <c r="A866" s="2" t="s">
        <v>1821</v>
      </c>
      <c r="B866" s="2" t="s">
        <v>20</v>
      </c>
      <c r="C866" s="2" t="s">
        <v>9</v>
      </c>
      <c r="D866" s="36">
        <v>146.0</v>
      </c>
      <c r="E866" s="36">
        <v>12000.0</v>
      </c>
      <c r="F866" s="36">
        <v>6942.86</v>
      </c>
      <c r="G866" s="36">
        <v>1752000.0</v>
      </c>
      <c r="H866" s="36">
        <v>1013658.0</v>
      </c>
      <c r="I866" s="36">
        <v>738342.0</v>
      </c>
    </row>
    <row r="867">
      <c r="A867" s="2" t="s">
        <v>1822</v>
      </c>
      <c r="B867" s="2" t="s">
        <v>20</v>
      </c>
      <c r="C867" s="2" t="s">
        <v>9</v>
      </c>
      <c r="D867" s="36">
        <v>499.0</v>
      </c>
      <c r="E867" s="36">
        <v>12000.0</v>
      </c>
      <c r="F867" s="36">
        <v>6942.86</v>
      </c>
      <c r="G867" s="36">
        <v>5988000.0</v>
      </c>
      <c r="H867" s="36">
        <v>3464487.0</v>
      </c>
      <c r="I867" s="36">
        <v>2523513.0</v>
      </c>
    </row>
    <row r="868">
      <c r="A868" s="2" t="s">
        <v>1823</v>
      </c>
      <c r="B868" s="2" t="s">
        <v>19</v>
      </c>
      <c r="C868" s="2" t="s">
        <v>8</v>
      </c>
      <c r="D868" s="36">
        <v>6.0</v>
      </c>
      <c r="E868" s="36">
        <v>4250.0</v>
      </c>
      <c r="F868" s="36">
        <v>2670.0</v>
      </c>
      <c r="G868" s="36">
        <v>25500.0</v>
      </c>
      <c r="H868" s="36">
        <v>16020.0</v>
      </c>
      <c r="I868" s="36">
        <v>9480.0</v>
      </c>
    </row>
    <row r="869">
      <c r="A869" s="2" t="s">
        <v>1824</v>
      </c>
      <c r="B869" s="2" t="s">
        <v>18</v>
      </c>
      <c r="C869" s="2" t="s">
        <v>6</v>
      </c>
      <c r="D869" s="36">
        <v>235.0</v>
      </c>
      <c r="E869" s="36">
        <v>1800.0</v>
      </c>
      <c r="F869" s="36">
        <v>929.0</v>
      </c>
      <c r="G869" s="36">
        <v>423000.0</v>
      </c>
      <c r="H869" s="36">
        <v>218315.0</v>
      </c>
      <c r="I869" s="36">
        <v>204685.0</v>
      </c>
    </row>
    <row r="870">
      <c r="A870" s="2" t="s">
        <v>1825</v>
      </c>
      <c r="B870" s="2" t="s">
        <v>18</v>
      </c>
      <c r="C870" s="2" t="s">
        <v>6</v>
      </c>
      <c r="D870" s="36">
        <v>1696.0</v>
      </c>
      <c r="E870" s="36">
        <v>1800.0</v>
      </c>
      <c r="F870" s="36">
        <v>929.0</v>
      </c>
      <c r="G870" s="36">
        <v>3052800.0</v>
      </c>
      <c r="H870" s="36">
        <v>1575584.0</v>
      </c>
      <c r="I870" s="36">
        <v>1477216.0</v>
      </c>
    </row>
    <row r="871">
      <c r="A871" s="2" t="s">
        <v>1825</v>
      </c>
      <c r="B871" s="2" t="s">
        <v>19</v>
      </c>
      <c r="C871" s="2" t="s">
        <v>8</v>
      </c>
      <c r="D871" s="36">
        <v>1554.0</v>
      </c>
      <c r="E871" s="36">
        <v>4250.0</v>
      </c>
      <c r="F871" s="36">
        <v>2670.0</v>
      </c>
      <c r="G871" s="36">
        <v>6604500.0</v>
      </c>
      <c r="H871" s="36">
        <v>4149180.0</v>
      </c>
      <c r="I871" s="36">
        <v>2455320.0</v>
      </c>
    </row>
    <row r="872">
      <c r="A872" s="2" t="s">
        <v>1825</v>
      </c>
      <c r="B872" s="2" t="s">
        <v>20</v>
      </c>
      <c r="C872" s="2" t="s">
        <v>9</v>
      </c>
      <c r="D872" s="36">
        <v>139.0</v>
      </c>
      <c r="E872" s="36">
        <v>12000.0</v>
      </c>
      <c r="F872" s="36">
        <v>6942.86</v>
      </c>
      <c r="G872" s="36">
        <v>1668000.0</v>
      </c>
      <c r="H872" s="36">
        <v>965058.0</v>
      </c>
      <c r="I872" s="36">
        <v>702942.0</v>
      </c>
    </row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6" width="17.0"/>
    <col customWidth="1" min="7" max="26" width="8.71"/>
  </cols>
  <sheetData>
    <row r="1">
      <c r="A1" s="10" t="s">
        <v>1826</v>
      </c>
    </row>
    <row r="2">
      <c r="A2" s="11" t="s">
        <v>1827</v>
      </c>
    </row>
    <row r="4">
      <c r="A4" s="13" t="s">
        <v>1828</v>
      </c>
      <c r="B4" s="13" t="s">
        <v>736</v>
      </c>
      <c r="C4" s="13" t="s">
        <v>1075</v>
      </c>
      <c r="D4" s="13" t="s">
        <v>1078</v>
      </c>
      <c r="E4" s="13" t="s">
        <v>1079</v>
      </c>
      <c r="F4" s="13" t="s">
        <v>1080</v>
      </c>
    </row>
    <row r="5">
      <c r="A5" s="157" t="s">
        <v>1829</v>
      </c>
      <c r="B5" s="157" t="s">
        <v>6</v>
      </c>
      <c r="C5" s="157">
        <v>152000.0</v>
      </c>
      <c r="D5" s="157">
        <v>3.344E8</v>
      </c>
      <c r="E5" s="157">
        <v>1.41208E8</v>
      </c>
      <c r="F5" s="157">
        <v>1.93192E8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7" width="17.0"/>
    <col customWidth="1" min="8" max="26" width="8.71"/>
  </cols>
  <sheetData>
    <row r="1">
      <c r="A1" s="10" t="s">
        <v>1830</v>
      </c>
    </row>
    <row r="2">
      <c r="A2" s="11" t="s">
        <v>1831</v>
      </c>
    </row>
    <row r="4">
      <c r="A4" s="13" t="s">
        <v>735</v>
      </c>
      <c r="B4" s="13" t="s">
        <v>263</v>
      </c>
      <c r="C4" s="13" t="s">
        <v>1832</v>
      </c>
      <c r="D4" s="13" t="s">
        <v>1833</v>
      </c>
      <c r="E4" s="13" t="s">
        <v>1834</v>
      </c>
      <c r="F4" s="13" t="s">
        <v>1835</v>
      </c>
      <c r="G4" s="13" t="s">
        <v>1836</v>
      </c>
    </row>
    <row r="5">
      <c r="A5" s="157" t="s">
        <v>1837</v>
      </c>
      <c r="B5" s="157" t="s">
        <v>18</v>
      </c>
      <c r="C5" s="157" t="s">
        <v>1838</v>
      </c>
      <c r="D5" s="157" t="s">
        <v>211</v>
      </c>
      <c r="E5" s="157">
        <v>0.7712</v>
      </c>
      <c r="F5" s="157"/>
      <c r="G5" s="157" t="s">
        <v>1839</v>
      </c>
    </row>
    <row r="6">
      <c r="A6" s="2" t="s">
        <v>1840</v>
      </c>
      <c r="B6" s="2" t="s">
        <v>1841</v>
      </c>
      <c r="C6" s="2" t="s">
        <v>1838</v>
      </c>
      <c r="D6" s="2" t="s">
        <v>1842</v>
      </c>
      <c r="E6" s="36">
        <v>98.99</v>
      </c>
      <c r="G6" s="2" t="s">
        <v>1843</v>
      </c>
    </row>
    <row r="7">
      <c r="A7" s="2" t="s">
        <v>1844</v>
      </c>
      <c r="B7" s="2" t="s">
        <v>1841</v>
      </c>
      <c r="C7" s="2" t="s">
        <v>1838</v>
      </c>
      <c r="D7" s="2" t="s">
        <v>1845</v>
      </c>
      <c r="E7" s="36">
        <v>96.55</v>
      </c>
      <c r="G7" s="2" t="s">
        <v>1846</v>
      </c>
    </row>
    <row r="8">
      <c r="A8" s="2" t="s">
        <v>1847</v>
      </c>
      <c r="B8" s="2" t="s">
        <v>1841</v>
      </c>
      <c r="C8" s="2" t="s">
        <v>1838</v>
      </c>
      <c r="D8" s="2" t="s">
        <v>1024</v>
      </c>
      <c r="E8" s="36">
        <v>80.59</v>
      </c>
      <c r="G8" s="2" t="s">
        <v>1848</v>
      </c>
    </row>
    <row r="9">
      <c r="A9" s="2" t="s">
        <v>1849</v>
      </c>
      <c r="B9" s="2" t="s">
        <v>1841</v>
      </c>
      <c r="C9" s="2" t="s">
        <v>1838</v>
      </c>
      <c r="D9" s="2" t="s">
        <v>1850</v>
      </c>
      <c r="E9" s="36">
        <v>1.08</v>
      </c>
      <c r="G9" s="2" t="s">
        <v>1851</v>
      </c>
    </row>
    <row r="10">
      <c r="A10" s="2" t="s">
        <v>1852</v>
      </c>
      <c r="B10" s="2" t="s">
        <v>1841</v>
      </c>
      <c r="C10" s="2" t="s">
        <v>1838</v>
      </c>
      <c r="D10" s="2" t="s">
        <v>1853</v>
      </c>
      <c r="E10" s="36">
        <v>134.2</v>
      </c>
      <c r="G10" s="2" t="s">
        <v>1854</v>
      </c>
    </row>
    <row r="11">
      <c r="A11" s="2" t="s">
        <v>1855</v>
      </c>
      <c r="B11" s="2" t="s">
        <v>1841</v>
      </c>
      <c r="C11" s="2" t="s">
        <v>1838</v>
      </c>
      <c r="D11" s="2" t="s">
        <v>1017</v>
      </c>
      <c r="E11" s="36">
        <v>3.0</v>
      </c>
      <c r="G11" s="2" t="s">
        <v>1856</v>
      </c>
    </row>
    <row r="12">
      <c r="A12" s="2" t="s">
        <v>1857</v>
      </c>
      <c r="B12" s="2" t="s">
        <v>1841</v>
      </c>
      <c r="C12" s="2" t="s">
        <v>1858</v>
      </c>
      <c r="D12" s="2" t="s">
        <v>1859</v>
      </c>
      <c r="F12" s="2" t="s">
        <v>1860</v>
      </c>
      <c r="G12" s="2" t="s">
        <v>1861</v>
      </c>
    </row>
    <row r="13">
      <c r="A13" s="2" t="s">
        <v>1862</v>
      </c>
      <c r="B13" s="2" t="s">
        <v>1841</v>
      </c>
      <c r="C13" s="2" t="s">
        <v>1858</v>
      </c>
      <c r="D13" s="2" t="s">
        <v>1863</v>
      </c>
      <c r="F13" s="160">
        <v>46158.0</v>
      </c>
      <c r="G13" s="2" t="s">
        <v>1864</v>
      </c>
    </row>
    <row r="14">
      <c r="A14" s="2" t="s">
        <v>1865</v>
      </c>
      <c r="B14" s="2" t="s">
        <v>1841</v>
      </c>
      <c r="C14" s="2" t="s">
        <v>1858</v>
      </c>
      <c r="D14" s="2" t="s">
        <v>1866</v>
      </c>
      <c r="F14" s="160">
        <v>46228.0</v>
      </c>
      <c r="G14" s="2" t="s">
        <v>1867</v>
      </c>
    </row>
    <row r="15">
      <c r="A15" s="2" t="s">
        <v>1868</v>
      </c>
      <c r="B15" s="2" t="s">
        <v>1841</v>
      </c>
      <c r="C15" s="2" t="s">
        <v>1858</v>
      </c>
      <c r="D15" s="2" t="s">
        <v>1869</v>
      </c>
      <c r="F15" s="2" t="s">
        <v>1870</v>
      </c>
      <c r="G15" s="2" t="s">
        <v>1871</v>
      </c>
    </row>
    <row r="16">
      <c r="A16" s="2" t="s">
        <v>1872</v>
      </c>
      <c r="B16" s="2" t="s">
        <v>18</v>
      </c>
      <c r="C16" s="2" t="s">
        <v>1838</v>
      </c>
      <c r="D16" s="2" t="s">
        <v>1842</v>
      </c>
      <c r="E16" s="36">
        <v>98.79</v>
      </c>
      <c r="G16" s="2" t="s">
        <v>1873</v>
      </c>
    </row>
    <row r="17">
      <c r="A17" s="2" t="s">
        <v>1874</v>
      </c>
      <c r="B17" s="2" t="s">
        <v>18</v>
      </c>
      <c r="C17" s="2" t="s">
        <v>1838</v>
      </c>
      <c r="D17" s="2" t="s">
        <v>1845</v>
      </c>
      <c r="E17" s="36">
        <v>94.12</v>
      </c>
      <c r="G17" s="2" t="s">
        <v>1875</v>
      </c>
    </row>
    <row r="18">
      <c r="A18" s="2" t="s">
        <v>1876</v>
      </c>
      <c r="B18" s="2" t="s">
        <v>18</v>
      </c>
      <c r="C18" s="2" t="s">
        <v>1838</v>
      </c>
      <c r="D18" s="2" t="s">
        <v>1024</v>
      </c>
      <c r="E18" s="36">
        <v>72.46</v>
      </c>
      <c r="G18" s="2" t="s">
        <v>1877</v>
      </c>
    </row>
    <row r="19">
      <c r="A19" s="2" t="s">
        <v>1878</v>
      </c>
      <c r="B19" s="2" t="s">
        <v>18</v>
      </c>
      <c r="C19" s="2" t="s">
        <v>1838</v>
      </c>
      <c r="D19" s="2" t="s">
        <v>1850</v>
      </c>
      <c r="E19" s="36">
        <v>3.38</v>
      </c>
      <c r="G19" s="2" t="s">
        <v>1879</v>
      </c>
    </row>
    <row r="20">
      <c r="A20" s="2" t="s">
        <v>1880</v>
      </c>
      <c r="B20" s="2" t="s">
        <v>18</v>
      </c>
      <c r="C20" s="2" t="s">
        <v>1838</v>
      </c>
      <c r="D20" s="2" t="s">
        <v>1853</v>
      </c>
      <c r="E20" s="36">
        <v>158.4</v>
      </c>
      <c r="G20" s="2" t="s">
        <v>1881</v>
      </c>
    </row>
    <row r="21">
      <c r="A21" s="2" t="s">
        <v>1880</v>
      </c>
      <c r="B21" s="2" t="s">
        <v>18</v>
      </c>
      <c r="C21" s="2" t="s">
        <v>1838</v>
      </c>
      <c r="D21" s="2" t="s">
        <v>211</v>
      </c>
      <c r="F21" s="2" t="s">
        <v>1882</v>
      </c>
      <c r="G21" s="2" t="s">
        <v>1839</v>
      </c>
    </row>
    <row r="22">
      <c r="A22" s="2" t="s">
        <v>1883</v>
      </c>
      <c r="B22" s="2" t="s">
        <v>18</v>
      </c>
      <c r="C22" s="2" t="s">
        <v>1838</v>
      </c>
      <c r="D22" s="2" t="s">
        <v>1024</v>
      </c>
      <c r="F22" s="2" t="s">
        <v>1882</v>
      </c>
      <c r="G22" s="2" t="s">
        <v>1877</v>
      </c>
    </row>
    <row r="23">
      <c r="A23" s="2" t="s">
        <v>1884</v>
      </c>
      <c r="B23" s="2" t="s">
        <v>1841</v>
      </c>
      <c r="C23" s="2" t="s">
        <v>1838</v>
      </c>
      <c r="D23" s="2" t="s">
        <v>1842</v>
      </c>
      <c r="E23" s="36">
        <v>98.79</v>
      </c>
      <c r="G23" s="2" t="s">
        <v>1843</v>
      </c>
    </row>
    <row r="24">
      <c r="A24" s="2" t="s">
        <v>1885</v>
      </c>
      <c r="B24" s="2" t="s">
        <v>1841</v>
      </c>
      <c r="C24" s="2" t="s">
        <v>1838</v>
      </c>
      <c r="D24" s="2" t="s">
        <v>211</v>
      </c>
      <c r="F24" s="2" t="s">
        <v>1882</v>
      </c>
      <c r="G24" s="2" t="s">
        <v>1886</v>
      </c>
    </row>
    <row r="25">
      <c r="A25" s="2" t="s">
        <v>1887</v>
      </c>
      <c r="B25" s="2" t="s">
        <v>18</v>
      </c>
      <c r="C25" s="2" t="s">
        <v>1838</v>
      </c>
      <c r="D25" s="2" t="s">
        <v>211</v>
      </c>
      <c r="F25" s="2" t="s">
        <v>1882</v>
      </c>
      <c r="G25" s="2" t="s">
        <v>1839</v>
      </c>
    </row>
    <row r="26">
      <c r="A26" s="2" t="s">
        <v>1888</v>
      </c>
      <c r="B26" s="2" t="s">
        <v>18</v>
      </c>
      <c r="C26" s="2" t="s">
        <v>1838</v>
      </c>
      <c r="D26" s="2" t="s">
        <v>1024</v>
      </c>
      <c r="F26" s="2" t="s">
        <v>1882</v>
      </c>
      <c r="G26" s="2" t="s">
        <v>1877</v>
      </c>
    </row>
    <row r="27">
      <c r="A27" s="2" t="s">
        <v>1889</v>
      </c>
      <c r="B27" s="2" t="s">
        <v>1841</v>
      </c>
      <c r="C27" s="2" t="s">
        <v>1838</v>
      </c>
      <c r="D27" s="2" t="s">
        <v>1845</v>
      </c>
      <c r="E27" s="36">
        <v>94.12</v>
      </c>
      <c r="G27" s="2" t="s">
        <v>1846</v>
      </c>
    </row>
    <row r="28">
      <c r="A28" s="2" t="s">
        <v>1890</v>
      </c>
      <c r="B28" s="2" t="s">
        <v>1841</v>
      </c>
      <c r="C28" s="2" t="s">
        <v>1838</v>
      </c>
      <c r="D28" s="2" t="s">
        <v>211</v>
      </c>
      <c r="F28" s="2" t="s">
        <v>1882</v>
      </c>
      <c r="G28" s="2" t="s">
        <v>1886</v>
      </c>
    </row>
    <row r="29">
      <c r="A29" s="2" t="s">
        <v>1891</v>
      </c>
      <c r="B29" s="2" t="s">
        <v>18</v>
      </c>
      <c r="C29" s="2" t="s">
        <v>1838</v>
      </c>
      <c r="D29" s="2" t="s">
        <v>1892</v>
      </c>
      <c r="F29" s="2" t="s">
        <v>1882</v>
      </c>
      <c r="G29" s="2" t="s">
        <v>1893</v>
      </c>
    </row>
    <row r="30">
      <c r="A30" s="2" t="s">
        <v>1894</v>
      </c>
      <c r="B30" s="2" t="s">
        <v>18</v>
      </c>
      <c r="C30" s="2" t="s">
        <v>1838</v>
      </c>
      <c r="D30" s="2" t="s">
        <v>211</v>
      </c>
      <c r="F30" s="2" t="s">
        <v>1882</v>
      </c>
      <c r="G30" s="2" t="s">
        <v>1839</v>
      </c>
    </row>
    <row r="31">
      <c r="A31" s="2" t="s">
        <v>1894</v>
      </c>
      <c r="B31" s="2" t="s">
        <v>18</v>
      </c>
      <c r="C31" s="2" t="s">
        <v>1838</v>
      </c>
      <c r="D31" s="2" t="s">
        <v>1024</v>
      </c>
      <c r="F31" s="2" t="s">
        <v>1882</v>
      </c>
      <c r="G31" s="2" t="s">
        <v>1877</v>
      </c>
    </row>
    <row r="32">
      <c r="A32" s="2" t="s">
        <v>1895</v>
      </c>
      <c r="B32" s="2" t="s">
        <v>18</v>
      </c>
      <c r="C32" s="2" t="s">
        <v>1838</v>
      </c>
      <c r="D32" s="2" t="s">
        <v>1896</v>
      </c>
      <c r="F32" s="2" t="s">
        <v>1882</v>
      </c>
      <c r="G32" s="2" t="s">
        <v>1897</v>
      </c>
    </row>
    <row r="33">
      <c r="A33" s="2" t="s">
        <v>1898</v>
      </c>
      <c r="B33" s="2" t="s">
        <v>1841</v>
      </c>
      <c r="C33" s="2" t="s">
        <v>1838</v>
      </c>
      <c r="D33" s="2" t="s">
        <v>1892</v>
      </c>
      <c r="F33" s="2" t="s">
        <v>1882</v>
      </c>
      <c r="G33" s="2" t="s">
        <v>1899</v>
      </c>
    </row>
    <row r="34">
      <c r="A34" s="2" t="s">
        <v>1900</v>
      </c>
      <c r="B34" s="2" t="s">
        <v>1841</v>
      </c>
      <c r="C34" s="2" t="s">
        <v>1838</v>
      </c>
      <c r="D34" s="2" t="s">
        <v>211</v>
      </c>
      <c r="F34" s="2" t="s">
        <v>1882</v>
      </c>
      <c r="G34" s="2" t="s">
        <v>1886</v>
      </c>
    </row>
    <row r="35">
      <c r="A35" s="2" t="s">
        <v>1901</v>
      </c>
      <c r="B35" s="2" t="s">
        <v>1841</v>
      </c>
      <c r="C35" s="2" t="s">
        <v>1838</v>
      </c>
      <c r="D35" s="2" t="s">
        <v>1850</v>
      </c>
      <c r="E35" s="36">
        <v>3.38</v>
      </c>
      <c r="G35" s="2" t="s">
        <v>1851</v>
      </c>
    </row>
    <row r="36">
      <c r="A36" s="2" t="s">
        <v>1902</v>
      </c>
      <c r="B36" s="2" t="s">
        <v>18</v>
      </c>
      <c r="C36" s="2" t="s">
        <v>1838</v>
      </c>
      <c r="D36" s="2" t="s">
        <v>1892</v>
      </c>
      <c r="E36" s="36">
        <v>97.91</v>
      </c>
      <c r="G36" s="2" t="s">
        <v>1893</v>
      </c>
    </row>
    <row r="37">
      <c r="A37" s="2" t="s">
        <v>1902</v>
      </c>
      <c r="B37" s="2" t="s">
        <v>18</v>
      </c>
      <c r="C37" s="2" t="s">
        <v>1838</v>
      </c>
      <c r="D37" s="2" t="s">
        <v>211</v>
      </c>
      <c r="E37" s="36">
        <v>91.04</v>
      </c>
      <c r="G37" s="2" t="s">
        <v>1839</v>
      </c>
    </row>
    <row r="38">
      <c r="A38" s="2" t="s">
        <v>1903</v>
      </c>
      <c r="B38" s="2" t="s">
        <v>18</v>
      </c>
      <c r="C38" s="2" t="s">
        <v>1838</v>
      </c>
      <c r="D38" s="2" t="s">
        <v>1024</v>
      </c>
      <c r="E38" s="36">
        <v>72.83</v>
      </c>
      <c r="G38" s="2" t="s">
        <v>1877</v>
      </c>
    </row>
    <row r="39">
      <c r="A39" s="2" t="s">
        <v>1904</v>
      </c>
      <c r="B39" s="2" t="s">
        <v>18</v>
      </c>
      <c r="C39" s="2" t="s">
        <v>1838</v>
      </c>
      <c r="D39" s="2" t="s">
        <v>1896</v>
      </c>
      <c r="E39" s="36">
        <v>10.0</v>
      </c>
      <c r="G39" s="2" t="s">
        <v>1897</v>
      </c>
    </row>
    <row r="40">
      <c r="A40" s="2" t="s">
        <v>1905</v>
      </c>
      <c r="B40" s="2" t="s">
        <v>1841</v>
      </c>
      <c r="C40" s="2" t="s">
        <v>1838</v>
      </c>
      <c r="D40" s="2" t="s">
        <v>1892</v>
      </c>
      <c r="E40" s="36">
        <v>97.91</v>
      </c>
      <c r="G40" s="2" t="s">
        <v>1899</v>
      </c>
    </row>
    <row r="41">
      <c r="A41" s="2" t="s">
        <v>1906</v>
      </c>
      <c r="B41" s="2" t="s">
        <v>1841</v>
      </c>
      <c r="C41" s="2" t="s">
        <v>1838</v>
      </c>
      <c r="D41" s="2" t="s">
        <v>211</v>
      </c>
      <c r="E41" s="36">
        <v>91.04</v>
      </c>
      <c r="G41" s="2" t="s">
        <v>1886</v>
      </c>
    </row>
    <row r="42">
      <c r="A42" s="2" t="s">
        <v>1907</v>
      </c>
      <c r="B42" s="2" t="s">
        <v>18</v>
      </c>
      <c r="C42" s="2" t="s">
        <v>1838</v>
      </c>
      <c r="D42" s="2" t="s">
        <v>1017</v>
      </c>
      <c r="E42" s="36">
        <v>2.3</v>
      </c>
      <c r="G42" s="2" t="s">
        <v>1908</v>
      </c>
    </row>
    <row r="43">
      <c r="A43" s="2" t="s">
        <v>1907</v>
      </c>
      <c r="B43" s="2" t="s">
        <v>18</v>
      </c>
      <c r="C43" s="2" t="s">
        <v>1858</v>
      </c>
      <c r="D43" s="2" t="s">
        <v>1859</v>
      </c>
      <c r="F43" s="2" t="s">
        <v>1909</v>
      </c>
      <c r="G43" s="2" t="s">
        <v>1910</v>
      </c>
    </row>
    <row r="44">
      <c r="A44" s="2" t="s">
        <v>1911</v>
      </c>
      <c r="B44" s="2" t="s">
        <v>18</v>
      </c>
      <c r="C44" s="2" t="s">
        <v>1858</v>
      </c>
      <c r="D44" s="2" t="s">
        <v>1863</v>
      </c>
      <c r="F44" s="160">
        <v>46205.0</v>
      </c>
      <c r="G44" s="2" t="s">
        <v>1912</v>
      </c>
    </row>
    <row r="45">
      <c r="A45" s="2" t="s">
        <v>1913</v>
      </c>
      <c r="B45" s="2" t="s">
        <v>18</v>
      </c>
      <c r="C45" s="2" t="s">
        <v>1858</v>
      </c>
      <c r="D45" s="2" t="s">
        <v>1866</v>
      </c>
      <c r="F45" s="160">
        <v>46258.0</v>
      </c>
      <c r="G45" s="2" t="s">
        <v>1914</v>
      </c>
    </row>
    <row r="46">
      <c r="A46" s="2" t="s">
        <v>1915</v>
      </c>
      <c r="B46" s="2" t="s">
        <v>18</v>
      </c>
      <c r="C46" s="2" t="s">
        <v>1858</v>
      </c>
      <c r="D46" s="2" t="s">
        <v>1869</v>
      </c>
      <c r="F46" s="2" t="s">
        <v>1870</v>
      </c>
      <c r="G46" s="2" t="s">
        <v>1916</v>
      </c>
    </row>
    <row r="47">
      <c r="A47" s="2" t="s">
        <v>1917</v>
      </c>
      <c r="B47" s="2" t="s">
        <v>1841</v>
      </c>
      <c r="C47" s="2" t="s">
        <v>1838</v>
      </c>
      <c r="D47" s="2" t="s">
        <v>1017</v>
      </c>
      <c r="E47" s="36">
        <v>2.3</v>
      </c>
      <c r="G47" s="2" t="s">
        <v>1856</v>
      </c>
    </row>
    <row r="48">
      <c r="A48" s="2" t="s">
        <v>1918</v>
      </c>
      <c r="B48" s="2" t="s">
        <v>20</v>
      </c>
      <c r="C48" s="2" t="s">
        <v>1838</v>
      </c>
      <c r="D48" s="2" t="s">
        <v>1896</v>
      </c>
      <c r="E48" s="36">
        <v>6.1</v>
      </c>
      <c r="G48" s="2" t="s">
        <v>1919</v>
      </c>
    </row>
    <row r="49">
      <c r="A49" s="2" t="s">
        <v>1920</v>
      </c>
      <c r="B49" s="2" t="s">
        <v>20</v>
      </c>
      <c r="C49" s="2" t="s">
        <v>1838</v>
      </c>
      <c r="D49" s="2" t="s">
        <v>1892</v>
      </c>
      <c r="E49" s="36">
        <v>98.72</v>
      </c>
      <c r="G49" s="2" t="s">
        <v>1921</v>
      </c>
    </row>
    <row r="50">
      <c r="A50" s="2" t="s">
        <v>1922</v>
      </c>
      <c r="B50" s="2" t="s">
        <v>20</v>
      </c>
      <c r="C50" s="2" t="s">
        <v>1838</v>
      </c>
      <c r="D50" s="2" t="s">
        <v>1017</v>
      </c>
      <c r="E50" s="36">
        <v>5.1</v>
      </c>
      <c r="G50" s="2" t="s">
        <v>1923</v>
      </c>
    </row>
    <row r="51">
      <c r="A51" s="2" t="s">
        <v>1922</v>
      </c>
      <c r="B51" s="2" t="s">
        <v>20</v>
      </c>
      <c r="C51" s="2" t="s">
        <v>1838</v>
      </c>
      <c r="D51" s="2" t="s">
        <v>1853</v>
      </c>
      <c r="E51" s="36">
        <v>116.9</v>
      </c>
      <c r="G51" s="2" t="s">
        <v>1924</v>
      </c>
    </row>
    <row r="52">
      <c r="A52" s="2" t="s">
        <v>1925</v>
      </c>
      <c r="B52" s="2" t="s">
        <v>20</v>
      </c>
      <c r="C52" s="2" t="s">
        <v>1838</v>
      </c>
      <c r="D52" s="2" t="s">
        <v>1850</v>
      </c>
      <c r="E52" s="36">
        <v>1.51</v>
      </c>
      <c r="G52" s="2" t="s">
        <v>1926</v>
      </c>
    </row>
    <row r="53">
      <c r="A53" s="2" t="s">
        <v>1927</v>
      </c>
      <c r="B53" s="2" t="s">
        <v>20</v>
      </c>
      <c r="C53" s="2" t="s">
        <v>1838</v>
      </c>
      <c r="D53" s="2" t="s">
        <v>211</v>
      </c>
      <c r="E53" s="36">
        <v>87.96</v>
      </c>
      <c r="G53" s="2" t="s">
        <v>1928</v>
      </c>
    </row>
    <row r="54">
      <c r="A54" s="2" t="s">
        <v>1929</v>
      </c>
      <c r="B54" s="2" t="s">
        <v>20</v>
      </c>
      <c r="C54" s="2" t="s">
        <v>1838</v>
      </c>
      <c r="D54" s="2" t="s">
        <v>1024</v>
      </c>
      <c r="E54" s="36">
        <v>70.37</v>
      </c>
      <c r="G54" s="2" t="s">
        <v>1930</v>
      </c>
    </row>
    <row r="55">
      <c r="A55" s="2" t="s">
        <v>1931</v>
      </c>
      <c r="B55" s="2" t="s">
        <v>20</v>
      </c>
      <c r="C55" s="2" t="s">
        <v>1838</v>
      </c>
      <c r="D55" s="2" t="s">
        <v>1845</v>
      </c>
      <c r="E55" s="36">
        <v>90.24</v>
      </c>
      <c r="G55" s="2" t="s">
        <v>1932</v>
      </c>
    </row>
    <row r="56">
      <c r="A56" s="2" t="s">
        <v>1933</v>
      </c>
      <c r="B56" s="2" t="s">
        <v>20</v>
      </c>
      <c r="C56" s="2" t="s">
        <v>1838</v>
      </c>
      <c r="D56" s="2" t="s">
        <v>1842</v>
      </c>
      <c r="E56" s="36">
        <v>98.74</v>
      </c>
      <c r="G56" s="2" t="s">
        <v>1934</v>
      </c>
    </row>
    <row r="57">
      <c r="A57" s="2" t="s">
        <v>1935</v>
      </c>
      <c r="B57" s="2" t="s">
        <v>19</v>
      </c>
      <c r="C57" s="2" t="s">
        <v>1838</v>
      </c>
      <c r="D57" s="2" t="s">
        <v>1896</v>
      </c>
      <c r="E57" s="36">
        <v>6.6</v>
      </c>
      <c r="G57" s="2" t="s">
        <v>1936</v>
      </c>
    </row>
    <row r="58">
      <c r="A58" s="2" t="s">
        <v>1937</v>
      </c>
      <c r="B58" s="2" t="s">
        <v>19</v>
      </c>
      <c r="C58" s="2" t="s">
        <v>1838</v>
      </c>
      <c r="D58" s="2" t="s">
        <v>1892</v>
      </c>
      <c r="E58" s="36">
        <v>98.62</v>
      </c>
      <c r="G58" s="2" t="s">
        <v>1938</v>
      </c>
    </row>
    <row r="59">
      <c r="A59" s="2" t="s">
        <v>1937</v>
      </c>
      <c r="B59" s="2" t="s">
        <v>19</v>
      </c>
      <c r="C59" s="2" t="s">
        <v>1838</v>
      </c>
      <c r="D59" s="2" t="s">
        <v>211</v>
      </c>
      <c r="E59" s="36">
        <v>78.74</v>
      </c>
      <c r="G59" s="2" t="s">
        <v>1939</v>
      </c>
    </row>
    <row r="60">
      <c r="A60" s="2" t="s">
        <v>1940</v>
      </c>
      <c r="B60" s="2" t="s">
        <v>19</v>
      </c>
      <c r="C60" s="2" t="s">
        <v>1838</v>
      </c>
      <c r="D60" s="2" t="s">
        <v>1017</v>
      </c>
      <c r="E60" s="36">
        <v>7.4</v>
      </c>
      <c r="G60" s="2" t="s">
        <v>1941</v>
      </c>
    </row>
    <row r="61">
      <c r="A61" s="2" t="s">
        <v>1942</v>
      </c>
      <c r="B61" s="2" t="s">
        <v>19</v>
      </c>
      <c r="C61" s="2" t="s">
        <v>1838</v>
      </c>
      <c r="D61" s="2" t="s">
        <v>1853</v>
      </c>
      <c r="E61" s="36">
        <v>179.0</v>
      </c>
      <c r="G61" s="2" t="s">
        <v>1943</v>
      </c>
    </row>
    <row r="62">
      <c r="A62" s="2" t="s">
        <v>1944</v>
      </c>
      <c r="B62" s="2" t="s">
        <v>19</v>
      </c>
      <c r="C62" s="2" t="s">
        <v>1838</v>
      </c>
      <c r="D62" s="2" t="s">
        <v>1850</v>
      </c>
      <c r="E62" s="36">
        <v>2.51</v>
      </c>
      <c r="G62" s="2" t="s">
        <v>1945</v>
      </c>
    </row>
    <row r="63">
      <c r="A63" s="2" t="s">
        <v>1946</v>
      </c>
      <c r="B63" s="2" t="s">
        <v>19</v>
      </c>
      <c r="C63" s="2" t="s">
        <v>1838</v>
      </c>
      <c r="D63" s="2" t="s">
        <v>1024</v>
      </c>
      <c r="E63" s="36">
        <v>62.99</v>
      </c>
      <c r="G63" s="2" t="s">
        <v>1947</v>
      </c>
    </row>
    <row r="64">
      <c r="A64" s="2" t="s">
        <v>1948</v>
      </c>
      <c r="B64" s="2" t="s">
        <v>19</v>
      </c>
      <c r="C64" s="2" t="s">
        <v>1838</v>
      </c>
      <c r="D64" s="2" t="s">
        <v>1845</v>
      </c>
      <c r="E64" s="36">
        <v>80.09</v>
      </c>
      <c r="G64" s="2" t="s">
        <v>1949</v>
      </c>
    </row>
    <row r="65">
      <c r="A65" s="2" t="s">
        <v>1950</v>
      </c>
      <c r="B65" s="2" t="s">
        <v>19</v>
      </c>
      <c r="C65" s="2" t="s">
        <v>1838</v>
      </c>
      <c r="D65" s="2" t="s">
        <v>1842</v>
      </c>
      <c r="E65" s="36">
        <v>99.69</v>
      </c>
      <c r="G65" s="2" t="s">
        <v>1951</v>
      </c>
    </row>
    <row r="66">
      <c r="A66" s="2" t="s">
        <v>1952</v>
      </c>
      <c r="B66" s="2" t="s">
        <v>18</v>
      </c>
      <c r="C66" s="2" t="s">
        <v>1838</v>
      </c>
      <c r="D66" s="2" t="s">
        <v>1017</v>
      </c>
      <c r="E66" s="36">
        <v>2.5</v>
      </c>
      <c r="G66" s="2" t="s">
        <v>1908</v>
      </c>
    </row>
    <row r="67">
      <c r="A67" s="2" t="s">
        <v>1953</v>
      </c>
      <c r="B67" s="2" t="s">
        <v>18</v>
      </c>
      <c r="C67" s="2" t="s">
        <v>1838</v>
      </c>
      <c r="D67" s="2" t="s">
        <v>1896</v>
      </c>
      <c r="E67" s="36">
        <v>7.9</v>
      </c>
      <c r="G67" s="2" t="s">
        <v>1897</v>
      </c>
    </row>
    <row r="68">
      <c r="A68" s="2" t="s">
        <v>1953</v>
      </c>
      <c r="B68" s="2" t="s">
        <v>18</v>
      </c>
      <c r="C68" s="2" t="s">
        <v>1838</v>
      </c>
      <c r="D68" s="2" t="s">
        <v>1892</v>
      </c>
      <c r="E68" s="36">
        <v>98.35</v>
      </c>
      <c r="G68" s="2" t="s">
        <v>1893</v>
      </c>
    </row>
    <row r="69">
      <c r="A69" s="2" t="s">
        <v>1954</v>
      </c>
      <c r="B69" s="2" t="s">
        <v>18</v>
      </c>
      <c r="C69" s="2" t="s">
        <v>1838</v>
      </c>
      <c r="D69" s="2" t="s">
        <v>211</v>
      </c>
      <c r="E69" s="36">
        <v>78.51</v>
      </c>
      <c r="G69" s="2" t="s">
        <v>1839</v>
      </c>
    </row>
    <row r="70">
      <c r="A70" s="2" t="s">
        <v>1955</v>
      </c>
      <c r="B70" s="2" t="s">
        <v>18</v>
      </c>
      <c r="C70" s="2" t="s">
        <v>1838</v>
      </c>
      <c r="D70" s="2" t="s">
        <v>1853</v>
      </c>
      <c r="E70" s="36">
        <v>162.3</v>
      </c>
      <c r="G70" s="2" t="s">
        <v>1881</v>
      </c>
    </row>
    <row r="71">
      <c r="A71" s="2" t="s">
        <v>1956</v>
      </c>
      <c r="B71" s="2" t="s">
        <v>18</v>
      </c>
      <c r="C71" s="2" t="s">
        <v>1838</v>
      </c>
      <c r="D71" s="2" t="s">
        <v>1850</v>
      </c>
      <c r="E71" s="36">
        <v>2.72</v>
      </c>
      <c r="G71" s="2" t="s">
        <v>1879</v>
      </c>
    </row>
    <row r="72">
      <c r="A72" s="2" t="s">
        <v>1957</v>
      </c>
      <c r="B72" s="2" t="s">
        <v>18</v>
      </c>
      <c r="C72" s="2" t="s">
        <v>1838</v>
      </c>
      <c r="D72" s="2" t="s">
        <v>1024</v>
      </c>
      <c r="E72" s="36">
        <v>62.81</v>
      </c>
      <c r="G72" s="2" t="s">
        <v>1877</v>
      </c>
    </row>
    <row r="73">
      <c r="A73" s="2" t="s">
        <v>1958</v>
      </c>
      <c r="B73" s="2" t="s">
        <v>18</v>
      </c>
      <c r="C73" s="2" t="s">
        <v>1838</v>
      </c>
      <c r="D73" s="2" t="s">
        <v>1845</v>
      </c>
      <c r="E73" s="36">
        <v>83.32</v>
      </c>
      <c r="G73" s="2" t="s">
        <v>1875</v>
      </c>
    </row>
    <row r="74">
      <c r="A74" s="2" t="s">
        <v>1959</v>
      </c>
      <c r="B74" s="2" t="s">
        <v>18</v>
      </c>
      <c r="C74" s="2" t="s">
        <v>1838</v>
      </c>
      <c r="D74" s="2" t="s">
        <v>1842</v>
      </c>
      <c r="E74" s="36">
        <v>95.81</v>
      </c>
      <c r="G74" s="2" t="s">
        <v>1873</v>
      </c>
    </row>
    <row r="75">
      <c r="A75" s="2" t="s">
        <v>1960</v>
      </c>
      <c r="B75" s="2" t="s">
        <v>20</v>
      </c>
      <c r="C75" s="2" t="s">
        <v>1858</v>
      </c>
      <c r="D75" s="2" t="s">
        <v>1869</v>
      </c>
      <c r="F75" s="2" t="s">
        <v>1870</v>
      </c>
      <c r="G75" s="2" t="s">
        <v>1961</v>
      </c>
    </row>
    <row r="76">
      <c r="A76" s="2" t="s">
        <v>1962</v>
      </c>
      <c r="B76" s="2" t="s">
        <v>20</v>
      </c>
      <c r="C76" s="2" t="s">
        <v>1858</v>
      </c>
      <c r="D76" s="2" t="s">
        <v>1866</v>
      </c>
      <c r="F76" s="160">
        <v>46257.0</v>
      </c>
      <c r="G76" s="2" t="s">
        <v>1963</v>
      </c>
    </row>
    <row r="77">
      <c r="A77" s="2" t="s">
        <v>1962</v>
      </c>
      <c r="B77" s="2" t="s">
        <v>20</v>
      </c>
      <c r="C77" s="2" t="s">
        <v>1858</v>
      </c>
      <c r="D77" s="2" t="s">
        <v>1863</v>
      </c>
      <c r="F77" s="160">
        <v>46206.0</v>
      </c>
      <c r="G77" s="2" t="s">
        <v>1964</v>
      </c>
    </row>
    <row r="78">
      <c r="A78" s="2" t="s">
        <v>1965</v>
      </c>
      <c r="B78" s="2" t="s">
        <v>20</v>
      </c>
      <c r="C78" s="2" t="s">
        <v>1858</v>
      </c>
      <c r="D78" s="2" t="s">
        <v>1859</v>
      </c>
      <c r="F78" s="2" t="s">
        <v>1966</v>
      </c>
      <c r="G78" s="2" t="s">
        <v>1967</v>
      </c>
    </row>
    <row r="79">
      <c r="A79" s="2" t="s">
        <v>1968</v>
      </c>
      <c r="B79" s="2" t="s">
        <v>19</v>
      </c>
      <c r="C79" s="2" t="s">
        <v>1858</v>
      </c>
      <c r="D79" s="2" t="s">
        <v>1869</v>
      </c>
      <c r="F79" s="2" t="s">
        <v>1870</v>
      </c>
      <c r="G79" s="2" t="s">
        <v>1969</v>
      </c>
    </row>
    <row r="80">
      <c r="A80" s="2" t="s">
        <v>1970</v>
      </c>
      <c r="B80" s="2" t="s">
        <v>20</v>
      </c>
      <c r="C80" s="2" t="s">
        <v>1838</v>
      </c>
      <c r="D80" s="2" t="s">
        <v>1896</v>
      </c>
      <c r="E80" s="36">
        <v>8.9</v>
      </c>
      <c r="G80" s="2" t="s">
        <v>1919</v>
      </c>
    </row>
    <row r="81">
      <c r="A81" s="2" t="s">
        <v>1971</v>
      </c>
      <c r="B81" s="2" t="s">
        <v>20</v>
      </c>
      <c r="C81" s="2" t="s">
        <v>1838</v>
      </c>
      <c r="D81" s="2" t="s">
        <v>1892</v>
      </c>
      <c r="E81" s="36">
        <v>98.14</v>
      </c>
      <c r="G81" s="2" t="s">
        <v>1921</v>
      </c>
    </row>
    <row r="82">
      <c r="A82" s="2" t="s">
        <v>1972</v>
      </c>
      <c r="B82" s="2" t="s">
        <v>20</v>
      </c>
      <c r="C82" s="2" t="s">
        <v>1838</v>
      </c>
      <c r="D82" s="2" t="s">
        <v>1017</v>
      </c>
      <c r="E82" s="36">
        <v>6.1</v>
      </c>
      <c r="G82" s="2" t="s">
        <v>1923</v>
      </c>
    </row>
    <row r="83">
      <c r="A83" s="2" t="s">
        <v>1973</v>
      </c>
      <c r="B83" s="2" t="s">
        <v>20</v>
      </c>
      <c r="C83" s="2" t="s">
        <v>1838</v>
      </c>
      <c r="D83" s="2" t="s">
        <v>1853</v>
      </c>
      <c r="E83" s="36">
        <v>144.8</v>
      </c>
      <c r="G83" s="2" t="s">
        <v>1924</v>
      </c>
    </row>
    <row r="84">
      <c r="A84" s="2" t="s">
        <v>1974</v>
      </c>
      <c r="B84" s="2" t="s">
        <v>20</v>
      </c>
      <c r="C84" s="2" t="s">
        <v>1838</v>
      </c>
      <c r="D84" s="2" t="s">
        <v>1850</v>
      </c>
      <c r="E84" s="36">
        <v>2.74</v>
      </c>
      <c r="G84" s="2" t="s">
        <v>1926</v>
      </c>
    </row>
    <row r="85">
      <c r="A85" s="2" t="s">
        <v>1975</v>
      </c>
      <c r="B85" s="2" t="s">
        <v>20</v>
      </c>
      <c r="C85" s="2" t="s">
        <v>1838</v>
      </c>
      <c r="D85" s="2" t="s">
        <v>211</v>
      </c>
      <c r="E85" s="36">
        <v>85.48</v>
      </c>
      <c r="G85" s="2" t="s">
        <v>1928</v>
      </c>
    </row>
    <row r="86">
      <c r="A86" s="2" t="s">
        <v>1975</v>
      </c>
      <c r="B86" s="2" t="s">
        <v>20</v>
      </c>
      <c r="C86" s="2" t="s">
        <v>1838</v>
      </c>
      <c r="D86" s="2" t="s">
        <v>1024</v>
      </c>
      <c r="E86" s="36">
        <v>68.38</v>
      </c>
      <c r="G86" s="2" t="s">
        <v>1930</v>
      </c>
    </row>
    <row r="87">
      <c r="A87" s="2" t="s">
        <v>1976</v>
      </c>
      <c r="B87" s="2" t="s">
        <v>20</v>
      </c>
      <c r="C87" s="2" t="s">
        <v>1838</v>
      </c>
      <c r="D87" s="2" t="s">
        <v>1845</v>
      </c>
      <c r="E87" s="36">
        <v>90.02</v>
      </c>
      <c r="G87" s="2" t="s">
        <v>1932</v>
      </c>
    </row>
    <row r="88">
      <c r="A88" s="2" t="s">
        <v>1977</v>
      </c>
      <c r="B88" s="2" t="s">
        <v>20</v>
      </c>
      <c r="C88" s="2" t="s">
        <v>1838</v>
      </c>
      <c r="D88" s="2" t="s">
        <v>1842</v>
      </c>
      <c r="E88" s="36">
        <v>96.76</v>
      </c>
      <c r="G88" s="2" t="s">
        <v>1934</v>
      </c>
    </row>
    <row r="89">
      <c r="A89" s="2" t="s">
        <v>1978</v>
      </c>
      <c r="B89" s="2" t="s">
        <v>19</v>
      </c>
      <c r="C89" s="2" t="s">
        <v>1838</v>
      </c>
      <c r="D89" s="2" t="s">
        <v>1896</v>
      </c>
      <c r="E89" s="36">
        <v>12.3</v>
      </c>
      <c r="G89" s="2" t="s">
        <v>1936</v>
      </c>
    </row>
    <row r="90">
      <c r="A90" s="2" t="s">
        <v>1979</v>
      </c>
      <c r="B90" s="2" t="s">
        <v>19</v>
      </c>
      <c r="C90" s="2" t="s">
        <v>1838</v>
      </c>
      <c r="D90" s="2" t="s">
        <v>1892</v>
      </c>
      <c r="E90" s="36">
        <v>97.43</v>
      </c>
      <c r="G90" s="2" t="s">
        <v>1938</v>
      </c>
    </row>
    <row r="91">
      <c r="A91" s="2" t="s">
        <v>1980</v>
      </c>
      <c r="B91" s="2" t="s">
        <v>19</v>
      </c>
      <c r="C91" s="2" t="s">
        <v>1838</v>
      </c>
      <c r="D91" s="2" t="s">
        <v>211</v>
      </c>
      <c r="E91" s="36">
        <v>85.72</v>
      </c>
      <c r="G91" s="2" t="s">
        <v>1939</v>
      </c>
    </row>
    <row r="92">
      <c r="A92" s="2" t="s">
        <v>1981</v>
      </c>
      <c r="B92" s="2" t="s">
        <v>19</v>
      </c>
      <c r="C92" s="2" t="s">
        <v>1838</v>
      </c>
      <c r="D92" s="2" t="s">
        <v>1017</v>
      </c>
      <c r="E92" s="36">
        <v>7.9</v>
      </c>
      <c r="G92" s="2" t="s">
        <v>1941</v>
      </c>
    </row>
    <row r="93">
      <c r="A93" s="2" t="s">
        <v>1982</v>
      </c>
      <c r="B93" s="2" t="s">
        <v>19</v>
      </c>
      <c r="C93" s="2" t="s">
        <v>1838</v>
      </c>
      <c r="D93" s="2" t="s">
        <v>1853</v>
      </c>
      <c r="E93" s="36">
        <v>150.3</v>
      </c>
      <c r="G93" s="2" t="s">
        <v>1943</v>
      </c>
    </row>
    <row r="94">
      <c r="A94" s="2" t="s">
        <v>1983</v>
      </c>
      <c r="B94" s="2" t="s">
        <v>19</v>
      </c>
      <c r="C94" s="2" t="s">
        <v>1838</v>
      </c>
      <c r="D94" s="2" t="s">
        <v>1850</v>
      </c>
      <c r="E94" s="36">
        <v>3.96</v>
      </c>
      <c r="G94" s="2" t="s">
        <v>1945</v>
      </c>
    </row>
    <row r="95">
      <c r="A95" s="2" t="s">
        <v>1983</v>
      </c>
      <c r="B95" s="2" t="s">
        <v>19</v>
      </c>
      <c r="C95" s="2" t="s">
        <v>1838</v>
      </c>
      <c r="D95" s="2" t="s">
        <v>1024</v>
      </c>
      <c r="E95" s="36">
        <v>68.58</v>
      </c>
      <c r="G95" s="2" t="s">
        <v>1947</v>
      </c>
    </row>
    <row r="96">
      <c r="A96" s="2" t="s">
        <v>1984</v>
      </c>
      <c r="B96" s="2" t="s">
        <v>19</v>
      </c>
      <c r="C96" s="2" t="s">
        <v>1838</v>
      </c>
      <c r="D96" s="2" t="s">
        <v>1845</v>
      </c>
      <c r="E96" s="36">
        <v>90.82</v>
      </c>
      <c r="G96" s="2" t="s">
        <v>1949</v>
      </c>
    </row>
    <row r="97">
      <c r="A97" s="2" t="s">
        <v>1985</v>
      </c>
      <c r="B97" s="2" t="s">
        <v>19</v>
      </c>
      <c r="C97" s="2" t="s">
        <v>1838</v>
      </c>
      <c r="D97" s="2" t="s">
        <v>1842</v>
      </c>
      <c r="E97" s="36">
        <v>96.87</v>
      </c>
      <c r="G97" s="2" t="s">
        <v>1951</v>
      </c>
    </row>
    <row r="98">
      <c r="A98" s="2" t="s">
        <v>1986</v>
      </c>
      <c r="B98" s="2" t="s">
        <v>18</v>
      </c>
      <c r="C98" s="2" t="s">
        <v>1838</v>
      </c>
      <c r="D98" s="2" t="s">
        <v>1017</v>
      </c>
      <c r="E98" s="36">
        <v>3.4</v>
      </c>
      <c r="G98" s="2" t="s">
        <v>1908</v>
      </c>
    </row>
    <row r="99">
      <c r="A99" s="2" t="s">
        <v>1987</v>
      </c>
      <c r="B99" s="2" t="s">
        <v>18</v>
      </c>
      <c r="C99" s="2" t="s">
        <v>1838</v>
      </c>
      <c r="D99" s="2" t="s">
        <v>1896</v>
      </c>
      <c r="E99" s="36">
        <v>8.4</v>
      </c>
      <c r="G99" s="2" t="s">
        <v>1897</v>
      </c>
    </row>
    <row r="100">
      <c r="A100" s="2" t="s">
        <v>1988</v>
      </c>
      <c r="B100" s="2" t="s">
        <v>18</v>
      </c>
      <c r="C100" s="2" t="s">
        <v>1838</v>
      </c>
      <c r="D100" s="2" t="s">
        <v>1892</v>
      </c>
      <c r="E100" s="36">
        <v>98.24</v>
      </c>
      <c r="G100" s="2" t="s">
        <v>1893</v>
      </c>
    </row>
    <row r="101">
      <c r="A101" s="2" t="s">
        <v>1989</v>
      </c>
      <c r="B101" s="2" t="s">
        <v>18</v>
      </c>
      <c r="C101" s="2" t="s">
        <v>1838</v>
      </c>
      <c r="D101" s="2" t="s">
        <v>211</v>
      </c>
      <c r="E101" s="36">
        <v>89.38</v>
      </c>
      <c r="G101" s="2" t="s">
        <v>1839</v>
      </c>
    </row>
    <row r="102">
      <c r="A102" s="2" t="s">
        <v>1989</v>
      </c>
      <c r="B102" s="2" t="s">
        <v>18</v>
      </c>
      <c r="C102" s="2" t="s">
        <v>1838</v>
      </c>
      <c r="D102" s="2" t="s">
        <v>1853</v>
      </c>
      <c r="E102" s="36">
        <v>94.7</v>
      </c>
      <c r="G102" s="2" t="s">
        <v>1881</v>
      </c>
    </row>
    <row r="103">
      <c r="A103" s="2" t="s">
        <v>1990</v>
      </c>
      <c r="B103" s="2" t="s">
        <v>18</v>
      </c>
      <c r="C103" s="2" t="s">
        <v>1838</v>
      </c>
      <c r="D103" s="2" t="s">
        <v>1850</v>
      </c>
      <c r="E103" s="36">
        <v>1.7</v>
      </c>
      <c r="G103" s="2" t="s">
        <v>1879</v>
      </c>
    </row>
    <row r="104">
      <c r="A104" s="2" t="s">
        <v>1991</v>
      </c>
      <c r="B104" s="2" t="s">
        <v>18</v>
      </c>
      <c r="C104" s="2" t="s">
        <v>1838</v>
      </c>
      <c r="D104" s="2" t="s">
        <v>1024</v>
      </c>
      <c r="E104" s="36">
        <v>71.5</v>
      </c>
      <c r="G104" s="2" t="s">
        <v>1877</v>
      </c>
    </row>
    <row r="105">
      <c r="A105" s="2" t="s">
        <v>1992</v>
      </c>
      <c r="B105" s="2" t="s">
        <v>18</v>
      </c>
      <c r="C105" s="2" t="s">
        <v>1838</v>
      </c>
      <c r="D105" s="2" t="s">
        <v>1845</v>
      </c>
      <c r="E105" s="36">
        <v>95.07</v>
      </c>
      <c r="G105" s="2" t="s">
        <v>1875</v>
      </c>
    </row>
    <row r="106">
      <c r="A106" s="2" t="s">
        <v>1993</v>
      </c>
      <c r="B106" s="2" t="s">
        <v>18</v>
      </c>
      <c r="C106" s="2" t="s">
        <v>1838</v>
      </c>
      <c r="D106" s="2" t="s">
        <v>1842</v>
      </c>
      <c r="E106" s="36">
        <v>95.7</v>
      </c>
      <c r="G106" s="2" t="s">
        <v>1873</v>
      </c>
    </row>
    <row r="107">
      <c r="A107" s="2" t="s">
        <v>1994</v>
      </c>
      <c r="B107" s="2" t="s">
        <v>20</v>
      </c>
      <c r="C107" s="2" t="s">
        <v>1838</v>
      </c>
      <c r="D107" s="2" t="s">
        <v>1896</v>
      </c>
      <c r="E107" s="36">
        <v>8.2</v>
      </c>
      <c r="G107" s="2" t="s">
        <v>1919</v>
      </c>
    </row>
    <row r="108">
      <c r="A108" s="2" t="s">
        <v>1995</v>
      </c>
      <c r="B108" s="2" t="s">
        <v>20</v>
      </c>
      <c r="C108" s="2" t="s">
        <v>1838</v>
      </c>
      <c r="D108" s="2" t="s">
        <v>1892</v>
      </c>
      <c r="E108" s="36">
        <v>98.3</v>
      </c>
      <c r="G108" s="2" t="s">
        <v>1921</v>
      </c>
    </row>
    <row r="109">
      <c r="A109" s="2" t="s">
        <v>1996</v>
      </c>
      <c r="B109" s="2" t="s">
        <v>20</v>
      </c>
      <c r="C109" s="2" t="s">
        <v>1838</v>
      </c>
      <c r="D109" s="2" t="s">
        <v>1017</v>
      </c>
      <c r="E109" s="36">
        <v>4.8</v>
      </c>
      <c r="G109" s="2" t="s">
        <v>1923</v>
      </c>
    </row>
    <row r="110">
      <c r="A110" s="2" t="s">
        <v>1996</v>
      </c>
      <c r="B110" s="2" t="s">
        <v>20</v>
      </c>
      <c r="C110" s="2" t="s">
        <v>1838</v>
      </c>
      <c r="D110" s="2" t="s">
        <v>1853</v>
      </c>
      <c r="E110" s="36">
        <v>137.9</v>
      </c>
      <c r="G110" s="2" t="s">
        <v>1924</v>
      </c>
    </row>
    <row r="111">
      <c r="A111" s="2" t="s">
        <v>1997</v>
      </c>
      <c r="B111" s="2" t="s">
        <v>20</v>
      </c>
      <c r="C111" s="2" t="s">
        <v>1838</v>
      </c>
      <c r="D111" s="2" t="s">
        <v>1850</v>
      </c>
      <c r="E111" s="36">
        <v>2.39</v>
      </c>
      <c r="G111" s="2" t="s">
        <v>1926</v>
      </c>
    </row>
    <row r="112">
      <c r="A112" s="2" t="s">
        <v>1998</v>
      </c>
      <c r="B112" s="2" t="s">
        <v>20</v>
      </c>
      <c r="C112" s="2" t="s">
        <v>1838</v>
      </c>
      <c r="D112" s="2" t="s">
        <v>211</v>
      </c>
      <c r="E112" s="36">
        <v>93.15</v>
      </c>
      <c r="G112" s="2" t="s">
        <v>1928</v>
      </c>
    </row>
    <row r="113">
      <c r="A113" s="2" t="s">
        <v>1999</v>
      </c>
      <c r="B113" s="2" t="s">
        <v>20</v>
      </c>
      <c r="C113" s="2" t="s">
        <v>1838</v>
      </c>
      <c r="D113" s="2" t="s">
        <v>1024</v>
      </c>
      <c r="E113" s="36">
        <v>74.52</v>
      </c>
      <c r="G113" s="2" t="s">
        <v>1930</v>
      </c>
    </row>
    <row r="114">
      <c r="A114" s="2" t="s">
        <v>1999</v>
      </c>
      <c r="B114" s="2" t="s">
        <v>20</v>
      </c>
      <c r="C114" s="2" t="s">
        <v>1838</v>
      </c>
      <c r="D114" s="2" t="s">
        <v>1845</v>
      </c>
      <c r="E114" s="36">
        <v>98.09</v>
      </c>
      <c r="G114" s="2" t="s">
        <v>1932</v>
      </c>
    </row>
    <row r="115">
      <c r="A115" s="2" t="s">
        <v>2000</v>
      </c>
      <c r="B115" s="2" t="s">
        <v>20</v>
      </c>
      <c r="C115" s="2" t="s">
        <v>1838</v>
      </c>
      <c r="D115" s="2" t="s">
        <v>1842</v>
      </c>
      <c r="E115" s="36">
        <v>96.61</v>
      </c>
      <c r="G115" s="2" t="s">
        <v>1934</v>
      </c>
    </row>
    <row r="116">
      <c r="A116" s="2" t="s">
        <v>2001</v>
      </c>
      <c r="B116" s="2" t="s">
        <v>19</v>
      </c>
      <c r="C116" s="2" t="s">
        <v>1838</v>
      </c>
      <c r="D116" s="2" t="s">
        <v>1896</v>
      </c>
      <c r="E116" s="36">
        <v>11.4</v>
      </c>
      <c r="G116" s="2" t="s">
        <v>1936</v>
      </c>
    </row>
    <row r="117">
      <c r="A117" s="2" t="s">
        <v>2002</v>
      </c>
      <c r="B117" s="2" t="s">
        <v>19</v>
      </c>
      <c r="C117" s="2" t="s">
        <v>1838</v>
      </c>
      <c r="D117" s="2" t="s">
        <v>1892</v>
      </c>
      <c r="E117" s="36">
        <v>97.63</v>
      </c>
      <c r="G117" s="2" t="s">
        <v>1938</v>
      </c>
    </row>
    <row r="118">
      <c r="A118" s="2" t="s">
        <v>2003</v>
      </c>
      <c r="B118" s="2" t="s">
        <v>19</v>
      </c>
      <c r="C118" s="2" t="s">
        <v>1838</v>
      </c>
      <c r="D118" s="2" t="s">
        <v>211</v>
      </c>
      <c r="E118" s="36">
        <v>82.14</v>
      </c>
      <c r="G118" s="2" t="s">
        <v>1939</v>
      </c>
    </row>
    <row r="119">
      <c r="A119" s="2" t="s">
        <v>2003</v>
      </c>
      <c r="B119" s="2" t="s">
        <v>19</v>
      </c>
      <c r="C119" s="2" t="s">
        <v>1838</v>
      </c>
      <c r="D119" s="2" t="s">
        <v>1017</v>
      </c>
      <c r="E119" s="36">
        <v>5.1</v>
      </c>
      <c r="G119" s="2" t="s">
        <v>1941</v>
      </c>
    </row>
    <row r="120">
      <c r="A120" s="2" t="s">
        <v>2004</v>
      </c>
      <c r="B120" s="2" t="s">
        <v>19</v>
      </c>
      <c r="C120" s="2" t="s">
        <v>1838</v>
      </c>
      <c r="D120" s="2" t="s">
        <v>1853</v>
      </c>
      <c r="E120" s="36">
        <v>103.4</v>
      </c>
      <c r="G120" s="2" t="s">
        <v>1943</v>
      </c>
    </row>
    <row r="121">
      <c r="A121" s="2" t="s">
        <v>2005</v>
      </c>
      <c r="B121" s="2" t="s">
        <v>19</v>
      </c>
      <c r="C121" s="2" t="s">
        <v>1838</v>
      </c>
      <c r="D121" s="2" t="s">
        <v>1850</v>
      </c>
      <c r="E121" s="36">
        <v>2.51</v>
      </c>
      <c r="G121" s="2" t="s">
        <v>1945</v>
      </c>
    </row>
    <row r="122">
      <c r="A122" s="2" t="s">
        <v>2006</v>
      </c>
      <c r="B122" s="2" t="s">
        <v>19</v>
      </c>
      <c r="C122" s="2" t="s">
        <v>1838</v>
      </c>
      <c r="D122" s="2" t="s">
        <v>1024</v>
      </c>
      <c r="E122" s="36">
        <v>65.71</v>
      </c>
      <c r="G122" s="2" t="s">
        <v>1947</v>
      </c>
    </row>
    <row r="123">
      <c r="A123" s="2" t="s">
        <v>2006</v>
      </c>
      <c r="B123" s="2" t="s">
        <v>19</v>
      </c>
      <c r="C123" s="2" t="s">
        <v>1838</v>
      </c>
      <c r="D123" s="2" t="s">
        <v>1845</v>
      </c>
      <c r="E123" s="36">
        <v>87.99</v>
      </c>
      <c r="G123" s="2" t="s">
        <v>1949</v>
      </c>
    </row>
    <row r="124">
      <c r="A124" s="2" t="s">
        <v>2007</v>
      </c>
      <c r="B124" s="2" t="s">
        <v>19</v>
      </c>
      <c r="C124" s="2" t="s">
        <v>1838</v>
      </c>
      <c r="D124" s="2" t="s">
        <v>1842</v>
      </c>
      <c r="E124" s="36">
        <v>95.62</v>
      </c>
      <c r="G124" s="2" t="s">
        <v>1951</v>
      </c>
    </row>
    <row r="125">
      <c r="A125" s="2" t="s">
        <v>2008</v>
      </c>
      <c r="B125" s="2" t="s">
        <v>18</v>
      </c>
      <c r="C125" s="2" t="s">
        <v>1838</v>
      </c>
      <c r="D125" s="2" t="s">
        <v>1017</v>
      </c>
      <c r="E125" s="36">
        <v>3.8</v>
      </c>
      <c r="G125" s="2" t="s">
        <v>1908</v>
      </c>
    </row>
    <row r="126">
      <c r="A126" s="2" t="s">
        <v>2009</v>
      </c>
      <c r="B126" s="2" t="s">
        <v>18</v>
      </c>
      <c r="C126" s="2" t="s">
        <v>1838</v>
      </c>
      <c r="D126" s="2" t="s">
        <v>1896</v>
      </c>
      <c r="E126" s="36">
        <v>6.6</v>
      </c>
      <c r="G126" s="2" t="s">
        <v>1897</v>
      </c>
    </row>
    <row r="127">
      <c r="A127" s="2" t="s">
        <v>2009</v>
      </c>
      <c r="B127" s="2" t="s">
        <v>18</v>
      </c>
      <c r="C127" s="2" t="s">
        <v>1838</v>
      </c>
      <c r="D127" s="2" t="s">
        <v>1892</v>
      </c>
      <c r="E127" s="36">
        <v>98.62</v>
      </c>
      <c r="G127" s="2" t="s">
        <v>1893</v>
      </c>
    </row>
    <row r="128">
      <c r="A128" s="2" t="s">
        <v>2010</v>
      </c>
      <c r="B128" s="2" t="s">
        <v>18</v>
      </c>
      <c r="C128" s="2" t="s">
        <v>1838</v>
      </c>
      <c r="D128" s="2" t="s">
        <v>211</v>
      </c>
      <c r="E128" s="36">
        <v>93.0</v>
      </c>
      <c r="G128" s="2" t="s">
        <v>1839</v>
      </c>
    </row>
    <row r="129">
      <c r="A129" s="2" t="s">
        <v>2011</v>
      </c>
      <c r="B129" s="2" t="s">
        <v>18</v>
      </c>
      <c r="C129" s="2" t="s">
        <v>1838</v>
      </c>
      <c r="D129" s="2" t="s">
        <v>1853</v>
      </c>
      <c r="E129" s="36">
        <v>164.0</v>
      </c>
      <c r="G129" s="2" t="s">
        <v>1881</v>
      </c>
    </row>
    <row r="130">
      <c r="A130" s="2" t="s">
        <v>2011</v>
      </c>
      <c r="B130" s="2" t="s">
        <v>18</v>
      </c>
      <c r="C130" s="2" t="s">
        <v>1838</v>
      </c>
      <c r="D130" s="2" t="s">
        <v>1850</v>
      </c>
      <c r="E130" s="36">
        <v>2.29</v>
      </c>
      <c r="G130" s="2" t="s">
        <v>1879</v>
      </c>
    </row>
    <row r="131">
      <c r="A131" s="2" t="s">
        <v>2012</v>
      </c>
      <c r="B131" s="2" t="s">
        <v>18</v>
      </c>
      <c r="C131" s="2" t="s">
        <v>1838</v>
      </c>
      <c r="D131" s="2" t="s">
        <v>1024</v>
      </c>
      <c r="E131" s="36">
        <v>74.4</v>
      </c>
      <c r="G131" s="2" t="s">
        <v>1877</v>
      </c>
    </row>
    <row r="132">
      <c r="A132" s="2" t="s">
        <v>2013</v>
      </c>
      <c r="B132" s="2" t="s">
        <v>18</v>
      </c>
      <c r="C132" s="2" t="s">
        <v>1838</v>
      </c>
      <c r="D132" s="2" t="s">
        <v>1845</v>
      </c>
      <c r="E132" s="36">
        <v>94.94</v>
      </c>
      <c r="G132" s="2" t="s">
        <v>1875</v>
      </c>
    </row>
    <row r="133">
      <c r="A133" s="2" t="s">
        <v>2014</v>
      </c>
      <c r="B133" s="2" t="s">
        <v>18</v>
      </c>
      <c r="C133" s="2" t="s">
        <v>1838</v>
      </c>
      <c r="D133" s="2" t="s">
        <v>1842</v>
      </c>
      <c r="E133" s="36">
        <v>99.33</v>
      </c>
      <c r="G133" s="2" t="s">
        <v>1873</v>
      </c>
    </row>
    <row r="134">
      <c r="A134" s="2" t="s">
        <v>2014</v>
      </c>
      <c r="B134" s="2" t="s">
        <v>20</v>
      </c>
      <c r="C134" s="2" t="s">
        <v>1858</v>
      </c>
      <c r="D134" s="2" t="s">
        <v>1869</v>
      </c>
      <c r="F134" s="2" t="s">
        <v>1870</v>
      </c>
      <c r="G134" s="2" t="s">
        <v>1961</v>
      </c>
    </row>
    <row r="135">
      <c r="A135" s="2" t="s">
        <v>2015</v>
      </c>
      <c r="B135" s="2" t="s">
        <v>20</v>
      </c>
      <c r="C135" s="2" t="s">
        <v>1858</v>
      </c>
      <c r="D135" s="2" t="s">
        <v>1866</v>
      </c>
      <c r="F135" s="160">
        <v>46255.0</v>
      </c>
      <c r="G135" s="2" t="s">
        <v>1963</v>
      </c>
    </row>
    <row r="136">
      <c r="A136" s="2" t="s">
        <v>2016</v>
      </c>
      <c r="B136" s="2" t="s">
        <v>20</v>
      </c>
      <c r="C136" s="2" t="s">
        <v>1858</v>
      </c>
      <c r="D136" s="2" t="s">
        <v>1863</v>
      </c>
      <c r="F136" s="160">
        <v>46171.0</v>
      </c>
      <c r="G136" s="2" t="s">
        <v>1964</v>
      </c>
    </row>
    <row r="137">
      <c r="A137" s="2" t="s">
        <v>2017</v>
      </c>
      <c r="B137" s="2" t="s">
        <v>20</v>
      </c>
      <c r="C137" s="2" t="s">
        <v>1858</v>
      </c>
      <c r="D137" s="2" t="s">
        <v>1859</v>
      </c>
      <c r="F137" s="2" t="s">
        <v>2018</v>
      </c>
      <c r="G137" s="2" t="s">
        <v>1967</v>
      </c>
    </row>
    <row r="138">
      <c r="A138" s="2" t="s">
        <v>2017</v>
      </c>
      <c r="B138" s="2" t="s">
        <v>19</v>
      </c>
      <c r="C138" s="2" t="s">
        <v>1858</v>
      </c>
      <c r="D138" s="2" t="s">
        <v>1869</v>
      </c>
      <c r="F138" s="2" t="s">
        <v>2019</v>
      </c>
      <c r="G138" s="2" t="s">
        <v>1969</v>
      </c>
    </row>
    <row r="139">
      <c r="A139" s="2" t="s">
        <v>2020</v>
      </c>
      <c r="B139" s="2" t="s">
        <v>19</v>
      </c>
      <c r="C139" s="2" t="s">
        <v>1858</v>
      </c>
      <c r="D139" s="2" t="s">
        <v>1866</v>
      </c>
      <c r="F139" s="160">
        <v>46262.0</v>
      </c>
      <c r="G139" s="2" t="s">
        <v>2021</v>
      </c>
    </row>
    <row r="140">
      <c r="A140" s="2" t="s">
        <v>2022</v>
      </c>
      <c r="B140" s="2" t="s">
        <v>19</v>
      </c>
      <c r="C140" s="2" t="s">
        <v>1858</v>
      </c>
      <c r="D140" s="2" t="s">
        <v>1863</v>
      </c>
      <c r="F140" s="160">
        <v>46176.0</v>
      </c>
      <c r="G140" s="2" t="s">
        <v>2023</v>
      </c>
    </row>
    <row r="141">
      <c r="A141" s="2" t="s">
        <v>2024</v>
      </c>
      <c r="B141" s="2" t="s">
        <v>20</v>
      </c>
      <c r="C141" s="2" t="s">
        <v>1838</v>
      </c>
      <c r="D141" s="2" t="s">
        <v>1896</v>
      </c>
      <c r="E141" s="36">
        <v>7.0</v>
      </c>
      <c r="G141" s="2" t="s">
        <v>1919</v>
      </c>
    </row>
    <row r="142">
      <c r="A142" s="2" t="s">
        <v>2025</v>
      </c>
      <c r="B142" s="2" t="s">
        <v>20</v>
      </c>
      <c r="C142" s="2" t="s">
        <v>1838</v>
      </c>
      <c r="D142" s="2" t="s">
        <v>1892</v>
      </c>
      <c r="E142" s="36">
        <v>98.54</v>
      </c>
      <c r="G142" s="2" t="s">
        <v>1921</v>
      </c>
    </row>
    <row r="143">
      <c r="A143" s="2" t="s">
        <v>2026</v>
      </c>
      <c r="B143" s="2" t="s">
        <v>20</v>
      </c>
      <c r="C143" s="2" t="s">
        <v>1838</v>
      </c>
      <c r="D143" s="2" t="s">
        <v>1017</v>
      </c>
      <c r="E143" s="36">
        <v>3.5</v>
      </c>
      <c r="G143" s="2" t="s">
        <v>1923</v>
      </c>
    </row>
    <row r="144">
      <c r="A144" s="2" t="s">
        <v>2027</v>
      </c>
      <c r="B144" s="2" t="s">
        <v>20</v>
      </c>
      <c r="C144" s="2" t="s">
        <v>1838</v>
      </c>
      <c r="D144" s="2" t="s">
        <v>1853</v>
      </c>
      <c r="E144" s="36">
        <v>64.9</v>
      </c>
      <c r="G144" s="2" t="s">
        <v>1924</v>
      </c>
    </row>
    <row r="145">
      <c r="A145" s="2" t="s">
        <v>2027</v>
      </c>
      <c r="B145" s="2" t="s">
        <v>20</v>
      </c>
      <c r="C145" s="2" t="s">
        <v>1838</v>
      </c>
      <c r="D145" s="2" t="s">
        <v>1850</v>
      </c>
      <c r="E145" s="36">
        <v>0.96</v>
      </c>
      <c r="G145" s="2" t="s">
        <v>1926</v>
      </c>
    </row>
    <row r="146">
      <c r="A146" s="2" t="s">
        <v>2028</v>
      </c>
      <c r="B146" s="2" t="s">
        <v>20</v>
      </c>
      <c r="C146" s="2" t="s">
        <v>1838</v>
      </c>
      <c r="D146" s="2" t="s">
        <v>211</v>
      </c>
      <c r="E146" s="36">
        <v>77.78</v>
      </c>
      <c r="G146" s="2" t="s">
        <v>1928</v>
      </c>
    </row>
    <row r="147">
      <c r="A147" s="2" t="s">
        <v>2029</v>
      </c>
      <c r="B147" s="2" t="s">
        <v>20</v>
      </c>
      <c r="C147" s="2" t="s">
        <v>1838</v>
      </c>
      <c r="D147" s="2" t="s">
        <v>1024</v>
      </c>
      <c r="E147" s="36">
        <v>62.22</v>
      </c>
      <c r="G147" s="2" t="s">
        <v>1930</v>
      </c>
    </row>
    <row r="148">
      <c r="A148" s="2" t="s">
        <v>2030</v>
      </c>
      <c r="B148" s="2" t="s">
        <v>20</v>
      </c>
      <c r="C148" s="2" t="s">
        <v>1838</v>
      </c>
      <c r="D148" s="2" t="s">
        <v>1845</v>
      </c>
      <c r="E148" s="36">
        <v>82.99</v>
      </c>
      <c r="G148" s="2" t="s">
        <v>1932</v>
      </c>
    </row>
    <row r="149">
      <c r="A149" s="2" t="s">
        <v>2030</v>
      </c>
      <c r="B149" s="2" t="s">
        <v>20</v>
      </c>
      <c r="C149" s="2" t="s">
        <v>1838</v>
      </c>
      <c r="D149" s="2" t="s">
        <v>1842</v>
      </c>
      <c r="E149" s="36">
        <v>95.11</v>
      </c>
      <c r="G149" s="2" t="s">
        <v>1934</v>
      </c>
    </row>
    <row r="150">
      <c r="A150" s="2" t="s">
        <v>2031</v>
      </c>
      <c r="B150" s="2" t="s">
        <v>19</v>
      </c>
      <c r="C150" s="2" t="s">
        <v>1838</v>
      </c>
      <c r="D150" s="2" t="s">
        <v>1896</v>
      </c>
      <c r="E150" s="36">
        <v>6.6</v>
      </c>
      <c r="G150" s="2" t="s">
        <v>1936</v>
      </c>
    </row>
    <row r="151">
      <c r="A151" s="2" t="s">
        <v>2032</v>
      </c>
      <c r="B151" s="2" t="s">
        <v>19</v>
      </c>
      <c r="C151" s="2" t="s">
        <v>1838</v>
      </c>
      <c r="D151" s="2" t="s">
        <v>1892</v>
      </c>
      <c r="E151" s="36">
        <v>98.63</v>
      </c>
      <c r="G151" s="2" t="s">
        <v>1938</v>
      </c>
    </row>
    <row r="152">
      <c r="A152" s="2" t="s">
        <v>2033</v>
      </c>
      <c r="B152" s="2" t="s">
        <v>19</v>
      </c>
      <c r="C152" s="2" t="s">
        <v>1838</v>
      </c>
      <c r="D152" s="2" t="s">
        <v>211</v>
      </c>
      <c r="E152" s="36">
        <v>86.01</v>
      </c>
      <c r="G152" s="2" t="s">
        <v>1939</v>
      </c>
    </row>
    <row r="153">
      <c r="A153" s="2" t="s">
        <v>2034</v>
      </c>
      <c r="B153" s="2" t="s">
        <v>19</v>
      </c>
      <c r="C153" s="2" t="s">
        <v>1838</v>
      </c>
      <c r="D153" s="2" t="s">
        <v>1017</v>
      </c>
      <c r="E153" s="36">
        <v>6.1</v>
      </c>
      <c r="G153" s="2" t="s">
        <v>1941</v>
      </c>
    </row>
    <row r="154">
      <c r="A154" s="2" t="s">
        <v>2034</v>
      </c>
      <c r="B154" s="2" t="s">
        <v>19</v>
      </c>
      <c r="C154" s="2" t="s">
        <v>1838</v>
      </c>
      <c r="D154" s="2" t="s">
        <v>1853</v>
      </c>
      <c r="E154" s="36">
        <v>113.2</v>
      </c>
      <c r="G154" s="2" t="s">
        <v>1943</v>
      </c>
    </row>
    <row r="155">
      <c r="A155" s="2" t="s">
        <v>2035</v>
      </c>
      <c r="B155" s="2" t="s">
        <v>19</v>
      </c>
      <c r="C155" s="2" t="s">
        <v>1838</v>
      </c>
      <c r="D155" s="2" t="s">
        <v>1850</v>
      </c>
      <c r="E155" s="36">
        <v>1.57</v>
      </c>
      <c r="G155" s="2" t="s">
        <v>1945</v>
      </c>
    </row>
    <row r="156">
      <c r="A156" s="2" t="s">
        <v>2036</v>
      </c>
      <c r="B156" s="2" t="s">
        <v>19</v>
      </c>
      <c r="C156" s="2" t="s">
        <v>1838</v>
      </c>
      <c r="D156" s="2" t="s">
        <v>1024</v>
      </c>
      <c r="E156" s="36">
        <v>68.81</v>
      </c>
      <c r="G156" s="2" t="s">
        <v>1947</v>
      </c>
    </row>
    <row r="157">
      <c r="A157" s="2" t="s">
        <v>2037</v>
      </c>
      <c r="B157" s="2" t="s">
        <v>19</v>
      </c>
      <c r="C157" s="2" t="s">
        <v>1838</v>
      </c>
      <c r="D157" s="2" t="s">
        <v>1845</v>
      </c>
      <c r="E157" s="36">
        <v>91.43</v>
      </c>
      <c r="G157" s="2" t="s">
        <v>1949</v>
      </c>
    </row>
    <row r="158">
      <c r="A158" s="2" t="s">
        <v>2037</v>
      </c>
      <c r="B158" s="2" t="s">
        <v>19</v>
      </c>
      <c r="C158" s="2" t="s">
        <v>1838</v>
      </c>
      <c r="D158" s="2" t="s">
        <v>1842</v>
      </c>
      <c r="E158" s="36">
        <v>95.38</v>
      </c>
      <c r="G158" s="2" t="s">
        <v>1951</v>
      </c>
    </row>
    <row r="159">
      <c r="A159" s="2" t="s">
        <v>2038</v>
      </c>
      <c r="B159" s="2" t="s">
        <v>18</v>
      </c>
      <c r="C159" s="2" t="s">
        <v>1838</v>
      </c>
      <c r="D159" s="2" t="s">
        <v>1017</v>
      </c>
      <c r="E159" s="36">
        <v>3.8</v>
      </c>
      <c r="G159" s="2" t="s">
        <v>1908</v>
      </c>
    </row>
    <row r="160">
      <c r="A160" s="2" t="s">
        <v>2039</v>
      </c>
      <c r="B160" s="2" t="s">
        <v>18</v>
      </c>
      <c r="C160" s="2" t="s">
        <v>1838</v>
      </c>
      <c r="D160" s="2" t="s">
        <v>1896</v>
      </c>
      <c r="E160" s="36">
        <v>7.8</v>
      </c>
      <c r="G160" s="2" t="s">
        <v>1897</v>
      </c>
    </row>
    <row r="161">
      <c r="A161" s="2" t="s">
        <v>2040</v>
      </c>
      <c r="B161" s="2" t="s">
        <v>18</v>
      </c>
      <c r="C161" s="2" t="s">
        <v>1838</v>
      </c>
      <c r="D161" s="2" t="s">
        <v>1892</v>
      </c>
      <c r="E161" s="36">
        <v>98.38</v>
      </c>
      <c r="G161" s="2" t="s">
        <v>1893</v>
      </c>
    </row>
    <row r="162">
      <c r="A162" s="2" t="s">
        <v>2040</v>
      </c>
      <c r="B162" s="2" t="s">
        <v>18</v>
      </c>
      <c r="C162" s="2" t="s">
        <v>1838</v>
      </c>
      <c r="D162" s="2" t="s">
        <v>211</v>
      </c>
      <c r="E162" s="36">
        <v>87.04</v>
      </c>
      <c r="G162" s="2" t="s">
        <v>1839</v>
      </c>
    </row>
    <row r="163">
      <c r="A163" s="2" t="s">
        <v>2041</v>
      </c>
      <c r="B163" s="2" t="s">
        <v>18</v>
      </c>
      <c r="C163" s="2" t="s">
        <v>1838</v>
      </c>
      <c r="D163" s="2" t="s">
        <v>1853</v>
      </c>
      <c r="E163" s="36">
        <v>184.1</v>
      </c>
      <c r="G163" s="2" t="s">
        <v>1881</v>
      </c>
    </row>
    <row r="164">
      <c r="A164" s="2" t="s">
        <v>2042</v>
      </c>
      <c r="B164" s="2" t="s">
        <v>18</v>
      </c>
      <c r="C164" s="2" t="s">
        <v>1838</v>
      </c>
      <c r="D164" s="2" t="s">
        <v>1850</v>
      </c>
      <c r="E164" s="36">
        <v>3.04</v>
      </c>
      <c r="G164" s="2" t="s">
        <v>1879</v>
      </c>
    </row>
    <row r="165">
      <c r="A165" s="2" t="s">
        <v>2043</v>
      </c>
      <c r="B165" s="2" t="s">
        <v>18</v>
      </c>
      <c r="C165" s="2" t="s">
        <v>1838</v>
      </c>
      <c r="D165" s="2" t="s">
        <v>1024</v>
      </c>
      <c r="E165" s="36">
        <v>69.63</v>
      </c>
      <c r="G165" s="2" t="s">
        <v>1877</v>
      </c>
    </row>
    <row r="166">
      <c r="A166" s="2" t="s">
        <v>2044</v>
      </c>
      <c r="B166" s="2" t="s">
        <v>18</v>
      </c>
      <c r="C166" s="2" t="s">
        <v>1838</v>
      </c>
      <c r="D166" s="2" t="s">
        <v>1845</v>
      </c>
      <c r="E166" s="36">
        <v>89.59</v>
      </c>
      <c r="G166" s="2" t="s">
        <v>1875</v>
      </c>
    </row>
    <row r="167">
      <c r="A167" s="2" t="s">
        <v>2044</v>
      </c>
      <c r="B167" s="2" t="s">
        <v>18</v>
      </c>
      <c r="C167" s="2" t="s">
        <v>1838</v>
      </c>
      <c r="D167" s="2" t="s">
        <v>1842</v>
      </c>
      <c r="E167" s="36">
        <v>98.75</v>
      </c>
      <c r="G167" s="2" t="s">
        <v>1873</v>
      </c>
    </row>
    <row r="168">
      <c r="A168" s="2" t="s">
        <v>2045</v>
      </c>
      <c r="B168" s="2" t="s">
        <v>20</v>
      </c>
      <c r="C168" s="2" t="s">
        <v>1858</v>
      </c>
      <c r="D168" s="2" t="s">
        <v>1869</v>
      </c>
      <c r="F168" s="2" t="s">
        <v>1870</v>
      </c>
      <c r="G168" s="2" t="s">
        <v>1961</v>
      </c>
    </row>
    <row r="169">
      <c r="A169" s="2" t="s">
        <v>2046</v>
      </c>
      <c r="B169" s="2" t="s">
        <v>20</v>
      </c>
      <c r="C169" s="2" t="s">
        <v>1858</v>
      </c>
      <c r="D169" s="2" t="s">
        <v>1866</v>
      </c>
      <c r="F169" s="160">
        <v>46225.0</v>
      </c>
      <c r="G169" s="2" t="s">
        <v>1963</v>
      </c>
    </row>
    <row r="170">
      <c r="A170" s="2" t="s">
        <v>2047</v>
      </c>
      <c r="B170" s="2" t="s">
        <v>20</v>
      </c>
      <c r="C170" s="2" t="s">
        <v>1858</v>
      </c>
      <c r="D170" s="2" t="s">
        <v>1863</v>
      </c>
      <c r="F170" s="160">
        <v>46182.0</v>
      </c>
      <c r="G170" s="2" t="s">
        <v>1964</v>
      </c>
    </row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735</v>
      </c>
      <c r="B1" s="2" t="s">
        <v>2048</v>
      </c>
    </row>
    <row r="2">
      <c r="A2" s="2" t="s">
        <v>2049</v>
      </c>
      <c r="B2" s="2" t="s">
        <v>2050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2051</v>
      </c>
    </row>
    <row r="2">
      <c r="A2" s="2" t="s">
        <v>2052</v>
      </c>
    </row>
    <row r="4">
      <c r="A4" s="2" t="s">
        <v>2053</v>
      </c>
    </row>
    <row r="5">
      <c r="A5" s="2" t="s">
        <v>2054</v>
      </c>
      <c r="B5" s="2" t="s">
        <v>31</v>
      </c>
      <c r="C5" s="2" t="s">
        <v>32</v>
      </c>
      <c r="D5" s="2" t="s">
        <v>2055</v>
      </c>
      <c r="E5" s="2" t="s">
        <v>2056</v>
      </c>
      <c r="F5" s="2" t="s">
        <v>2057</v>
      </c>
      <c r="G5" s="2" t="s">
        <v>2058</v>
      </c>
      <c r="H5" s="2" t="s">
        <v>2059</v>
      </c>
      <c r="I5" s="2" t="s">
        <v>727</v>
      </c>
    </row>
    <row r="6">
      <c r="A6" s="2" t="s">
        <v>34</v>
      </c>
      <c r="B6" s="5">
        <f t="shared" ref="B6:B9" si="1">COUNTIFS($D$16:$D$43,A6,$I$16:$I$43,"activo")</f>
        <v>7</v>
      </c>
      <c r="C6" s="2" t="s">
        <v>2060</v>
      </c>
      <c r="D6" s="2" t="s">
        <v>2061</v>
      </c>
      <c r="E6" s="5">
        <f t="shared" ref="E6:E9" si="2">IF(G6=0,0,G6/(1+F6/100))</f>
        <v>8479067.36</v>
      </c>
      <c r="F6" s="5">
        <f t="shared" ref="F6:F9" si="3">SUMIF($A:$A,"salud_eps_empleador",$B:$B)+SUMIF($A:$A,"pension_empleador",$B:$B)+SUMIF($A:$A,"caja_compensacion",$B:$B)+SUMIF($A:$A,"cesantias",$B:$B)+SUMIF($A:$A,"intereses_cesantias",$B:$B)+SUMIF($A:$A,"prima_servicios",$B:$B)+SUMIF($A:$A,"vacaciones",$B:$B)+SUMIF($A:$A,"arl_clase_"&amp;D6,$B:$B)</f>
        <v>46.852</v>
      </c>
      <c r="G6" s="5">
        <f t="shared" ref="G6:G9" si="4">IF(B6=0,0,H6/B6)</f>
        <v>12451680</v>
      </c>
      <c r="H6" s="5">
        <f t="shared" ref="H6:H9" si="5">SUMIFS($J$16:$J$43,$D$16:$D$43,A6,$I$16:$I$43,"activo")</f>
        <v>87161760</v>
      </c>
      <c r="I6" s="2" t="s">
        <v>2062</v>
      </c>
    </row>
    <row r="7">
      <c r="A7" s="2" t="s">
        <v>35</v>
      </c>
      <c r="B7" s="5">
        <f t="shared" si="1"/>
        <v>18</v>
      </c>
      <c r="C7" s="2" t="s">
        <v>2063</v>
      </c>
      <c r="D7" s="2" t="s">
        <v>2064</v>
      </c>
      <c r="E7" s="5">
        <f t="shared" si="2"/>
        <v>2539074.861</v>
      </c>
      <c r="F7" s="5">
        <f t="shared" si="3"/>
        <v>50.68</v>
      </c>
      <c r="G7" s="5">
        <f t="shared" si="4"/>
        <v>3825878</v>
      </c>
      <c r="H7" s="5">
        <f t="shared" si="5"/>
        <v>68865804</v>
      </c>
      <c r="I7" s="2" t="s">
        <v>2065</v>
      </c>
    </row>
    <row r="8">
      <c r="A8" s="2" t="s">
        <v>36</v>
      </c>
      <c r="B8" s="5">
        <f t="shared" si="1"/>
        <v>1</v>
      </c>
      <c r="C8" s="2" t="s">
        <v>2063</v>
      </c>
      <c r="D8" s="2" t="s">
        <v>2066</v>
      </c>
      <c r="E8" s="5">
        <f t="shared" si="2"/>
        <v>4525743.786</v>
      </c>
      <c r="F8" s="5">
        <f t="shared" si="3"/>
        <v>48.766</v>
      </c>
      <c r="G8" s="5">
        <f t="shared" si="4"/>
        <v>6732768</v>
      </c>
      <c r="H8" s="5">
        <f t="shared" si="5"/>
        <v>6732768</v>
      </c>
      <c r="I8" s="2" t="s">
        <v>2067</v>
      </c>
    </row>
    <row r="9">
      <c r="A9" s="2" t="s">
        <v>37</v>
      </c>
      <c r="B9" s="5">
        <f t="shared" si="1"/>
        <v>2</v>
      </c>
      <c r="C9" s="2" t="s">
        <v>2063</v>
      </c>
      <c r="D9" s="2" t="s">
        <v>2064</v>
      </c>
      <c r="E9" s="5">
        <f t="shared" si="2"/>
        <v>3423417.175</v>
      </c>
      <c r="F9" s="5">
        <f t="shared" si="3"/>
        <v>50.68</v>
      </c>
      <c r="G9" s="5">
        <f t="shared" si="4"/>
        <v>5158405</v>
      </c>
      <c r="H9" s="5">
        <f t="shared" si="5"/>
        <v>10316810</v>
      </c>
      <c r="I9" s="2" t="s">
        <v>2068</v>
      </c>
    </row>
    <row r="11">
      <c r="A11" s="2" t="s">
        <v>2069</v>
      </c>
      <c r="E11" s="5">
        <f>SUMIF($C$6:$C$9,"Operacion",$H$6:$H$9)</f>
        <v>85915382</v>
      </c>
    </row>
    <row r="12">
      <c r="A12" s="2" t="s">
        <v>2070</v>
      </c>
      <c r="E12" s="5">
        <f>SUMIF($C$6:$C$9,"Implementacion",$H$6:$H$9)</f>
        <v>87161760</v>
      </c>
    </row>
    <row r="14">
      <c r="A14" s="2" t="s">
        <v>2071</v>
      </c>
    </row>
    <row r="15">
      <c r="A15" s="2" t="s">
        <v>2072</v>
      </c>
      <c r="B15" s="2" t="s">
        <v>2073</v>
      </c>
      <c r="C15" s="2" t="s">
        <v>2074</v>
      </c>
      <c r="D15" s="2" t="s">
        <v>2054</v>
      </c>
      <c r="E15" s="2" t="s">
        <v>263</v>
      </c>
      <c r="F15" s="2" t="s">
        <v>2075</v>
      </c>
      <c r="G15" s="2" t="s">
        <v>32</v>
      </c>
      <c r="H15" s="2" t="s">
        <v>2076</v>
      </c>
      <c r="I15" s="2" t="s">
        <v>382</v>
      </c>
      <c r="J15" s="2" t="s">
        <v>2077</v>
      </c>
      <c r="K15" s="2" t="s">
        <v>2078</v>
      </c>
      <c r="L15" s="2" t="s">
        <v>2079</v>
      </c>
    </row>
    <row r="16">
      <c r="A16" s="36">
        <v>1.000000001E9</v>
      </c>
      <c r="B16" s="2" t="s">
        <v>2080</v>
      </c>
      <c r="C16" s="2" t="s">
        <v>2081</v>
      </c>
      <c r="D16" s="2" t="s">
        <v>35</v>
      </c>
      <c r="E16" s="2" t="s">
        <v>18</v>
      </c>
      <c r="F16" s="2" t="s">
        <v>2082</v>
      </c>
      <c r="G16" s="2" t="s">
        <v>2063</v>
      </c>
      <c r="H16" s="160">
        <v>46097.0</v>
      </c>
      <c r="I16" s="2" t="s">
        <v>2083</v>
      </c>
      <c r="J16" s="36">
        <v>3825878.0</v>
      </c>
      <c r="K16" s="36">
        <v>3.001000001E9</v>
      </c>
      <c r="L16" s="2" t="s">
        <v>2084</v>
      </c>
    </row>
    <row r="17">
      <c r="A17" s="36">
        <v>1.000000002E9</v>
      </c>
      <c r="B17" s="2" t="s">
        <v>2085</v>
      </c>
      <c r="C17" s="2" t="s">
        <v>2081</v>
      </c>
      <c r="D17" s="2" t="s">
        <v>35</v>
      </c>
      <c r="E17" s="2" t="s">
        <v>18</v>
      </c>
      <c r="F17" s="2" t="s">
        <v>2082</v>
      </c>
      <c r="G17" s="2" t="s">
        <v>2063</v>
      </c>
      <c r="H17" s="160">
        <v>46097.0</v>
      </c>
      <c r="I17" s="2" t="s">
        <v>2083</v>
      </c>
      <c r="J17" s="36">
        <v>3825878.0</v>
      </c>
      <c r="K17" s="36">
        <v>3.001000002E9</v>
      </c>
      <c r="L17" s="2" t="s">
        <v>2086</v>
      </c>
    </row>
    <row r="18">
      <c r="A18" s="36">
        <v>1.000000003E9</v>
      </c>
      <c r="B18" s="2" t="s">
        <v>2087</v>
      </c>
      <c r="C18" s="2" t="s">
        <v>2081</v>
      </c>
      <c r="D18" s="2" t="s">
        <v>35</v>
      </c>
      <c r="E18" s="2" t="s">
        <v>19</v>
      </c>
      <c r="F18" s="2" t="s">
        <v>2082</v>
      </c>
      <c r="G18" s="2" t="s">
        <v>2063</v>
      </c>
      <c r="H18" s="160">
        <v>46097.0</v>
      </c>
      <c r="I18" s="2" t="s">
        <v>2083</v>
      </c>
      <c r="J18" s="36">
        <v>3825878.0</v>
      </c>
      <c r="K18" s="36">
        <v>3.001000003E9</v>
      </c>
      <c r="L18" s="2" t="s">
        <v>2088</v>
      </c>
    </row>
    <row r="19">
      <c r="A19" s="36">
        <v>1.000000004E9</v>
      </c>
      <c r="B19" s="2" t="s">
        <v>2089</v>
      </c>
      <c r="C19" s="2" t="s">
        <v>2081</v>
      </c>
      <c r="D19" s="2" t="s">
        <v>35</v>
      </c>
      <c r="E19" s="2" t="s">
        <v>19</v>
      </c>
      <c r="F19" s="2" t="s">
        <v>2082</v>
      </c>
      <c r="G19" s="2" t="s">
        <v>2063</v>
      </c>
      <c r="H19" s="160">
        <v>46097.0</v>
      </c>
      <c r="I19" s="2" t="s">
        <v>2083</v>
      </c>
      <c r="J19" s="36">
        <v>3825878.0</v>
      </c>
      <c r="K19" s="36">
        <v>3.001000004E9</v>
      </c>
      <c r="L19" s="2" t="s">
        <v>2090</v>
      </c>
    </row>
    <row r="20">
      <c r="A20" s="36">
        <v>1.000000005E9</v>
      </c>
      <c r="B20" s="2" t="s">
        <v>2091</v>
      </c>
      <c r="C20" s="2" t="s">
        <v>2081</v>
      </c>
      <c r="D20" s="2" t="s">
        <v>35</v>
      </c>
      <c r="E20" s="2" t="s">
        <v>20</v>
      </c>
      <c r="F20" s="2" t="s">
        <v>2082</v>
      </c>
      <c r="G20" s="2" t="s">
        <v>2063</v>
      </c>
      <c r="H20" s="160">
        <v>46097.0</v>
      </c>
      <c r="I20" s="2" t="s">
        <v>2083</v>
      </c>
      <c r="J20" s="36">
        <v>3825878.0</v>
      </c>
      <c r="K20" s="36">
        <v>3.001000005E9</v>
      </c>
      <c r="L20" s="2" t="s">
        <v>2092</v>
      </c>
    </row>
    <row r="21">
      <c r="A21" s="36">
        <v>1.000000006E9</v>
      </c>
      <c r="B21" s="2" t="s">
        <v>2093</v>
      </c>
      <c r="C21" s="2" t="s">
        <v>2081</v>
      </c>
      <c r="D21" s="2" t="s">
        <v>35</v>
      </c>
      <c r="E21" s="2" t="s">
        <v>20</v>
      </c>
      <c r="F21" s="2" t="s">
        <v>2082</v>
      </c>
      <c r="G21" s="2" t="s">
        <v>2063</v>
      </c>
      <c r="H21" s="160">
        <v>46097.0</v>
      </c>
      <c r="I21" s="2" t="s">
        <v>2083</v>
      </c>
      <c r="J21" s="36">
        <v>3825878.0</v>
      </c>
      <c r="K21" s="36">
        <v>3.001000006E9</v>
      </c>
      <c r="L21" s="2" t="s">
        <v>2094</v>
      </c>
    </row>
    <row r="22">
      <c r="A22" s="36">
        <v>1.000000007E9</v>
      </c>
      <c r="B22" s="2" t="s">
        <v>2095</v>
      </c>
      <c r="C22" s="2" t="s">
        <v>2081</v>
      </c>
      <c r="D22" s="2" t="s">
        <v>35</v>
      </c>
      <c r="E22" s="2" t="s">
        <v>18</v>
      </c>
      <c r="F22" s="2" t="s">
        <v>2096</v>
      </c>
      <c r="G22" s="2" t="s">
        <v>2063</v>
      </c>
      <c r="H22" s="160">
        <v>46097.0</v>
      </c>
      <c r="I22" s="2" t="s">
        <v>2083</v>
      </c>
      <c r="J22" s="36">
        <v>3825878.0</v>
      </c>
      <c r="K22" s="36">
        <v>3.001000007E9</v>
      </c>
      <c r="L22" s="2" t="s">
        <v>2097</v>
      </c>
    </row>
    <row r="23">
      <c r="A23" s="36">
        <v>1.000000008E9</v>
      </c>
      <c r="B23" s="2" t="s">
        <v>2098</v>
      </c>
      <c r="C23" s="2" t="s">
        <v>2081</v>
      </c>
      <c r="D23" s="2" t="s">
        <v>35</v>
      </c>
      <c r="E23" s="2" t="s">
        <v>18</v>
      </c>
      <c r="F23" s="2" t="s">
        <v>2096</v>
      </c>
      <c r="G23" s="2" t="s">
        <v>2063</v>
      </c>
      <c r="H23" s="160">
        <v>46097.0</v>
      </c>
      <c r="I23" s="2" t="s">
        <v>2083</v>
      </c>
      <c r="J23" s="36">
        <v>3825878.0</v>
      </c>
      <c r="K23" s="36">
        <v>3.001000008E9</v>
      </c>
      <c r="L23" s="2" t="s">
        <v>2099</v>
      </c>
    </row>
    <row r="24">
      <c r="A24" s="36">
        <v>1.000000009E9</v>
      </c>
      <c r="B24" s="2" t="s">
        <v>2100</v>
      </c>
      <c r="C24" s="2" t="s">
        <v>2081</v>
      </c>
      <c r="D24" s="2" t="s">
        <v>35</v>
      </c>
      <c r="E24" s="2" t="s">
        <v>19</v>
      </c>
      <c r="F24" s="2" t="s">
        <v>2096</v>
      </c>
      <c r="G24" s="2" t="s">
        <v>2063</v>
      </c>
      <c r="H24" s="160">
        <v>46097.0</v>
      </c>
      <c r="I24" s="2" t="s">
        <v>2083</v>
      </c>
      <c r="J24" s="36">
        <v>3825878.0</v>
      </c>
      <c r="K24" s="36">
        <v>3.001000009E9</v>
      </c>
      <c r="L24" s="2" t="s">
        <v>2101</v>
      </c>
    </row>
    <row r="25">
      <c r="A25" s="36">
        <v>1.00000001E9</v>
      </c>
      <c r="B25" s="2" t="s">
        <v>2102</v>
      </c>
      <c r="C25" s="2" t="s">
        <v>2081</v>
      </c>
      <c r="D25" s="2" t="s">
        <v>35</v>
      </c>
      <c r="E25" s="2" t="s">
        <v>19</v>
      </c>
      <c r="F25" s="2" t="s">
        <v>2096</v>
      </c>
      <c r="G25" s="2" t="s">
        <v>2063</v>
      </c>
      <c r="H25" s="160">
        <v>46097.0</v>
      </c>
      <c r="I25" s="2" t="s">
        <v>2083</v>
      </c>
      <c r="J25" s="36">
        <v>3825878.0</v>
      </c>
      <c r="K25" s="36">
        <v>3.00100001E9</v>
      </c>
      <c r="L25" s="2" t="s">
        <v>2103</v>
      </c>
    </row>
    <row r="26">
      <c r="A26" s="36">
        <v>1.000000011E9</v>
      </c>
      <c r="B26" s="2" t="s">
        <v>2104</v>
      </c>
      <c r="C26" s="2" t="s">
        <v>2081</v>
      </c>
      <c r="D26" s="2" t="s">
        <v>35</v>
      </c>
      <c r="E26" s="2" t="s">
        <v>20</v>
      </c>
      <c r="F26" s="2" t="s">
        <v>2096</v>
      </c>
      <c r="G26" s="2" t="s">
        <v>2063</v>
      </c>
      <c r="H26" s="160">
        <v>46097.0</v>
      </c>
      <c r="I26" s="2" t="s">
        <v>2083</v>
      </c>
      <c r="J26" s="36">
        <v>3825878.0</v>
      </c>
      <c r="K26" s="36">
        <v>3.001000011E9</v>
      </c>
      <c r="L26" s="2" t="s">
        <v>2105</v>
      </c>
    </row>
    <row r="27">
      <c r="A27" s="36">
        <v>1.000000012E9</v>
      </c>
      <c r="B27" s="2" t="s">
        <v>2106</v>
      </c>
      <c r="C27" s="2" t="s">
        <v>2081</v>
      </c>
      <c r="D27" s="2" t="s">
        <v>35</v>
      </c>
      <c r="E27" s="2" t="s">
        <v>20</v>
      </c>
      <c r="F27" s="2" t="s">
        <v>2096</v>
      </c>
      <c r="G27" s="2" t="s">
        <v>2063</v>
      </c>
      <c r="H27" s="160">
        <v>46097.0</v>
      </c>
      <c r="I27" s="2" t="s">
        <v>2083</v>
      </c>
      <c r="J27" s="36">
        <v>3825878.0</v>
      </c>
      <c r="K27" s="36">
        <v>3.001000012E9</v>
      </c>
      <c r="L27" s="2" t="s">
        <v>2107</v>
      </c>
    </row>
    <row r="28">
      <c r="A28" s="36">
        <v>1.000000013E9</v>
      </c>
      <c r="B28" s="2" t="s">
        <v>2108</v>
      </c>
      <c r="C28" s="2" t="s">
        <v>2081</v>
      </c>
      <c r="D28" s="2" t="s">
        <v>35</v>
      </c>
      <c r="E28" s="2" t="s">
        <v>18</v>
      </c>
      <c r="F28" s="2" t="s">
        <v>2109</v>
      </c>
      <c r="G28" s="2" t="s">
        <v>2063</v>
      </c>
      <c r="H28" s="160">
        <v>46097.0</v>
      </c>
      <c r="I28" s="2" t="s">
        <v>2083</v>
      </c>
      <c r="J28" s="36">
        <v>3825878.0</v>
      </c>
      <c r="K28" s="36">
        <v>3.001000013E9</v>
      </c>
      <c r="L28" s="2" t="s">
        <v>2110</v>
      </c>
    </row>
    <row r="29">
      <c r="A29" s="36">
        <v>1.000000014E9</v>
      </c>
      <c r="B29" s="2" t="s">
        <v>2111</v>
      </c>
      <c r="C29" s="2" t="s">
        <v>2081</v>
      </c>
      <c r="D29" s="2" t="s">
        <v>35</v>
      </c>
      <c r="E29" s="2" t="s">
        <v>18</v>
      </c>
      <c r="F29" s="2" t="s">
        <v>2109</v>
      </c>
      <c r="G29" s="2" t="s">
        <v>2063</v>
      </c>
      <c r="H29" s="160">
        <v>46097.0</v>
      </c>
      <c r="I29" s="2" t="s">
        <v>2083</v>
      </c>
      <c r="J29" s="36">
        <v>3825878.0</v>
      </c>
      <c r="K29" s="36">
        <v>3.001000014E9</v>
      </c>
      <c r="L29" s="2" t="s">
        <v>2112</v>
      </c>
    </row>
    <row r="30">
      <c r="A30" s="36">
        <v>1.000000015E9</v>
      </c>
      <c r="B30" s="2" t="s">
        <v>2113</v>
      </c>
      <c r="C30" s="2" t="s">
        <v>2081</v>
      </c>
      <c r="D30" s="2" t="s">
        <v>35</v>
      </c>
      <c r="E30" s="2" t="s">
        <v>19</v>
      </c>
      <c r="F30" s="2" t="s">
        <v>2109</v>
      </c>
      <c r="G30" s="2" t="s">
        <v>2063</v>
      </c>
      <c r="H30" s="160">
        <v>46097.0</v>
      </c>
      <c r="I30" s="2" t="s">
        <v>2083</v>
      </c>
      <c r="J30" s="36">
        <v>3825878.0</v>
      </c>
      <c r="K30" s="36">
        <v>3.001000015E9</v>
      </c>
      <c r="L30" s="2" t="s">
        <v>2114</v>
      </c>
    </row>
    <row r="31">
      <c r="A31" s="36">
        <v>1.000000016E9</v>
      </c>
      <c r="B31" s="2" t="s">
        <v>2115</v>
      </c>
      <c r="C31" s="2" t="s">
        <v>2081</v>
      </c>
      <c r="D31" s="2" t="s">
        <v>35</v>
      </c>
      <c r="E31" s="2" t="s">
        <v>19</v>
      </c>
      <c r="F31" s="2" t="s">
        <v>2109</v>
      </c>
      <c r="G31" s="2" t="s">
        <v>2063</v>
      </c>
      <c r="H31" s="160">
        <v>46097.0</v>
      </c>
      <c r="I31" s="2" t="s">
        <v>2083</v>
      </c>
      <c r="J31" s="36">
        <v>3825878.0</v>
      </c>
      <c r="K31" s="36">
        <v>3.001000016E9</v>
      </c>
      <c r="L31" s="2" t="s">
        <v>2116</v>
      </c>
    </row>
    <row r="32">
      <c r="A32" s="36">
        <v>1.000000017E9</v>
      </c>
      <c r="B32" s="2" t="s">
        <v>2117</v>
      </c>
      <c r="C32" s="2" t="s">
        <v>2081</v>
      </c>
      <c r="D32" s="2" t="s">
        <v>35</v>
      </c>
      <c r="E32" s="2" t="s">
        <v>20</v>
      </c>
      <c r="F32" s="2" t="s">
        <v>2109</v>
      </c>
      <c r="G32" s="2" t="s">
        <v>2063</v>
      </c>
      <c r="H32" s="160">
        <v>46097.0</v>
      </c>
      <c r="I32" s="2" t="s">
        <v>2083</v>
      </c>
      <c r="J32" s="36">
        <v>3825878.0</v>
      </c>
      <c r="K32" s="36">
        <v>3.001000017E9</v>
      </c>
      <c r="L32" s="2" t="s">
        <v>2118</v>
      </c>
    </row>
    <row r="33">
      <c r="A33" s="36">
        <v>1.000000018E9</v>
      </c>
      <c r="B33" s="2" t="s">
        <v>2119</v>
      </c>
      <c r="C33" s="2" t="s">
        <v>2081</v>
      </c>
      <c r="D33" s="2" t="s">
        <v>35</v>
      </c>
      <c r="E33" s="2" t="s">
        <v>20</v>
      </c>
      <c r="F33" s="2" t="s">
        <v>2109</v>
      </c>
      <c r="G33" s="2" t="s">
        <v>2063</v>
      </c>
      <c r="H33" s="160">
        <v>46097.0</v>
      </c>
      <c r="I33" s="2" t="s">
        <v>2083</v>
      </c>
      <c r="J33" s="36">
        <v>3825878.0</v>
      </c>
      <c r="K33" s="36">
        <v>3.001000018E9</v>
      </c>
      <c r="L33" s="2" t="s">
        <v>2120</v>
      </c>
    </row>
    <row r="34">
      <c r="A34" s="36">
        <v>1.000000019E9</v>
      </c>
      <c r="B34" s="2" t="s">
        <v>2121</v>
      </c>
      <c r="C34" s="2" t="s">
        <v>2122</v>
      </c>
      <c r="D34" s="2" t="s">
        <v>37</v>
      </c>
      <c r="E34" s="2" t="s">
        <v>2123</v>
      </c>
      <c r="F34" s="2" t="s">
        <v>2124</v>
      </c>
      <c r="G34" s="2" t="s">
        <v>2063</v>
      </c>
      <c r="H34" s="160">
        <v>46097.0</v>
      </c>
      <c r="I34" s="2" t="s">
        <v>2083</v>
      </c>
      <c r="J34" s="36">
        <v>5158405.0</v>
      </c>
      <c r="K34" s="36">
        <v>3.002000001E9</v>
      </c>
      <c r="L34" s="2" t="s">
        <v>2125</v>
      </c>
    </row>
    <row r="35">
      <c r="A35" s="36">
        <v>1.00000002E9</v>
      </c>
      <c r="B35" s="2" t="s">
        <v>2126</v>
      </c>
      <c r="C35" s="2" t="s">
        <v>2122</v>
      </c>
      <c r="D35" s="2" t="s">
        <v>37</v>
      </c>
      <c r="E35" s="2" t="s">
        <v>2123</v>
      </c>
      <c r="F35" s="2" t="s">
        <v>2124</v>
      </c>
      <c r="G35" s="2" t="s">
        <v>2063</v>
      </c>
      <c r="H35" s="160">
        <v>46097.0</v>
      </c>
      <c r="I35" s="2" t="s">
        <v>2083</v>
      </c>
      <c r="J35" s="36">
        <v>5158405.0</v>
      </c>
      <c r="K35" s="36">
        <v>3.002000002E9</v>
      </c>
      <c r="L35" s="2" t="s">
        <v>2127</v>
      </c>
    </row>
    <row r="36">
      <c r="A36" s="36">
        <v>1.000000021E9</v>
      </c>
      <c r="B36" s="2" t="s">
        <v>2128</v>
      </c>
      <c r="C36" s="2" t="s">
        <v>36</v>
      </c>
      <c r="D36" s="2" t="s">
        <v>36</v>
      </c>
      <c r="E36" s="2" t="s">
        <v>2123</v>
      </c>
      <c r="F36" s="2" t="s">
        <v>2129</v>
      </c>
      <c r="G36" s="2" t="s">
        <v>2063</v>
      </c>
      <c r="H36" s="160">
        <v>46097.0</v>
      </c>
      <c r="I36" s="2" t="s">
        <v>2083</v>
      </c>
      <c r="J36" s="36">
        <v>6732768.0</v>
      </c>
      <c r="K36" s="36">
        <v>3.003000001E9</v>
      </c>
      <c r="L36" s="2" t="s">
        <v>2130</v>
      </c>
    </row>
    <row r="37">
      <c r="A37" s="36">
        <v>1.000000022E9</v>
      </c>
      <c r="B37" s="2" t="s">
        <v>2131</v>
      </c>
      <c r="C37" s="2" t="s">
        <v>2132</v>
      </c>
      <c r="D37" s="2" t="s">
        <v>34</v>
      </c>
      <c r="E37" s="2" t="s">
        <v>2123</v>
      </c>
      <c r="F37" s="2" t="s">
        <v>2129</v>
      </c>
      <c r="G37" s="2" t="s">
        <v>2060</v>
      </c>
      <c r="H37" s="160">
        <v>46034.0</v>
      </c>
      <c r="I37" s="2" t="s">
        <v>2083</v>
      </c>
      <c r="J37" s="36">
        <v>1.245168E7</v>
      </c>
      <c r="K37" s="36">
        <v>3.004000001E9</v>
      </c>
      <c r="L37" s="2" t="s">
        <v>2133</v>
      </c>
    </row>
    <row r="38">
      <c r="A38" s="36">
        <v>1.000000023E9</v>
      </c>
      <c r="B38" s="2" t="s">
        <v>2134</v>
      </c>
      <c r="C38" s="2" t="s">
        <v>2135</v>
      </c>
      <c r="D38" s="2" t="s">
        <v>34</v>
      </c>
      <c r="E38" s="2" t="s">
        <v>2123</v>
      </c>
      <c r="F38" s="2" t="s">
        <v>2129</v>
      </c>
      <c r="G38" s="2" t="s">
        <v>2060</v>
      </c>
      <c r="H38" s="160">
        <v>46034.0</v>
      </c>
      <c r="I38" s="2" t="s">
        <v>2083</v>
      </c>
      <c r="J38" s="36">
        <v>1.245168E7</v>
      </c>
      <c r="K38" s="36">
        <v>3.004000002E9</v>
      </c>
      <c r="L38" s="2" t="s">
        <v>2136</v>
      </c>
    </row>
    <row r="39">
      <c r="A39" s="36">
        <v>1.000000024E9</v>
      </c>
      <c r="B39" s="2" t="s">
        <v>2137</v>
      </c>
      <c r="C39" s="2" t="s">
        <v>2138</v>
      </c>
      <c r="D39" s="2" t="s">
        <v>34</v>
      </c>
      <c r="E39" s="2" t="s">
        <v>2123</v>
      </c>
      <c r="F39" s="2" t="s">
        <v>2129</v>
      </c>
      <c r="G39" s="2" t="s">
        <v>2060</v>
      </c>
      <c r="H39" s="160">
        <v>46034.0</v>
      </c>
      <c r="I39" s="2" t="s">
        <v>2083</v>
      </c>
      <c r="J39" s="36">
        <v>1.245168E7</v>
      </c>
      <c r="K39" s="36">
        <v>3.004000003E9</v>
      </c>
      <c r="L39" s="2" t="s">
        <v>2139</v>
      </c>
    </row>
    <row r="40">
      <c r="A40" s="36">
        <v>1.000000025E9</v>
      </c>
      <c r="B40" s="2" t="s">
        <v>2140</v>
      </c>
      <c r="C40" s="2" t="s">
        <v>2141</v>
      </c>
      <c r="D40" s="2" t="s">
        <v>34</v>
      </c>
      <c r="E40" s="2" t="s">
        <v>2123</v>
      </c>
      <c r="F40" s="2" t="s">
        <v>2129</v>
      </c>
      <c r="G40" s="2" t="s">
        <v>2060</v>
      </c>
      <c r="H40" s="160">
        <v>46034.0</v>
      </c>
      <c r="I40" s="2" t="s">
        <v>2083</v>
      </c>
      <c r="J40" s="36">
        <v>1.245168E7</v>
      </c>
      <c r="K40" s="36">
        <v>3.004000004E9</v>
      </c>
      <c r="L40" s="2" t="s">
        <v>2142</v>
      </c>
    </row>
    <row r="41">
      <c r="A41" s="36">
        <v>1.000000026E9</v>
      </c>
      <c r="B41" s="2" t="s">
        <v>2143</v>
      </c>
      <c r="C41" s="2" t="s">
        <v>2144</v>
      </c>
      <c r="D41" s="2" t="s">
        <v>34</v>
      </c>
      <c r="E41" s="2" t="s">
        <v>2123</v>
      </c>
      <c r="F41" s="2" t="s">
        <v>2129</v>
      </c>
      <c r="G41" s="2" t="s">
        <v>2060</v>
      </c>
      <c r="H41" s="160">
        <v>46034.0</v>
      </c>
      <c r="I41" s="2" t="s">
        <v>2083</v>
      </c>
      <c r="J41" s="36">
        <v>1.245168E7</v>
      </c>
      <c r="K41" s="36">
        <v>3.004000005E9</v>
      </c>
      <c r="L41" s="2" t="s">
        <v>2145</v>
      </c>
    </row>
    <row r="42">
      <c r="A42" s="36">
        <v>1.000000027E9</v>
      </c>
      <c r="B42" s="2" t="s">
        <v>2146</v>
      </c>
      <c r="C42" s="2" t="s">
        <v>2147</v>
      </c>
      <c r="D42" s="2" t="s">
        <v>34</v>
      </c>
      <c r="E42" s="2" t="s">
        <v>2123</v>
      </c>
      <c r="F42" s="2" t="s">
        <v>2129</v>
      </c>
      <c r="G42" s="2" t="s">
        <v>2060</v>
      </c>
      <c r="H42" s="160">
        <v>46034.0</v>
      </c>
      <c r="I42" s="2" t="s">
        <v>2083</v>
      </c>
      <c r="J42" s="36">
        <v>1.245168E7</v>
      </c>
      <c r="K42" s="36">
        <v>3.004000006E9</v>
      </c>
      <c r="L42" s="2" t="s">
        <v>2148</v>
      </c>
    </row>
    <row r="43">
      <c r="A43" s="36">
        <v>1.000000028E9</v>
      </c>
      <c r="B43" s="2" t="s">
        <v>2149</v>
      </c>
      <c r="C43" s="2" t="s">
        <v>2150</v>
      </c>
      <c r="D43" s="2" t="s">
        <v>34</v>
      </c>
      <c r="E43" s="2" t="s">
        <v>2123</v>
      </c>
      <c r="F43" s="2" t="s">
        <v>2129</v>
      </c>
      <c r="G43" s="2" t="s">
        <v>2060</v>
      </c>
      <c r="H43" s="160">
        <v>46034.0</v>
      </c>
      <c r="I43" s="2" t="s">
        <v>2083</v>
      </c>
      <c r="J43" s="36">
        <v>1.245168E7</v>
      </c>
      <c r="K43" s="36">
        <v>3.004000007E9</v>
      </c>
      <c r="L43" s="2" t="s">
        <v>2151</v>
      </c>
    </row>
    <row r="45">
      <c r="A45" s="2" t="s">
        <v>2152</v>
      </c>
    </row>
    <row r="46">
      <c r="A46" s="2" t="s">
        <v>513</v>
      </c>
      <c r="B46" s="2" t="s">
        <v>2153</v>
      </c>
      <c r="C46" s="2" t="s">
        <v>2154</v>
      </c>
      <c r="D46" s="2" t="s">
        <v>2155</v>
      </c>
    </row>
    <row r="47">
      <c r="A47" s="2" t="s">
        <v>2156</v>
      </c>
      <c r="B47" s="36">
        <v>8.5</v>
      </c>
      <c r="C47" s="2" t="s">
        <v>2157</v>
      </c>
      <c r="D47" s="2" t="s">
        <v>2158</v>
      </c>
    </row>
    <row r="48">
      <c r="A48" s="2" t="s">
        <v>2159</v>
      </c>
      <c r="B48" s="36">
        <v>12.0</v>
      </c>
      <c r="C48" s="2" t="s">
        <v>2157</v>
      </c>
      <c r="D48" s="2" t="s">
        <v>2158</v>
      </c>
    </row>
    <row r="49">
      <c r="A49" s="2" t="s">
        <v>2160</v>
      </c>
      <c r="B49" s="36">
        <v>4.0</v>
      </c>
      <c r="C49" s="2" t="s">
        <v>2157</v>
      </c>
      <c r="D49" s="2" t="s">
        <v>2158</v>
      </c>
    </row>
    <row r="50">
      <c r="A50" s="2" t="s">
        <v>2161</v>
      </c>
      <c r="B50" s="36">
        <v>8.33</v>
      </c>
      <c r="C50" s="2" t="s">
        <v>2157</v>
      </c>
      <c r="D50" s="2" t="s">
        <v>2158</v>
      </c>
    </row>
    <row r="51">
      <c r="A51" s="2" t="s">
        <v>2162</v>
      </c>
      <c r="B51" s="36">
        <v>1.0</v>
      </c>
      <c r="C51" s="2" t="s">
        <v>2157</v>
      </c>
      <c r="D51" s="2" t="s">
        <v>2158</v>
      </c>
    </row>
    <row r="52">
      <c r="A52" s="2" t="s">
        <v>2163</v>
      </c>
      <c r="B52" s="36">
        <v>8.33</v>
      </c>
      <c r="C52" s="2" t="s">
        <v>2157</v>
      </c>
      <c r="D52" s="2" t="s">
        <v>2158</v>
      </c>
    </row>
    <row r="53">
      <c r="A53" s="2" t="s">
        <v>2164</v>
      </c>
      <c r="B53" s="36">
        <v>4.17</v>
      </c>
      <c r="C53" s="2" t="s">
        <v>2157</v>
      </c>
      <c r="D53" s="2" t="s">
        <v>2158</v>
      </c>
    </row>
    <row r="54">
      <c r="A54" s="2" t="s">
        <v>2165</v>
      </c>
      <c r="B54" s="36">
        <v>0.522</v>
      </c>
      <c r="C54" s="2" t="s">
        <v>2166</v>
      </c>
      <c r="D54" s="2" t="s">
        <v>2158</v>
      </c>
    </row>
    <row r="55">
      <c r="A55" s="2" t="s">
        <v>2167</v>
      </c>
      <c r="B55" s="36">
        <v>2.436</v>
      </c>
      <c r="C55" s="2" t="s">
        <v>2166</v>
      </c>
      <c r="D55" s="2" t="s">
        <v>2158</v>
      </c>
    </row>
    <row r="56">
      <c r="A56" s="2" t="s">
        <v>2168</v>
      </c>
      <c r="B56" s="36">
        <v>4.35</v>
      </c>
      <c r="C56" s="2" t="s">
        <v>2166</v>
      </c>
      <c r="D56" s="2" t="s">
        <v>2158</v>
      </c>
    </row>
    <row r="57">
      <c r="A57" s="2" t="s">
        <v>2169</v>
      </c>
      <c r="B57" s="36">
        <v>6.96</v>
      </c>
      <c r="C57" s="2" t="s">
        <v>2166</v>
      </c>
      <c r="D57" s="2" t="s">
        <v>2158</v>
      </c>
    </row>
    <row r="58">
      <c r="A58" s="2" t="s">
        <v>2170</v>
      </c>
      <c r="B58" s="36">
        <v>0.0</v>
      </c>
      <c r="C58" s="2" t="s">
        <v>2171</v>
      </c>
      <c r="D58" s="2" t="s">
        <v>745</v>
      </c>
    </row>
    <row r="59">
      <c r="A59" s="2" t="s">
        <v>2172</v>
      </c>
    </row>
    <row r="61">
      <c r="A61" s="2" t="s">
        <v>2173</v>
      </c>
    </row>
    <row r="62">
      <c r="A62" s="2" t="s">
        <v>32</v>
      </c>
      <c r="B62" s="2" t="s">
        <v>2174</v>
      </c>
      <c r="C62" s="2" t="s">
        <v>2175</v>
      </c>
      <c r="D62" s="2" t="s">
        <v>2176</v>
      </c>
      <c r="E62" s="2" t="s">
        <v>382</v>
      </c>
    </row>
    <row r="63">
      <c r="A63" s="2" t="s">
        <v>2063</v>
      </c>
      <c r="B63" s="5">
        <f t="shared" ref="B63:B64" si="6">SUMIFS($J$16:$J$43,$G$16:$G$43,A63,$I$16:$I$43,"activo")</f>
        <v>85915382</v>
      </c>
      <c r="C63" s="5">
        <f t="shared" ref="C63:C64" si="7">SUMIF($C$6:$C$9,A63,$H$6:$H$9)</f>
        <v>85915382</v>
      </c>
      <c r="D63" s="5">
        <f t="shared" ref="D63:D64" si="8">B63-C63</f>
        <v>0</v>
      </c>
      <c r="E63" s="5" t="str">
        <f t="shared" ref="E63:E64" si="9">IF(ABS(D63)&lt;1,"✅ cuadra","⚠️ difiere")</f>
        <v>✅ cuadra</v>
      </c>
    </row>
    <row r="64">
      <c r="A64" s="2" t="s">
        <v>2060</v>
      </c>
      <c r="B64" s="5">
        <f t="shared" si="6"/>
        <v>87161760</v>
      </c>
      <c r="C64" s="5">
        <f t="shared" si="7"/>
        <v>87161760</v>
      </c>
      <c r="D64" s="5">
        <f t="shared" si="8"/>
        <v>0</v>
      </c>
      <c r="E64" s="5" t="str">
        <f t="shared" si="9"/>
        <v>✅ cuadra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8" max="8" width="42.86"/>
  </cols>
  <sheetData>
    <row r="1">
      <c r="A1" s="2" t="s">
        <v>2177</v>
      </c>
    </row>
    <row r="2">
      <c r="A2" s="2" t="s">
        <v>2178</v>
      </c>
    </row>
    <row r="3">
      <c r="A3" s="2" t="s">
        <v>2179</v>
      </c>
      <c r="B3" s="2" t="s">
        <v>2180</v>
      </c>
    </row>
    <row r="47">
      <c r="A47" s="161"/>
    </row>
    <row r="48">
      <c r="A48" s="161"/>
    </row>
    <row r="49">
      <c r="A49" s="161"/>
    </row>
  </sheetData>
  <mergeCells count="3">
    <mergeCell ref="A47:H47"/>
    <mergeCell ref="A48:H48"/>
    <mergeCell ref="A49:H49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736</v>
      </c>
      <c r="B1" s="2" t="s">
        <v>2073</v>
      </c>
      <c r="C1" s="2" t="s">
        <v>263</v>
      </c>
      <c r="D1" s="2" t="s">
        <v>2181</v>
      </c>
      <c r="E1" s="2" t="s">
        <v>2182</v>
      </c>
      <c r="F1" s="2" t="s">
        <v>2183</v>
      </c>
      <c r="G1" s="2" t="s">
        <v>2184</v>
      </c>
      <c r="H1" s="2" t="s">
        <v>2185</v>
      </c>
      <c r="I1" s="2" t="s">
        <v>2186</v>
      </c>
      <c r="J1" s="2" t="s">
        <v>724</v>
      </c>
      <c r="K1" s="2" t="s">
        <v>2187</v>
      </c>
    </row>
    <row r="2">
      <c r="A2" s="2" t="s">
        <v>6</v>
      </c>
      <c r="B2" s="2" t="s">
        <v>819</v>
      </c>
      <c r="C2" s="2" t="s">
        <v>18</v>
      </c>
      <c r="D2" s="2">
        <v>7.701234000103E12</v>
      </c>
      <c r="E2" s="36">
        <v>0.35</v>
      </c>
      <c r="F2" s="36">
        <v>30.0</v>
      </c>
      <c r="G2" s="36">
        <v>54.0</v>
      </c>
      <c r="H2" s="36">
        <v>1800.0</v>
      </c>
      <c r="I2" s="36">
        <v>929.0</v>
      </c>
      <c r="J2" s="2" t="s">
        <v>2188</v>
      </c>
      <c r="K2" s="36">
        <v>0.062</v>
      </c>
    </row>
    <row r="3">
      <c r="A3" s="2" t="s">
        <v>8</v>
      </c>
      <c r="B3" s="2" t="s">
        <v>2189</v>
      </c>
      <c r="C3" s="2" t="s">
        <v>19</v>
      </c>
      <c r="D3" s="2">
        <v>7.701234000271E12</v>
      </c>
      <c r="E3" s="36">
        <v>1.5</v>
      </c>
      <c r="F3" s="36">
        <v>6.0</v>
      </c>
      <c r="G3" s="36">
        <v>140.0</v>
      </c>
      <c r="H3" s="36">
        <v>4250.0</v>
      </c>
      <c r="I3" s="36">
        <v>2670.0</v>
      </c>
      <c r="J3" s="2" t="s">
        <v>2188</v>
      </c>
      <c r="K3" s="36">
        <v>0.021</v>
      </c>
    </row>
    <row r="4">
      <c r="A4" s="2" t="s">
        <v>9</v>
      </c>
      <c r="B4" s="2" t="s">
        <v>2190</v>
      </c>
      <c r="C4" s="2" t="s">
        <v>20</v>
      </c>
      <c r="D4" s="2">
        <v>7.701234000349E12</v>
      </c>
      <c r="E4" s="36">
        <v>25.0</v>
      </c>
      <c r="F4" s="36">
        <v>6.0</v>
      </c>
      <c r="G4" s="36">
        <v>5.0</v>
      </c>
      <c r="H4" s="36">
        <v>12000.0</v>
      </c>
      <c r="I4" s="36">
        <v>6942.86</v>
      </c>
      <c r="J4" s="2" t="s">
        <v>2191</v>
      </c>
      <c r="K4" s="36">
        <v>0.185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2073</v>
      </c>
      <c r="B1" s="2" t="s">
        <v>2192</v>
      </c>
      <c r="C1" s="2" t="s">
        <v>2193</v>
      </c>
      <c r="D1" s="2" t="s">
        <v>2194</v>
      </c>
    </row>
    <row r="2">
      <c r="A2" s="2" t="s">
        <v>2195</v>
      </c>
      <c r="B2" s="2" t="s">
        <v>2196</v>
      </c>
      <c r="C2" s="2" t="s">
        <v>2197</v>
      </c>
      <c r="D2" s="36">
        <v>0.35</v>
      </c>
    </row>
    <row r="3">
      <c r="A3" s="2" t="s">
        <v>2198</v>
      </c>
      <c r="B3" s="2" t="s">
        <v>2196</v>
      </c>
      <c r="C3" s="2" t="s">
        <v>2197</v>
      </c>
      <c r="D3" s="36">
        <v>0.3</v>
      </c>
    </row>
    <row r="4">
      <c r="A4" s="2" t="s">
        <v>2199</v>
      </c>
      <c r="B4" s="2" t="s">
        <v>2196</v>
      </c>
      <c r="C4" s="2" t="s">
        <v>2200</v>
      </c>
      <c r="D4" s="36">
        <v>0.2</v>
      </c>
    </row>
    <row r="5">
      <c r="A5" s="2" t="s">
        <v>2201</v>
      </c>
      <c r="B5" s="2" t="s">
        <v>2196</v>
      </c>
      <c r="C5" s="2" t="s">
        <v>2200</v>
      </c>
      <c r="D5" s="36">
        <v>0.15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2202</v>
      </c>
      <c r="B1" s="2" t="s">
        <v>3</v>
      </c>
      <c r="C1" s="2" t="s">
        <v>2203</v>
      </c>
      <c r="D1" s="2" t="s">
        <v>1075</v>
      </c>
    </row>
    <row r="2">
      <c r="A2" s="160">
        <v>44197.0</v>
      </c>
      <c r="B2" s="2" t="s">
        <v>2204</v>
      </c>
      <c r="C2" s="36">
        <v>4196227.5</v>
      </c>
      <c r="D2" s="36">
        <v>1.1989221E7</v>
      </c>
    </row>
    <row r="3">
      <c r="A3" s="160">
        <v>44228.0</v>
      </c>
      <c r="B3" s="2" t="s">
        <v>2204</v>
      </c>
      <c r="C3" s="36">
        <v>3922289.8</v>
      </c>
      <c r="D3" s="36">
        <v>1.1206542E7</v>
      </c>
    </row>
    <row r="4">
      <c r="A4" s="160">
        <v>44256.0</v>
      </c>
      <c r="B4" s="2" t="s">
        <v>2204</v>
      </c>
      <c r="C4" s="36">
        <v>4333196.3</v>
      </c>
      <c r="D4" s="36">
        <v>1.2380561E7</v>
      </c>
    </row>
    <row r="5">
      <c r="A5" s="160">
        <v>44197.0</v>
      </c>
      <c r="B5" s="2" t="s">
        <v>2205</v>
      </c>
      <c r="C5" s="36">
        <v>5236468.7</v>
      </c>
      <c r="D5" s="36">
        <v>3490979.0</v>
      </c>
    </row>
    <row r="6">
      <c r="A6" s="160">
        <v>44228.0</v>
      </c>
      <c r="B6" s="2" t="s">
        <v>2205</v>
      </c>
      <c r="C6" s="36">
        <v>4894622.1</v>
      </c>
      <c r="D6" s="36">
        <v>3263081.0</v>
      </c>
    </row>
    <row r="7">
      <c r="A7" s="160">
        <v>44256.0</v>
      </c>
      <c r="B7" s="2" t="s">
        <v>2205</v>
      </c>
      <c r="C7" s="36">
        <v>5407392.0</v>
      </c>
      <c r="D7" s="36">
        <v>3604928.0</v>
      </c>
    </row>
    <row r="8">
      <c r="A8" s="160">
        <v>44197.0</v>
      </c>
      <c r="B8" s="2" t="s">
        <v>2206</v>
      </c>
      <c r="C8" s="36">
        <v>634333.1</v>
      </c>
      <c r="D8" s="36">
        <v>25373.0</v>
      </c>
    </row>
    <row r="9">
      <c r="A9" s="160">
        <v>44228.0</v>
      </c>
      <c r="B9" s="2" t="s">
        <v>2206</v>
      </c>
      <c r="C9" s="36">
        <v>592922.7</v>
      </c>
      <c r="D9" s="36">
        <v>23717.0</v>
      </c>
    </row>
    <row r="10">
      <c r="A10" s="160">
        <v>44256.0</v>
      </c>
      <c r="B10" s="2" t="s">
        <v>2206</v>
      </c>
      <c r="C10" s="36">
        <v>655038.4</v>
      </c>
      <c r="D10" s="36">
        <v>26202.0</v>
      </c>
    </row>
    <row r="11">
      <c r="A11" s="160">
        <v>44287.0</v>
      </c>
      <c r="B11" s="2" t="s">
        <v>2204</v>
      </c>
      <c r="C11" s="36">
        <v>3981361.9</v>
      </c>
      <c r="D11" s="36">
        <v>1.137532E7</v>
      </c>
    </row>
    <row r="12">
      <c r="A12" s="160">
        <v>44317.0</v>
      </c>
      <c r="B12" s="2" t="s">
        <v>2204</v>
      </c>
      <c r="C12" s="36">
        <v>4104623.9</v>
      </c>
      <c r="D12" s="36">
        <v>1.1727497E7</v>
      </c>
    </row>
    <row r="13">
      <c r="A13" s="160">
        <v>44348.0</v>
      </c>
      <c r="B13" s="2" t="s">
        <v>2204</v>
      </c>
      <c r="C13" s="36">
        <v>4227885.9</v>
      </c>
      <c r="D13" s="36">
        <v>1.2079674E7</v>
      </c>
    </row>
    <row r="14">
      <c r="A14" s="160">
        <v>44287.0</v>
      </c>
      <c r="B14" s="2" t="s">
        <v>2205</v>
      </c>
      <c r="C14" s="36">
        <v>4968338.2</v>
      </c>
      <c r="D14" s="36">
        <v>3312225.0</v>
      </c>
    </row>
    <row r="15">
      <c r="A15" s="160">
        <v>44317.0</v>
      </c>
      <c r="B15" s="2" t="s">
        <v>2205</v>
      </c>
      <c r="C15" s="36">
        <v>5122156.7</v>
      </c>
      <c r="D15" s="36">
        <v>3414771.0</v>
      </c>
    </row>
    <row r="16">
      <c r="A16" s="160">
        <v>44348.0</v>
      </c>
      <c r="B16" s="2" t="s">
        <v>2205</v>
      </c>
      <c r="C16" s="36">
        <v>5275975.2</v>
      </c>
      <c r="D16" s="36">
        <v>3517317.0</v>
      </c>
    </row>
    <row r="17">
      <c r="A17" s="160">
        <v>44287.0</v>
      </c>
      <c r="B17" s="2" t="s">
        <v>2206</v>
      </c>
      <c r="C17" s="36">
        <v>546170.1</v>
      </c>
      <c r="D17" s="36">
        <v>21847.0</v>
      </c>
    </row>
    <row r="18">
      <c r="A18" s="160">
        <v>44317.0</v>
      </c>
      <c r="B18" s="2" t="s">
        <v>2206</v>
      </c>
      <c r="C18" s="36">
        <v>563079.4</v>
      </c>
      <c r="D18" s="36">
        <v>22523.0</v>
      </c>
    </row>
    <row r="19">
      <c r="A19" s="160">
        <v>44348.0</v>
      </c>
      <c r="B19" s="2" t="s">
        <v>2206</v>
      </c>
      <c r="C19" s="36">
        <v>579988.7</v>
      </c>
      <c r="D19" s="36">
        <v>23200.0</v>
      </c>
    </row>
    <row r="20">
      <c r="A20" s="160">
        <v>44378.0</v>
      </c>
      <c r="B20" s="2" t="s">
        <v>2204</v>
      </c>
      <c r="C20" s="36">
        <v>4794644.9</v>
      </c>
      <c r="D20" s="36">
        <v>1.3698985E7</v>
      </c>
    </row>
    <row r="21">
      <c r="A21" s="160">
        <v>44409.0</v>
      </c>
      <c r="B21" s="2" t="s">
        <v>2204</v>
      </c>
      <c r="C21" s="36">
        <v>4519880.1</v>
      </c>
      <c r="D21" s="36">
        <v>1.2913943E7</v>
      </c>
    </row>
    <row r="22">
      <c r="A22" s="160">
        <v>44440.0</v>
      </c>
      <c r="B22" s="2" t="s">
        <v>2204</v>
      </c>
      <c r="C22" s="36">
        <v>4423712.4</v>
      </c>
      <c r="D22" s="36">
        <v>1.2639178E7</v>
      </c>
    </row>
    <row r="23">
      <c r="A23" s="160">
        <v>44378.0</v>
      </c>
      <c r="B23" s="2" t="s">
        <v>2205</v>
      </c>
      <c r="C23" s="36">
        <v>5983233.3</v>
      </c>
      <c r="D23" s="36">
        <v>3988822.0</v>
      </c>
    </row>
    <row r="24">
      <c r="A24" s="160">
        <v>44409.0</v>
      </c>
      <c r="B24" s="2" t="s">
        <v>2205</v>
      </c>
      <c r="C24" s="36">
        <v>5640354.6</v>
      </c>
      <c r="D24" s="36">
        <v>3760236.0</v>
      </c>
    </row>
    <row r="25">
      <c r="A25" s="160">
        <v>44440.0</v>
      </c>
      <c r="B25" s="2" t="s">
        <v>2205</v>
      </c>
      <c r="C25" s="36">
        <v>5520347.0</v>
      </c>
      <c r="D25" s="36">
        <v>3680231.0</v>
      </c>
    </row>
    <row r="26">
      <c r="A26" s="160">
        <v>44378.0</v>
      </c>
      <c r="B26" s="2" t="s">
        <v>2206</v>
      </c>
      <c r="C26" s="36">
        <v>656920.7</v>
      </c>
      <c r="D26" s="36">
        <v>26277.0</v>
      </c>
    </row>
    <row r="27">
      <c r="A27" s="160">
        <v>44409.0</v>
      </c>
      <c r="B27" s="2" t="s">
        <v>2206</v>
      </c>
      <c r="C27" s="36">
        <v>619274.8</v>
      </c>
      <c r="D27" s="36">
        <v>24771.0</v>
      </c>
    </row>
    <row r="28">
      <c r="A28" s="160">
        <v>44440.0</v>
      </c>
      <c r="B28" s="2" t="s">
        <v>2206</v>
      </c>
      <c r="C28" s="36">
        <v>606098.7</v>
      </c>
      <c r="D28" s="36">
        <v>24244.0</v>
      </c>
    </row>
    <row r="29">
      <c r="A29" s="160">
        <v>44470.0</v>
      </c>
      <c r="B29" s="2" t="s">
        <v>2204</v>
      </c>
      <c r="C29" s="36">
        <v>4749134.1</v>
      </c>
      <c r="D29" s="36">
        <v>1.3568954E7</v>
      </c>
    </row>
    <row r="30">
      <c r="A30" s="160">
        <v>44501.0</v>
      </c>
      <c r="B30" s="2" t="s">
        <v>2204</v>
      </c>
      <c r="C30" s="36">
        <v>4995043.9</v>
      </c>
      <c r="D30" s="36">
        <v>1.4271554E7</v>
      </c>
    </row>
    <row r="31">
      <c r="A31" s="160">
        <v>44531.0</v>
      </c>
      <c r="B31" s="2" t="s">
        <v>2204</v>
      </c>
      <c r="C31" s="36">
        <v>5625187.9</v>
      </c>
      <c r="D31" s="36">
        <v>1.6071966E7</v>
      </c>
    </row>
    <row r="32">
      <c r="A32" s="160">
        <v>44470.0</v>
      </c>
      <c r="B32" s="2" t="s">
        <v>2205</v>
      </c>
      <c r="C32" s="36">
        <v>5926440.4</v>
      </c>
      <c r="D32" s="36">
        <v>3950960.0</v>
      </c>
    </row>
    <row r="33">
      <c r="A33" s="160">
        <v>44501.0</v>
      </c>
      <c r="B33" s="2" t="s">
        <v>2205</v>
      </c>
      <c r="C33" s="36">
        <v>6233311.1</v>
      </c>
      <c r="D33" s="36">
        <v>4155541.0</v>
      </c>
    </row>
    <row r="34">
      <c r="A34" s="160">
        <v>44531.0</v>
      </c>
      <c r="B34" s="2" t="s">
        <v>2205</v>
      </c>
      <c r="C34" s="36">
        <v>7019667.3</v>
      </c>
      <c r="D34" s="36">
        <v>4679778.0</v>
      </c>
    </row>
    <row r="35">
      <c r="A35" s="160">
        <v>44470.0</v>
      </c>
      <c r="B35" s="2" t="s">
        <v>2206</v>
      </c>
      <c r="C35" s="36">
        <v>566715.3</v>
      </c>
      <c r="D35" s="36">
        <v>22669.0</v>
      </c>
    </row>
    <row r="36">
      <c r="A36" s="160">
        <v>44501.0</v>
      </c>
      <c r="B36" s="2" t="s">
        <v>2206</v>
      </c>
      <c r="C36" s="36">
        <v>596059.8</v>
      </c>
      <c r="D36" s="36">
        <v>23842.0</v>
      </c>
    </row>
    <row r="37">
      <c r="A37" s="160">
        <v>44531.0</v>
      </c>
      <c r="B37" s="2" t="s">
        <v>2206</v>
      </c>
      <c r="C37" s="36">
        <v>671255.0</v>
      </c>
      <c r="D37" s="36">
        <v>26850.0</v>
      </c>
    </row>
    <row r="38">
      <c r="A38" s="160">
        <v>44562.0</v>
      </c>
      <c r="B38" s="2" t="s">
        <v>2204</v>
      </c>
      <c r="C38" s="36">
        <v>4807854.7</v>
      </c>
      <c r="D38" s="36">
        <v>1.3736728E7</v>
      </c>
    </row>
    <row r="39">
      <c r="A39" s="160">
        <v>44593.0</v>
      </c>
      <c r="B39" s="2" t="s">
        <v>2204</v>
      </c>
      <c r="C39" s="36">
        <v>4493988.8</v>
      </c>
      <c r="D39" s="36">
        <v>1.2839968E7</v>
      </c>
    </row>
    <row r="40">
      <c r="A40" s="160">
        <v>44621.0</v>
      </c>
      <c r="B40" s="2" t="s">
        <v>2204</v>
      </c>
      <c r="C40" s="36">
        <v>4964787.6</v>
      </c>
      <c r="D40" s="36">
        <v>1.4185108E7</v>
      </c>
    </row>
    <row r="41">
      <c r="A41" s="160">
        <v>44562.0</v>
      </c>
      <c r="B41" s="2" t="s">
        <v>2205</v>
      </c>
      <c r="C41" s="36">
        <v>5999717.8</v>
      </c>
      <c r="D41" s="36">
        <v>3999812.0</v>
      </c>
    </row>
    <row r="42">
      <c r="A42" s="160">
        <v>44593.0</v>
      </c>
      <c r="B42" s="2" t="s">
        <v>2205</v>
      </c>
      <c r="C42" s="36">
        <v>5608044.9</v>
      </c>
      <c r="D42" s="36">
        <v>3738697.0</v>
      </c>
    </row>
    <row r="43">
      <c r="A43" s="160">
        <v>44621.0</v>
      </c>
      <c r="B43" s="2" t="s">
        <v>2205</v>
      </c>
      <c r="C43" s="36">
        <v>6195554.3</v>
      </c>
      <c r="D43" s="36">
        <v>4130370.0</v>
      </c>
    </row>
    <row r="44">
      <c r="A44" s="160">
        <v>44562.0</v>
      </c>
      <c r="B44" s="2" t="s">
        <v>2206</v>
      </c>
      <c r="C44" s="36">
        <v>504213.5</v>
      </c>
      <c r="D44" s="36">
        <v>20169.0</v>
      </c>
    </row>
    <row r="45">
      <c r="A45" s="160">
        <v>44593.0</v>
      </c>
      <c r="B45" s="2" t="s">
        <v>2206</v>
      </c>
      <c r="C45" s="36">
        <v>471297.5</v>
      </c>
      <c r="D45" s="36">
        <v>18852.0</v>
      </c>
    </row>
    <row r="46">
      <c r="A46" s="160">
        <v>44621.0</v>
      </c>
      <c r="B46" s="2" t="s">
        <v>2206</v>
      </c>
      <c r="C46" s="36">
        <v>520671.5</v>
      </c>
      <c r="D46" s="36">
        <v>20827.0</v>
      </c>
    </row>
    <row r="47">
      <c r="A47" s="160">
        <v>44652.0</v>
      </c>
      <c r="B47" s="2" t="s">
        <v>2204</v>
      </c>
      <c r="C47" s="36">
        <v>4798432.4</v>
      </c>
      <c r="D47" s="36">
        <v>1.3709807E7</v>
      </c>
    </row>
    <row r="48">
      <c r="A48" s="160">
        <v>44682.0</v>
      </c>
      <c r="B48" s="2" t="s">
        <v>2204</v>
      </c>
      <c r="C48" s="36">
        <v>4946990.7</v>
      </c>
      <c r="D48" s="36">
        <v>1.4134259E7</v>
      </c>
    </row>
    <row r="49">
      <c r="A49" s="160">
        <v>44713.0</v>
      </c>
      <c r="B49" s="2" t="s">
        <v>2204</v>
      </c>
      <c r="C49" s="36">
        <v>5095549.0</v>
      </c>
      <c r="D49" s="36">
        <v>1.4558711E7</v>
      </c>
    </row>
    <row r="50">
      <c r="A50" s="160">
        <v>44652.0</v>
      </c>
      <c r="B50" s="2" t="s">
        <v>2205</v>
      </c>
      <c r="C50" s="36">
        <v>5987959.8</v>
      </c>
      <c r="D50" s="36">
        <v>3991973.0</v>
      </c>
    </row>
    <row r="51">
      <c r="A51" s="160">
        <v>44682.0</v>
      </c>
      <c r="B51" s="2" t="s">
        <v>2205</v>
      </c>
      <c r="C51" s="36">
        <v>6173345.6</v>
      </c>
      <c r="D51" s="36">
        <v>4115564.0</v>
      </c>
    </row>
    <row r="52">
      <c r="A52" s="160">
        <v>44713.0</v>
      </c>
      <c r="B52" s="2" t="s">
        <v>2205</v>
      </c>
      <c r="C52" s="36">
        <v>6358731.3</v>
      </c>
      <c r="D52" s="36">
        <v>4239154.0</v>
      </c>
    </row>
    <row r="53">
      <c r="A53" s="160">
        <v>44652.0</v>
      </c>
      <c r="B53" s="2" t="s">
        <v>2206</v>
      </c>
      <c r="C53" s="36">
        <v>452541.0</v>
      </c>
      <c r="D53" s="36">
        <v>18102.0</v>
      </c>
    </row>
    <row r="54">
      <c r="A54" s="160">
        <v>44682.0</v>
      </c>
      <c r="B54" s="2" t="s">
        <v>2206</v>
      </c>
      <c r="C54" s="36">
        <v>466551.5</v>
      </c>
      <c r="D54" s="36">
        <v>18662.0</v>
      </c>
    </row>
    <row r="55">
      <c r="A55" s="160">
        <v>44713.0</v>
      </c>
      <c r="B55" s="2" t="s">
        <v>2206</v>
      </c>
      <c r="C55" s="36">
        <v>480562.1</v>
      </c>
      <c r="D55" s="36">
        <v>19222.0</v>
      </c>
    </row>
    <row r="56">
      <c r="A56" s="160">
        <v>44743.0</v>
      </c>
      <c r="B56" s="2" t="s">
        <v>2204</v>
      </c>
      <c r="C56" s="36">
        <v>4955000.9</v>
      </c>
      <c r="D56" s="36">
        <v>1.4157145E7</v>
      </c>
    </row>
    <row r="57">
      <c r="A57" s="160">
        <v>44774.0</v>
      </c>
      <c r="B57" s="2" t="s">
        <v>2204</v>
      </c>
      <c r="C57" s="36">
        <v>4671046.7</v>
      </c>
      <c r="D57" s="36">
        <v>1.3345848E7</v>
      </c>
    </row>
    <row r="58">
      <c r="A58" s="160">
        <v>44805.0</v>
      </c>
      <c r="B58" s="2" t="s">
        <v>2204</v>
      </c>
      <c r="C58" s="36">
        <v>4571662.7</v>
      </c>
      <c r="D58" s="36">
        <v>1.3061893E7</v>
      </c>
    </row>
    <row r="59">
      <c r="A59" s="160">
        <v>44743.0</v>
      </c>
      <c r="B59" s="2" t="s">
        <v>2205</v>
      </c>
      <c r="C59" s="36">
        <v>6183341.4</v>
      </c>
      <c r="D59" s="36">
        <v>4122228.0</v>
      </c>
    </row>
    <row r="60">
      <c r="A60" s="160">
        <v>44774.0</v>
      </c>
      <c r="B60" s="2" t="s">
        <v>2205</v>
      </c>
      <c r="C60" s="36">
        <v>5828995.2</v>
      </c>
      <c r="D60" s="36">
        <v>3885997.0</v>
      </c>
    </row>
    <row r="61">
      <c r="A61" s="160">
        <v>44805.0</v>
      </c>
      <c r="B61" s="2" t="s">
        <v>2205</v>
      </c>
      <c r="C61" s="36">
        <v>5704974.0</v>
      </c>
      <c r="D61" s="36">
        <v>3803316.0</v>
      </c>
    </row>
    <row r="62">
      <c r="A62" s="160">
        <v>44743.0</v>
      </c>
      <c r="B62" s="2" t="s">
        <v>2206</v>
      </c>
      <c r="C62" s="36">
        <v>539011.8</v>
      </c>
      <c r="D62" s="36">
        <v>21560.0</v>
      </c>
    </row>
    <row r="63">
      <c r="A63" s="160">
        <v>44774.0</v>
      </c>
      <c r="B63" s="2" t="s">
        <v>2206</v>
      </c>
      <c r="C63" s="36">
        <v>508122.9</v>
      </c>
      <c r="D63" s="36">
        <v>20325.0</v>
      </c>
    </row>
    <row r="64">
      <c r="A64" s="160">
        <v>44805.0</v>
      </c>
      <c r="B64" s="2" t="s">
        <v>2206</v>
      </c>
      <c r="C64" s="36">
        <v>497311.8</v>
      </c>
      <c r="D64" s="36">
        <v>19892.0</v>
      </c>
    </row>
    <row r="65">
      <c r="A65" s="160">
        <v>44835.0</v>
      </c>
      <c r="B65" s="2" t="s">
        <v>2204</v>
      </c>
      <c r="C65" s="36">
        <v>4685244.4</v>
      </c>
      <c r="D65" s="36">
        <v>1.3386413E7</v>
      </c>
    </row>
    <row r="66">
      <c r="A66" s="160">
        <v>44866.0</v>
      </c>
      <c r="B66" s="2" t="s">
        <v>2204</v>
      </c>
      <c r="C66" s="36">
        <v>4927846.0</v>
      </c>
      <c r="D66" s="36">
        <v>1.407956E7</v>
      </c>
    </row>
    <row r="67">
      <c r="A67" s="160">
        <v>44896.0</v>
      </c>
      <c r="B67" s="2" t="s">
        <v>2204</v>
      </c>
      <c r="C67" s="36">
        <v>5549512.8</v>
      </c>
      <c r="D67" s="36">
        <v>1.5855751E7</v>
      </c>
    </row>
    <row r="68">
      <c r="A68" s="160">
        <v>44835.0</v>
      </c>
      <c r="B68" s="2" t="s">
        <v>2205</v>
      </c>
      <c r="C68" s="36">
        <v>5846712.5</v>
      </c>
      <c r="D68" s="36">
        <v>3897808.0</v>
      </c>
    </row>
    <row r="69">
      <c r="A69" s="160">
        <v>44866.0</v>
      </c>
      <c r="B69" s="2" t="s">
        <v>2205</v>
      </c>
      <c r="C69" s="36">
        <v>6149454.9</v>
      </c>
      <c r="D69" s="36">
        <v>4099637.0</v>
      </c>
    </row>
    <row r="70">
      <c r="A70" s="160">
        <v>44896.0</v>
      </c>
      <c r="B70" s="2" t="s">
        <v>2205</v>
      </c>
      <c r="C70" s="36">
        <v>6925232.3</v>
      </c>
      <c r="D70" s="36">
        <v>4616822.0</v>
      </c>
    </row>
    <row r="71">
      <c r="A71" s="160">
        <v>44835.0</v>
      </c>
      <c r="B71" s="2" t="s">
        <v>2206</v>
      </c>
      <c r="C71" s="36">
        <v>507061.1</v>
      </c>
      <c r="D71" s="36">
        <v>20282.0</v>
      </c>
    </row>
    <row r="72">
      <c r="A72" s="160">
        <v>44866.0</v>
      </c>
      <c r="B72" s="2" t="s">
        <v>2206</v>
      </c>
      <c r="C72" s="36">
        <v>533316.7</v>
      </c>
      <c r="D72" s="36">
        <v>21333.0</v>
      </c>
    </row>
    <row r="73">
      <c r="A73" s="160">
        <v>44896.0</v>
      </c>
      <c r="B73" s="2" t="s">
        <v>2206</v>
      </c>
      <c r="C73" s="36">
        <v>600596.6</v>
      </c>
      <c r="D73" s="36">
        <v>24024.0</v>
      </c>
    </row>
    <row r="74">
      <c r="A74" s="160">
        <v>44927.0</v>
      </c>
      <c r="B74" s="2" t="s">
        <v>2204</v>
      </c>
      <c r="C74" s="36">
        <v>4753659.9</v>
      </c>
      <c r="D74" s="36">
        <v>1.3581885E7</v>
      </c>
    </row>
    <row r="75">
      <c r="A75" s="160">
        <v>44958.0</v>
      </c>
      <c r="B75" s="2" t="s">
        <v>2204</v>
      </c>
      <c r="C75" s="36">
        <v>4443331.9</v>
      </c>
      <c r="D75" s="36">
        <v>1.2695234E7</v>
      </c>
    </row>
    <row r="76">
      <c r="A76" s="160">
        <v>44986.0</v>
      </c>
      <c r="B76" s="2" t="s">
        <v>2204</v>
      </c>
      <c r="C76" s="36">
        <v>4908823.9</v>
      </c>
      <c r="D76" s="36">
        <v>1.4025211E7</v>
      </c>
    </row>
    <row r="77">
      <c r="A77" s="160">
        <v>44927.0</v>
      </c>
      <c r="B77" s="2" t="s">
        <v>2205</v>
      </c>
      <c r="C77" s="36">
        <v>5932088.2</v>
      </c>
      <c r="D77" s="36">
        <v>3954725.0</v>
      </c>
    </row>
    <row r="78">
      <c r="A78" s="160">
        <v>44958.0</v>
      </c>
      <c r="B78" s="2" t="s">
        <v>2205</v>
      </c>
      <c r="C78" s="36">
        <v>5544830.2</v>
      </c>
      <c r="D78" s="36">
        <v>3696553.0</v>
      </c>
    </row>
    <row r="79">
      <c r="A79" s="160">
        <v>44986.0</v>
      </c>
      <c r="B79" s="2" t="s">
        <v>2205</v>
      </c>
      <c r="C79" s="36">
        <v>6125717.2</v>
      </c>
      <c r="D79" s="36">
        <v>4083811.0</v>
      </c>
    </row>
    <row r="80">
      <c r="A80" s="160">
        <v>44927.0</v>
      </c>
      <c r="B80" s="2" t="s">
        <v>2206</v>
      </c>
      <c r="C80" s="36">
        <v>536743.4</v>
      </c>
      <c r="D80" s="36">
        <v>21470.0</v>
      </c>
    </row>
    <row r="81">
      <c r="A81" s="160">
        <v>44958.0</v>
      </c>
      <c r="B81" s="2" t="s">
        <v>2206</v>
      </c>
      <c r="C81" s="36">
        <v>501703.8</v>
      </c>
      <c r="D81" s="36">
        <v>20068.0</v>
      </c>
    </row>
    <row r="82">
      <c r="A82" s="160">
        <v>44986.0</v>
      </c>
      <c r="B82" s="2" t="s">
        <v>2206</v>
      </c>
      <c r="C82" s="36">
        <v>554263.2</v>
      </c>
      <c r="D82" s="36">
        <v>22171.0</v>
      </c>
    </row>
    <row r="83">
      <c r="A83" s="160">
        <v>45017.0</v>
      </c>
      <c r="B83" s="2" t="s">
        <v>2204</v>
      </c>
      <c r="C83" s="36">
        <v>4746437.0</v>
      </c>
      <c r="D83" s="36">
        <v>1.3561249E7</v>
      </c>
    </row>
    <row r="84">
      <c r="A84" s="160">
        <v>45047.0</v>
      </c>
      <c r="B84" s="2" t="s">
        <v>2204</v>
      </c>
      <c r="C84" s="36">
        <v>4893385.6</v>
      </c>
      <c r="D84" s="36">
        <v>1.3981102E7</v>
      </c>
    </row>
    <row r="85">
      <c r="A85" s="160">
        <v>45078.0</v>
      </c>
      <c r="B85" s="2" t="s">
        <v>2204</v>
      </c>
      <c r="C85" s="36">
        <v>5040334.1</v>
      </c>
      <c r="D85" s="36">
        <v>1.4400955E7</v>
      </c>
    </row>
    <row r="86">
      <c r="A86" s="160">
        <v>45017.0</v>
      </c>
      <c r="B86" s="2" t="s">
        <v>2205</v>
      </c>
      <c r="C86" s="36">
        <v>5923074.8</v>
      </c>
      <c r="D86" s="36">
        <v>3948717.0</v>
      </c>
    </row>
    <row r="87">
      <c r="A87" s="160">
        <v>45047.0</v>
      </c>
      <c r="B87" s="2" t="s">
        <v>2205</v>
      </c>
      <c r="C87" s="36">
        <v>6106451.7</v>
      </c>
      <c r="D87" s="36">
        <v>4070968.0</v>
      </c>
    </row>
    <row r="88">
      <c r="A88" s="160">
        <v>45078.0</v>
      </c>
      <c r="B88" s="2" t="s">
        <v>2205</v>
      </c>
      <c r="C88" s="36">
        <v>6289828.7</v>
      </c>
      <c r="D88" s="36">
        <v>4193219.0</v>
      </c>
    </row>
    <row r="89">
      <c r="A89" s="160">
        <v>45017.0</v>
      </c>
      <c r="B89" s="2" t="s">
        <v>2206</v>
      </c>
      <c r="C89" s="36">
        <v>546170.1</v>
      </c>
      <c r="D89" s="36">
        <v>21847.0</v>
      </c>
    </row>
    <row r="90">
      <c r="A90" s="160">
        <v>45047.0</v>
      </c>
      <c r="B90" s="2" t="s">
        <v>2206</v>
      </c>
      <c r="C90" s="36">
        <v>563079.4</v>
      </c>
      <c r="D90" s="36">
        <v>22523.0</v>
      </c>
    </row>
    <row r="91">
      <c r="A91" s="160">
        <v>45078.0</v>
      </c>
      <c r="B91" s="2" t="s">
        <v>2206</v>
      </c>
      <c r="C91" s="36">
        <v>579988.7</v>
      </c>
      <c r="D91" s="36">
        <v>23200.0</v>
      </c>
    </row>
    <row r="92">
      <c r="A92" s="160">
        <v>45108.0</v>
      </c>
      <c r="B92" s="2" t="s">
        <v>2204</v>
      </c>
      <c r="C92" s="36">
        <v>5500211.3</v>
      </c>
      <c r="D92" s="36">
        <v>1.5714889E7</v>
      </c>
    </row>
    <row r="93">
      <c r="A93" s="160">
        <v>45139.0</v>
      </c>
      <c r="B93" s="2" t="s">
        <v>2204</v>
      </c>
      <c r="C93" s="36">
        <v>5185013.0</v>
      </c>
      <c r="D93" s="36">
        <v>1.4814323E7</v>
      </c>
    </row>
    <row r="94">
      <c r="A94" s="160">
        <v>45170.0</v>
      </c>
      <c r="B94" s="2" t="s">
        <v>2204</v>
      </c>
      <c r="C94" s="36">
        <v>5074693.5</v>
      </c>
      <c r="D94" s="36">
        <v>1.4499124E7</v>
      </c>
    </row>
    <row r="95">
      <c r="A95" s="160">
        <v>45108.0</v>
      </c>
      <c r="B95" s="2" t="s">
        <v>2205</v>
      </c>
      <c r="C95" s="36">
        <v>6863709.1</v>
      </c>
      <c r="D95" s="36">
        <v>4575806.0</v>
      </c>
    </row>
    <row r="96">
      <c r="A96" s="160">
        <v>45139.0</v>
      </c>
      <c r="B96" s="2" t="s">
        <v>2205</v>
      </c>
      <c r="C96" s="36">
        <v>6470373.3</v>
      </c>
      <c r="D96" s="36">
        <v>4313582.0</v>
      </c>
    </row>
    <row r="97">
      <c r="A97" s="160">
        <v>45170.0</v>
      </c>
      <c r="B97" s="2" t="s">
        <v>2205</v>
      </c>
      <c r="C97" s="36">
        <v>6332705.8</v>
      </c>
      <c r="D97" s="36">
        <v>4221804.0</v>
      </c>
    </row>
    <row r="98">
      <c r="A98" s="160">
        <v>45108.0</v>
      </c>
      <c r="B98" s="2" t="s">
        <v>2206</v>
      </c>
      <c r="C98" s="36">
        <v>623232.4</v>
      </c>
      <c r="D98" s="36">
        <v>24929.0</v>
      </c>
    </row>
    <row r="99">
      <c r="A99" s="160">
        <v>45139.0</v>
      </c>
      <c r="B99" s="2" t="s">
        <v>2206</v>
      </c>
      <c r="C99" s="36">
        <v>587517.1</v>
      </c>
      <c r="D99" s="36">
        <v>23501.0</v>
      </c>
    </row>
    <row r="100">
      <c r="A100" s="160">
        <v>45170.0</v>
      </c>
      <c r="B100" s="2" t="s">
        <v>2206</v>
      </c>
      <c r="C100" s="36">
        <v>575016.7</v>
      </c>
      <c r="D100" s="36">
        <v>23001.0</v>
      </c>
    </row>
    <row r="101">
      <c r="A101" s="160">
        <v>45200.0</v>
      </c>
      <c r="B101" s="2" t="s">
        <v>2204</v>
      </c>
      <c r="C101" s="36">
        <v>5033088.3</v>
      </c>
      <c r="D101" s="36">
        <v>1.4380252E7</v>
      </c>
    </row>
    <row r="102">
      <c r="A102" s="160">
        <v>45231.0</v>
      </c>
      <c r="B102" s="2" t="s">
        <v>2204</v>
      </c>
      <c r="C102" s="36">
        <v>5293701.3</v>
      </c>
      <c r="D102" s="36">
        <v>1.5124861E7</v>
      </c>
    </row>
    <row r="103">
      <c r="A103" s="160">
        <v>45261.0</v>
      </c>
      <c r="B103" s="2" t="s">
        <v>2204</v>
      </c>
      <c r="C103" s="36">
        <v>5961522.0</v>
      </c>
      <c r="D103" s="36">
        <v>1.703292E7</v>
      </c>
    </row>
    <row r="104">
      <c r="A104" s="160">
        <v>45200.0</v>
      </c>
      <c r="B104" s="2" t="s">
        <v>2205</v>
      </c>
      <c r="C104" s="36">
        <v>6280786.6</v>
      </c>
      <c r="D104" s="36">
        <v>4187191.0</v>
      </c>
    </row>
    <row r="105">
      <c r="A105" s="160">
        <v>45231.0</v>
      </c>
      <c r="B105" s="2" t="s">
        <v>2205</v>
      </c>
      <c r="C105" s="36">
        <v>6606005.4</v>
      </c>
      <c r="D105" s="36">
        <v>4404004.0</v>
      </c>
    </row>
    <row r="106">
      <c r="A106" s="160">
        <v>45261.0</v>
      </c>
      <c r="B106" s="2" t="s">
        <v>2205</v>
      </c>
      <c r="C106" s="36">
        <v>7439378.3</v>
      </c>
      <c r="D106" s="36">
        <v>4959586.0</v>
      </c>
    </row>
    <row r="107">
      <c r="A107" s="160">
        <v>45200.0</v>
      </c>
      <c r="B107" s="2" t="s">
        <v>2206</v>
      </c>
      <c r="C107" s="36">
        <v>521974.6</v>
      </c>
      <c r="D107" s="36">
        <v>20879.0</v>
      </c>
    </row>
    <row r="108">
      <c r="A108" s="160">
        <v>45231.0</v>
      </c>
      <c r="B108" s="2" t="s">
        <v>2206</v>
      </c>
      <c r="C108" s="36">
        <v>549002.5</v>
      </c>
      <c r="D108" s="36">
        <v>21960.0</v>
      </c>
    </row>
    <row r="109">
      <c r="A109" s="160">
        <v>45261.0</v>
      </c>
      <c r="B109" s="2" t="s">
        <v>2206</v>
      </c>
      <c r="C109" s="36">
        <v>618261.2</v>
      </c>
      <c r="D109" s="36">
        <v>24730.0</v>
      </c>
    </row>
    <row r="110">
      <c r="A110" s="160">
        <v>45292.0</v>
      </c>
      <c r="B110" s="2" t="s">
        <v>2204</v>
      </c>
      <c r="C110" s="36">
        <v>5109797.3</v>
      </c>
      <c r="D110" s="36">
        <v>1.4599421E7</v>
      </c>
    </row>
    <row r="111">
      <c r="A111" s="160">
        <v>45323.0</v>
      </c>
      <c r="B111" s="2" t="s">
        <v>2204</v>
      </c>
      <c r="C111" s="36">
        <v>4776220.0</v>
      </c>
      <c r="D111" s="36">
        <v>1.3646343E7</v>
      </c>
    </row>
    <row r="112">
      <c r="A112" s="160">
        <v>45352.0</v>
      </c>
      <c r="B112" s="2" t="s">
        <v>2204</v>
      </c>
      <c r="C112" s="36">
        <v>5276585.9</v>
      </c>
      <c r="D112" s="36">
        <v>1.507596E7</v>
      </c>
    </row>
    <row r="113">
      <c r="A113" s="160">
        <v>45292.0</v>
      </c>
      <c r="B113" s="2" t="s">
        <v>2205</v>
      </c>
      <c r="C113" s="36">
        <v>6376511.7</v>
      </c>
      <c r="D113" s="36">
        <v>4251008.0</v>
      </c>
    </row>
    <row r="114">
      <c r="A114" s="160">
        <v>45323.0</v>
      </c>
      <c r="B114" s="2" t="s">
        <v>2205</v>
      </c>
      <c r="C114" s="36">
        <v>5960240.9</v>
      </c>
      <c r="D114" s="36">
        <v>3973494.0</v>
      </c>
    </row>
    <row r="115">
      <c r="A115" s="160">
        <v>45352.0</v>
      </c>
      <c r="B115" s="2" t="s">
        <v>2205</v>
      </c>
      <c r="C115" s="36">
        <v>6584647.1</v>
      </c>
      <c r="D115" s="36">
        <v>4389765.0</v>
      </c>
    </row>
    <row r="116">
      <c r="A116" s="160">
        <v>45292.0</v>
      </c>
      <c r="B116" s="2" t="s">
        <v>2206</v>
      </c>
      <c r="C116" s="36">
        <v>666863.0</v>
      </c>
      <c r="D116" s="36">
        <v>26675.0</v>
      </c>
    </row>
    <row r="117">
      <c r="A117" s="160">
        <v>45323.0</v>
      </c>
      <c r="B117" s="2" t="s">
        <v>2206</v>
      </c>
      <c r="C117" s="36">
        <v>623328.9</v>
      </c>
      <c r="D117" s="36">
        <v>24933.0</v>
      </c>
    </row>
    <row r="118">
      <c r="A118" s="160">
        <v>45352.0</v>
      </c>
      <c r="B118" s="2" t="s">
        <v>2206</v>
      </c>
      <c r="C118" s="36">
        <v>688630.1</v>
      </c>
      <c r="D118" s="36">
        <v>27545.0</v>
      </c>
    </row>
    <row r="119">
      <c r="A119" s="160">
        <v>45383.0</v>
      </c>
      <c r="B119" s="2" t="s">
        <v>2204</v>
      </c>
      <c r="C119" s="36">
        <v>4791004.5</v>
      </c>
      <c r="D119" s="36">
        <v>1.3688584E7</v>
      </c>
    </row>
    <row r="120">
      <c r="A120" s="160">
        <v>45413.0</v>
      </c>
      <c r="B120" s="2" t="s">
        <v>2204</v>
      </c>
      <c r="C120" s="36">
        <v>4939332.8</v>
      </c>
      <c r="D120" s="36">
        <v>1.411238E7</v>
      </c>
    </row>
    <row r="121">
      <c r="A121" s="160">
        <v>45444.0</v>
      </c>
      <c r="B121" s="2" t="s">
        <v>2204</v>
      </c>
      <c r="C121" s="36">
        <v>5087661.2</v>
      </c>
      <c r="D121" s="36">
        <v>1.4536175E7</v>
      </c>
    </row>
    <row r="122">
      <c r="A122" s="160">
        <v>45383.0</v>
      </c>
      <c r="B122" s="2" t="s">
        <v>2205</v>
      </c>
      <c r="C122" s="36">
        <v>5978690.5</v>
      </c>
      <c r="D122" s="36">
        <v>3985794.0</v>
      </c>
    </row>
    <row r="123">
      <c r="A123" s="160">
        <v>45413.0</v>
      </c>
      <c r="B123" s="2" t="s">
        <v>2205</v>
      </c>
      <c r="C123" s="36">
        <v>6163789.3</v>
      </c>
      <c r="D123" s="36">
        <v>4109193.0</v>
      </c>
    </row>
    <row r="124">
      <c r="A124" s="160">
        <v>45444.0</v>
      </c>
      <c r="B124" s="2" t="s">
        <v>2205</v>
      </c>
      <c r="C124" s="36">
        <v>6348888.1</v>
      </c>
      <c r="D124" s="36">
        <v>4232592.0</v>
      </c>
    </row>
    <row r="125">
      <c r="A125" s="160">
        <v>45383.0</v>
      </c>
      <c r="B125" s="2" t="s">
        <v>2206</v>
      </c>
      <c r="C125" s="36">
        <v>624194.5</v>
      </c>
      <c r="D125" s="36">
        <v>24968.0</v>
      </c>
    </row>
    <row r="126">
      <c r="A126" s="160">
        <v>45413.0</v>
      </c>
      <c r="B126" s="2" t="s">
        <v>2206</v>
      </c>
      <c r="C126" s="36">
        <v>643519.4</v>
      </c>
      <c r="D126" s="36">
        <v>25741.0</v>
      </c>
    </row>
    <row r="127">
      <c r="A127" s="160">
        <v>45444.0</v>
      </c>
      <c r="B127" s="2" t="s">
        <v>2206</v>
      </c>
      <c r="C127" s="36">
        <v>662844.3</v>
      </c>
      <c r="D127" s="36">
        <v>26514.0</v>
      </c>
    </row>
    <row r="128">
      <c r="A128" s="160">
        <v>45474.0</v>
      </c>
      <c r="B128" s="2" t="s">
        <v>2204</v>
      </c>
      <c r="C128" s="36">
        <v>5291748.5</v>
      </c>
      <c r="D128" s="36">
        <v>1.5119281E7</v>
      </c>
    </row>
    <row r="129">
      <c r="A129" s="160">
        <v>45505.0</v>
      </c>
      <c r="B129" s="2" t="s">
        <v>2204</v>
      </c>
      <c r="C129" s="36">
        <v>4988496.4</v>
      </c>
      <c r="D129" s="36">
        <v>1.4252847E7</v>
      </c>
    </row>
    <row r="130">
      <c r="A130" s="160">
        <v>45536.0</v>
      </c>
      <c r="B130" s="2" t="s">
        <v>2204</v>
      </c>
      <c r="C130" s="36">
        <v>4882358.2</v>
      </c>
      <c r="D130" s="36">
        <v>1.3949595E7</v>
      </c>
    </row>
    <row r="131">
      <c r="A131" s="160">
        <v>45474.0</v>
      </c>
      <c r="B131" s="2" t="s">
        <v>2205</v>
      </c>
      <c r="C131" s="36">
        <v>6603568.5</v>
      </c>
      <c r="D131" s="36">
        <v>4402379.0</v>
      </c>
    </row>
    <row r="132">
      <c r="A132" s="160">
        <v>45505.0</v>
      </c>
      <c r="B132" s="2" t="s">
        <v>2205</v>
      </c>
      <c r="C132" s="36">
        <v>6225140.5</v>
      </c>
      <c r="D132" s="36">
        <v>4150094.0</v>
      </c>
    </row>
    <row r="133">
      <c r="A133" s="160">
        <v>45536.0</v>
      </c>
      <c r="B133" s="2" t="s">
        <v>2205</v>
      </c>
      <c r="C133" s="36">
        <v>6092690.7</v>
      </c>
      <c r="D133" s="36">
        <v>4061794.0</v>
      </c>
    </row>
    <row r="134">
      <c r="A134" s="160">
        <v>45474.0</v>
      </c>
      <c r="B134" s="2" t="s">
        <v>2206</v>
      </c>
      <c r="C134" s="36">
        <v>656920.7</v>
      </c>
      <c r="D134" s="36">
        <v>26277.0</v>
      </c>
    </row>
    <row r="135">
      <c r="A135" s="160">
        <v>45505.0</v>
      </c>
      <c r="B135" s="2" t="s">
        <v>2206</v>
      </c>
      <c r="C135" s="36">
        <v>619274.8</v>
      </c>
      <c r="D135" s="36">
        <v>24771.0</v>
      </c>
    </row>
    <row r="136">
      <c r="A136" s="160">
        <v>45536.0</v>
      </c>
      <c r="B136" s="2" t="s">
        <v>2206</v>
      </c>
      <c r="C136" s="36">
        <v>606098.7</v>
      </c>
      <c r="D136" s="36">
        <v>24244.0</v>
      </c>
    </row>
    <row r="137">
      <c r="A137" s="160">
        <v>45566.0</v>
      </c>
      <c r="B137" s="2" t="s">
        <v>2204</v>
      </c>
      <c r="C137" s="36">
        <v>5068582.6</v>
      </c>
      <c r="D137" s="36">
        <v>1.4481664E7</v>
      </c>
    </row>
    <row r="138">
      <c r="A138" s="160">
        <v>45597.0</v>
      </c>
      <c r="B138" s="2" t="s">
        <v>2204</v>
      </c>
      <c r="C138" s="36">
        <v>5331033.4</v>
      </c>
      <c r="D138" s="36">
        <v>1.5231524E7</v>
      </c>
    </row>
    <row r="139">
      <c r="A139" s="160">
        <v>45627.0</v>
      </c>
      <c r="B139" s="2" t="s">
        <v>2204</v>
      </c>
      <c r="C139" s="36">
        <v>6003563.8</v>
      </c>
      <c r="D139" s="36">
        <v>1.7153039E7</v>
      </c>
    </row>
    <row r="140">
      <c r="A140" s="160">
        <v>45566.0</v>
      </c>
      <c r="B140" s="2" t="s">
        <v>2205</v>
      </c>
      <c r="C140" s="36">
        <v>6325079.9</v>
      </c>
      <c r="D140" s="36">
        <v>4216720.0</v>
      </c>
    </row>
    <row r="141">
      <c r="A141" s="160">
        <v>45597.0</v>
      </c>
      <c r="B141" s="2" t="s">
        <v>2205</v>
      </c>
      <c r="C141" s="36">
        <v>6652592.1</v>
      </c>
      <c r="D141" s="36">
        <v>4435061.0</v>
      </c>
    </row>
    <row r="142">
      <c r="A142" s="160">
        <v>45627.0</v>
      </c>
      <c r="B142" s="2" t="s">
        <v>2205</v>
      </c>
      <c r="C142" s="36">
        <v>7491842.2</v>
      </c>
      <c r="D142" s="36">
        <v>4994561.0</v>
      </c>
    </row>
    <row r="143">
      <c r="A143" s="160">
        <v>45566.0</v>
      </c>
      <c r="B143" s="2" t="s">
        <v>2206</v>
      </c>
      <c r="C143" s="36">
        <v>551801.8</v>
      </c>
      <c r="D143" s="36">
        <v>22072.0</v>
      </c>
    </row>
    <row r="144">
      <c r="A144" s="160">
        <v>45597.0</v>
      </c>
      <c r="B144" s="2" t="s">
        <v>2206</v>
      </c>
      <c r="C144" s="36">
        <v>580374.0</v>
      </c>
      <c r="D144" s="36">
        <v>23215.0</v>
      </c>
    </row>
    <row r="145">
      <c r="A145" s="160">
        <v>45627.0</v>
      </c>
      <c r="B145" s="2" t="s">
        <v>2206</v>
      </c>
      <c r="C145" s="36">
        <v>653590.4</v>
      </c>
      <c r="D145" s="36">
        <v>26144.0</v>
      </c>
    </row>
    <row r="146">
      <c r="A146" s="160">
        <v>45658.0</v>
      </c>
      <c r="B146" s="2" t="s">
        <v>2204</v>
      </c>
      <c r="C146" s="36">
        <v>4776886.2</v>
      </c>
      <c r="D146" s="36">
        <v>1.3648246E7</v>
      </c>
    </row>
    <row r="147">
      <c r="A147" s="160">
        <v>45689.0</v>
      </c>
      <c r="B147" s="2" t="s">
        <v>2204</v>
      </c>
      <c r="C147" s="36">
        <v>4465042.0</v>
      </c>
      <c r="D147" s="36">
        <v>1.2757263E7</v>
      </c>
    </row>
    <row r="148">
      <c r="A148" s="160">
        <v>45717.0</v>
      </c>
      <c r="B148" s="2" t="s">
        <v>2204</v>
      </c>
      <c r="C148" s="36">
        <v>4932808.3</v>
      </c>
      <c r="D148" s="36">
        <v>1.4093738E7</v>
      </c>
    </row>
    <row r="149">
      <c r="A149" s="160">
        <v>45658.0</v>
      </c>
      <c r="B149" s="2" t="s">
        <v>2205</v>
      </c>
      <c r="C149" s="36">
        <v>5961072.3</v>
      </c>
      <c r="D149" s="36">
        <v>3974048.0</v>
      </c>
    </row>
    <row r="150">
      <c r="A150" s="160">
        <v>45689.0</v>
      </c>
      <c r="B150" s="2" t="s">
        <v>2205</v>
      </c>
      <c r="C150" s="36">
        <v>5571922.2</v>
      </c>
      <c r="D150" s="36">
        <v>3714615.0</v>
      </c>
    </row>
    <row r="151">
      <c r="A151" s="160">
        <v>45717.0</v>
      </c>
      <c r="B151" s="2" t="s">
        <v>2205</v>
      </c>
      <c r="C151" s="36">
        <v>6155647.4</v>
      </c>
      <c r="D151" s="36">
        <v>4103765.0</v>
      </c>
    </row>
    <row r="152">
      <c r="A152" s="160">
        <v>45658.0</v>
      </c>
      <c r="B152" s="2" t="s">
        <v>2206</v>
      </c>
      <c r="C152" s="36">
        <v>569273.3</v>
      </c>
      <c r="D152" s="36">
        <v>22771.0</v>
      </c>
    </row>
    <row r="153">
      <c r="A153" s="160">
        <v>45689.0</v>
      </c>
      <c r="B153" s="2" t="s">
        <v>2206</v>
      </c>
      <c r="C153" s="36">
        <v>532110.1</v>
      </c>
      <c r="D153" s="36">
        <v>21284.0</v>
      </c>
    </row>
    <row r="154">
      <c r="A154" s="160">
        <v>45717.0</v>
      </c>
      <c r="B154" s="2" t="s">
        <v>2206</v>
      </c>
      <c r="C154" s="36">
        <v>587854.9</v>
      </c>
      <c r="D154" s="36">
        <v>23514.0</v>
      </c>
    </row>
    <row r="155">
      <c r="A155" s="160">
        <v>45748.0</v>
      </c>
      <c r="B155" s="2" t="s">
        <v>2204</v>
      </c>
      <c r="C155" s="36">
        <v>4716725.4</v>
      </c>
      <c r="D155" s="36">
        <v>1.3476358E7</v>
      </c>
    </row>
    <row r="156">
      <c r="A156" s="160">
        <v>45778.0</v>
      </c>
      <c r="B156" s="2" t="s">
        <v>2204</v>
      </c>
      <c r="C156" s="36">
        <v>4862754.0</v>
      </c>
      <c r="D156" s="36">
        <v>1.3893583E7</v>
      </c>
    </row>
    <row r="157">
      <c r="A157" s="160">
        <v>45809.0</v>
      </c>
      <c r="B157" s="2" t="s">
        <v>2204</v>
      </c>
      <c r="C157" s="36">
        <v>5008782.7</v>
      </c>
      <c r="D157" s="36">
        <v>1.4310808E7</v>
      </c>
    </row>
    <row r="158">
      <c r="A158" s="160">
        <v>45748.0</v>
      </c>
      <c r="B158" s="2" t="s">
        <v>2205</v>
      </c>
      <c r="C158" s="36">
        <v>5885997.7</v>
      </c>
      <c r="D158" s="36">
        <v>3923998.0</v>
      </c>
    </row>
    <row r="159">
      <c r="A159" s="160">
        <v>45778.0</v>
      </c>
      <c r="B159" s="2" t="s">
        <v>2205</v>
      </c>
      <c r="C159" s="36">
        <v>6068226.7</v>
      </c>
      <c r="D159" s="36">
        <v>4045484.0</v>
      </c>
    </row>
    <row r="160">
      <c r="A160" s="160">
        <v>45809.0</v>
      </c>
      <c r="B160" s="2" t="s">
        <v>2205</v>
      </c>
      <c r="C160" s="36">
        <v>6250455.7</v>
      </c>
      <c r="D160" s="36">
        <v>4166970.0</v>
      </c>
    </row>
    <row r="161">
      <c r="A161" s="160">
        <v>45748.0</v>
      </c>
      <c r="B161" s="2" t="s">
        <v>2206</v>
      </c>
      <c r="C161" s="36">
        <v>546170.1</v>
      </c>
      <c r="D161" s="36">
        <v>21847.0</v>
      </c>
    </row>
    <row r="162">
      <c r="A162" s="160">
        <v>45778.0</v>
      </c>
      <c r="B162" s="2" t="s">
        <v>2206</v>
      </c>
      <c r="C162" s="36">
        <v>563079.4</v>
      </c>
      <c r="D162" s="36">
        <v>22523.0</v>
      </c>
    </row>
    <row r="163">
      <c r="A163" s="160">
        <v>45809.0</v>
      </c>
      <c r="B163" s="2" t="s">
        <v>2206</v>
      </c>
      <c r="C163" s="36">
        <v>579988.7</v>
      </c>
      <c r="D163" s="36">
        <v>23200.0</v>
      </c>
    </row>
    <row r="164">
      <c r="A164" s="160">
        <v>45839.0</v>
      </c>
      <c r="B164" s="2" t="s">
        <v>2204</v>
      </c>
      <c r="C164" s="36">
        <v>5500211.3</v>
      </c>
      <c r="D164" s="36">
        <v>1.5714889E7</v>
      </c>
    </row>
    <row r="165">
      <c r="A165" s="160">
        <v>45870.0</v>
      </c>
      <c r="B165" s="2" t="s">
        <v>2204</v>
      </c>
      <c r="C165" s="36">
        <v>5185013.0</v>
      </c>
      <c r="D165" s="36">
        <v>1.4814323E7</v>
      </c>
    </row>
    <row r="166">
      <c r="A166" s="160">
        <v>45901.0</v>
      </c>
      <c r="B166" s="2" t="s">
        <v>2204</v>
      </c>
      <c r="C166" s="36">
        <v>5074693.5</v>
      </c>
      <c r="D166" s="36">
        <v>1.4499124E7</v>
      </c>
    </row>
    <row r="167">
      <c r="A167" s="160">
        <v>45839.0</v>
      </c>
      <c r="B167" s="2" t="s">
        <v>2205</v>
      </c>
      <c r="C167" s="36">
        <v>6863709.1</v>
      </c>
      <c r="D167" s="36">
        <v>4575806.0</v>
      </c>
    </row>
    <row r="168">
      <c r="A168" s="160">
        <v>45870.0</v>
      </c>
      <c r="B168" s="2" t="s">
        <v>2205</v>
      </c>
      <c r="C168" s="36">
        <v>6470373.3</v>
      </c>
      <c r="D168" s="36">
        <v>4313582.0</v>
      </c>
    </row>
    <row r="169">
      <c r="A169" s="160">
        <v>45901.0</v>
      </c>
      <c r="B169" s="2" t="s">
        <v>2205</v>
      </c>
      <c r="C169" s="36">
        <v>6332705.8</v>
      </c>
      <c r="D169" s="36">
        <v>4221804.0</v>
      </c>
    </row>
    <row r="170">
      <c r="A170" s="160">
        <v>45839.0</v>
      </c>
      <c r="B170" s="2" t="s">
        <v>2206</v>
      </c>
      <c r="C170" s="36">
        <v>640076.5</v>
      </c>
      <c r="D170" s="36">
        <v>25603.0</v>
      </c>
    </row>
    <row r="171">
      <c r="A171" s="160">
        <v>45870.0</v>
      </c>
      <c r="B171" s="2" t="s">
        <v>2206</v>
      </c>
      <c r="C171" s="36">
        <v>603395.9</v>
      </c>
      <c r="D171" s="36">
        <v>24136.0</v>
      </c>
    </row>
    <row r="172">
      <c r="A172" s="160">
        <v>45901.0</v>
      </c>
      <c r="B172" s="2" t="s">
        <v>2206</v>
      </c>
      <c r="C172" s="36">
        <v>590557.7</v>
      </c>
      <c r="D172" s="36">
        <v>23622.0</v>
      </c>
    </row>
    <row r="173">
      <c r="A173" s="160">
        <v>45931.0</v>
      </c>
      <c r="B173" s="2" t="s">
        <v>2204</v>
      </c>
      <c r="C173" s="36">
        <v>5267350.5</v>
      </c>
      <c r="D173" s="36">
        <v>1.5049573E7</v>
      </c>
    </row>
    <row r="174">
      <c r="A174" s="160">
        <v>45962.0</v>
      </c>
      <c r="B174" s="2" t="s">
        <v>2204</v>
      </c>
      <c r="C174" s="36">
        <v>5540093.6</v>
      </c>
      <c r="D174" s="36">
        <v>1.5828839E7</v>
      </c>
    </row>
    <row r="175">
      <c r="A175" s="160">
        <v>45992.0</v>
      </c>
      <c r="B175" s="2" t="s">
        <v>2204</v>
      </c>
      <c r="C175" s="36">
        <v>6238997.7</v>
      </c>
      <c r="D175" s="36">
        <v>1.7825708E7</v>
      </c>
    </row>
    <row r="176">
      <c r="A176" s="160">
        <v>45931.0</v>
      </c>
      <c r="B176" s="2" t="s">
        <v>2205</v>
      </c>
      <c r="C176" s="36">
        <v>6573122.3</v>
      </c>
      <c r="D176" s="36">
        <v>4382082.0</v>
      </c>
    </row>
    <row r="177">
      <c r="A177" s="160">
        <v>45962.0</v>
      </c>
      <c r="B177" s="2" t="s">
        <v>2205</v>
      </c>
      <c r="C177" s="36">
        <v>6913478.1</v>
      </c>
      <c r="D177" s="36">
        <v>4608985.0</v>
      </c>
    </row>
    <row r="178">
      <c r="A178" s="160">
        <v>45992.0</v>
      </c>
      <c r="B178" s="2" t="s">
        <v>2205</v>
      </c>
      <c r="C178" s="36">
        <v>7785640.0</v>
      </c>
      <c r="D178" s="36">
        <v>5190427.0</v>
      </c>
    </row>
    <row r="179">
      <c r="A179" s="160">
        <v>45931.0</v>
      </c>
      <c r="B179" s="2" t="s">
        <v>2206</v>
      </c>
      <c r="C179" s="36">
        <v>551801.8</v>
      </c>
      <c r="D179" s="36">
        <v>22072.0</v>
      </c>
    </row>
    <row r="180">
      <c r="A180" s="160">
        <v>45962.0</v>
      </c>
      <c r="B180" s="2" t="s">
        <v>2206</v>
      </c>
      <c r="C180" s="36">
        <v>580374.0</v>
      </c>
      <c r="D180" s="36">
        <v>23215.0</v>
      </c>
    </row>
    <row r="181">
      <c r="A181" s="160">
        <v>45992.0</v>
      </c>
      <c r="B181" s="2" t="s">
        <v>2206</v>
      </c>
      <c r="C181" s="36">
        <v>653590.4</v>
      </c>
      <c r="D181" s="36">
        <v>26144.0</v>
      </c>
    </row>
    <row r="182">
      <c r="A182" s="160">
        <v>46023.0</v>
      </c>
      <c r="B182" s="2" t="s">
        <v>2204</v>
      </c>
      <c r="C182" s="36">
        <v>5218186.9</v>
      </c>
      <c r="D182" s="36">
        <v>1.4909105E7</v>
      </c>
    </row>
    <row r="183">
      <c r="A183" s="160">
        <v>46054.0</v>
      </c>
      <c r="B183" s="2" t="s">
        <v>2204</v>
      </c>
      <c r="C183" s="36">
        <v>4877533.8</v>
      </c>
      <c r="D183" s="36">
        <v>1.3935811E7</v>
      </c>
    </row>
    <row r="184">
      <c r="A184" s="160">
        <v>46082.0</v>
      </c>
      <c r="B184" s="2" t="s">
        <v>2204</v>
      </c>
      <c r="C184" s="36">
        <v>5388513.5</v>
      </c>
      <c r="D184" s="36">
        <v>1.5395753E7</v>
      </c>
    </row>
    <row r="185">
      <c r="A185" s="160">
        <v>46023.0</v>
      </c>
      <c r="B185" s="2" t="s">
        <v>2205</v>
      </c>
      <c r="C185" s="36">
        <v>6511771.1</v>
      </c>
      <c r="D185" s="36">
        <v>4341181.0</v>
      </c>
    </row>
    <row r="186">
      <c r="A186" s="160">
        <v>46054.0</v>
      </c>
      <c r="B186" s="2" t="s">
        <v>2205</v>
      </c>
      <c r="C186" s="36">
        <v>6086670.3</v>
      </c>
      <c r="D186" s="36">
        <v>4057780.0</v>
      </c>
    </row>
    <row r="187">
      <c r="A187" s="160">
        <v>46082.0</v>
      </c>
      <c r="B187" s="2" t="s">
        <v>2205</v>
      </c>
      <c r="C187" s="36">
        <v>6724321.4</v>
      </c>
      <c r="D187" s="36">
        <v>4482881.0</v>
      </c>
    </row>
    <row r="188">
      <c r="A188" s="160">
        <v>46023.0</v>
      </c>
      <c r="B188" s="2" t="s">
        <v>2206</v>
      </c>
      <c r="C188" s="36">
        <v>585538.3</v>
      </c>
      <c r="D188" s="36">
        <v>23422.0</v>
      </c>
    </row>
    <row r="189">
      <c r="A189" s="160">
        <v>46054.0</v>
      </c>
      <c r="B189" s="2" t="s">
        <v>2206</v>
      </c>
      <c r="C189" s="36">
        <v>547313.2</v>
      </c>
      <c r="D189" s="36">
        <v>21893.0</v>
      </c>
    </row>
    <row r="190">
      <c r="A190" s="160">
        <v>46082.0</v>
      </c>
      <c r="B190" s="2" t="s">
        <v>2206</v>
      </c>
      <c r="C190" s="36">
        <v>604650.8</v>
      </c>
      <c r="D190" s="36">
        <v>24186.0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2207</v>
      </c>
      <c r="B1" s="2" t="s">
        <v>2208</v>
      </c>
      <c r="C1" s="2" t="s">
        <v>3</v>
      </c>
      <c r="D1" s="2" t="s">
        <v>2209</v>
      </c>
      <c r="E1" s="2" t="s">
        <v>2203</v>
      </c>
      <c r="F1" s="2" t="s">
        <v>1075</v>
      </c>
    </row>
    <row r="2">
      <c r="A2" s="36">
        <v>2021.0</v>
      </c>
      <c r="B2" s="36">
        <v>1.0</v>
      </c>
      <c r="C2" s="2" t="s">
        <v>2204</v>
      </c>
      <c r="D2" s="36">
        <v>18.43</v>
      </c>
      <c r="E2" s="36">
        <v>1.24517135E7</v>
      </c>
      <c r="F2" s="36">
        <v>3.5576324E7</v>
      </c>
    </row>
    <row r="3">
      <c r="A3" s="36">
        <v>2021.0</v>
      </c>
      <c r="B3" s="36">
        <v>1.0</v>
      </c>
      <c r="C3" s="2" t="s">
        <v>2205</v>
      </c>
      <c r="D3" s="36">
        <v>35.77</v>
      </c>
      <c r="E3" s="36">
        <v>1.55384828E7</v>
      </c>
      <c r="F3" s="36">
        <v>1.0358989E7</v>
      </c>
    </row>
    <row r="4">
      <c r="A4" s="36">
        <v>2021.0</v>
      </c>
      <c r="B4" s="36">
        <v>1.0</v>
      </c>
      <c r="C4" s="2" t="s">
        <v>2206</v>
      </c>
      <c r="D4" s="36">
        <v>3.9</v>
      </c>
      <c r="E4" s="36">
        <v>1882294.1</v>
      </c>
      <c r="F4" s="36">
        <v>75292.0</v>
      </c>
    </row>
    <row r="5">
      <c r="A5" s="36">
        <v>2021.0</v>
      </c>
      <c r="B5" s="36">
        <v>2.0</v>
      </c>
      <c r="C5" s="2" t="s">
        <v>2204</v>
      </c>
      <c r="D5" s="36">
        <v>18.22</v>
      </c>
      <c r="E5" s="36">
        <v>1.23138717E7</v>
      </c>
      <c r="F5" s="36">
        <v>3.518249E7</v>
      </c>
    </row>
    <row r="6">
      <c r="A6" s="36">
        <v>2021.0</v>
      </c>
      <c r="B6" s="36">
        <v>2.0</v>
      </c>
      <c r="C6" s="2" t="s">
        <v>2205</v>
      </c>
      <c r="D6" s="36">
        <v>35.38</v>
      </c>
      <c r="E6" s="36">
        <v>1.53664701E7</v>
      </c>
      <c r="F6" s="36">
        <v>1.0244313E7</v>
      </c>
    </row>
    <row r="7">
      <c r="A7" s="36">
        <v>2021.0</v>
      </c>
      <c r="B7" s="36">
        <v>2.0</v>
      </c>
      <c r="C7" s="2" t="s">
        <v>2206</v>
      </c>
      <c r="D7" s="36">
        <v>3.5</v>
      </c>
      <c r="E7" s="36">
        <v>1689238.3</v>
      </c>
      <c r="F7" s="36">
        <v>67570.0</v>
      </c>
    </row>
    <row r="8">
      <c r="A8" s="36">
        <v>2021.0</v>
      </c>
      <c r="B8" s="36">
        <v>3.0</v>
      </c>
      <c r="C8" s="2" t="s">
        <v>2204</v>
      </c>
      <c r="D8" s="36">
        <v>20.33</v>
      </c>
      <c r="E8" s="36">
        <v>1.37382374E7</v>
      </c>
      <c r="F8" s="36">
        <v>3.9252107E7</v>
      </c>
    </row>
    <row r="9">
      <c r="A9" s="36">
        <v>2021.0</v>
      </c>
      <c r="B9" s="36">
        <v>3.0</v>
      </c>
      <c r="C9" s="2" t="s">
        <v>2205</v>
      </c>
      <c r="D9" s="36">
        <v>39.47</v>
      </c>
      <c r="E9" s="36">
        <v>1.71439349E7</v>
      </c>
      <c r="F9" s="36">
        <v>1.142929E7</v>
      </c>
    </row>
    <row r="10">
      <c r="A10" s="36">
        <v>2021.0</v>
      </c>
      <c r="B10" s="36">
        <v>3.0</v>
      </c>
      <c r="C10" s="2" t="s">
        <v>2206</v>
      </c>
      <c r="D10" s="36">
        <v>3.9</v>
      </c>
      <c r="E10" s="36">
        <v>1882294.1</v>
      </c>
      <c r="F10" s="36">
        <v>75292.0</v>
      </c>
    </row>
    <row r="11">
      <c r="A11" s="36">
        <v>2021.0</v>
      </c>
      <c r="B11" s="36">
        <v>4.0</v>
      </c>
      <c r="C11" s="2" t="s">
        <v>2204</v>
      </c>
      <c r="D11" s="36">
        <v>22.75</v>
      </c>
      <c r="E11" s="36">
        <v>1.53693659E7</v>
      </c>
      <c r="F11" s="36">
        <v>4.3912474E7</v>
      </c>
    </row>
    <row r="12">
      <c r="A12" s="36">
        <v>2021.0</v>
      </c>
      <c r="B12" s="36">
        <v>4.0</v>
      </c>
      <c r="C12" s="2" t="s">
        <v>2205</v>
      </c>
      <c r="D12" s="36">
        <v>44.15</v>
      </c>
      <c r="E12" s="36">
        <v>1.91794188E7</v>
      </c>
      <c r="F12" s="36">
        <v>1.2786279E7</v>
      </c>
    </row>
    <row r="13">
      <c r="A13" s="36">
        <v>2021.0</v>
      </c>
      <c r="B13" s="36">
        <v>4.0</v>
      </c>
      <c r="C13" s="2" t="s">
        <v>2206</v>
      </c>
      <c r="D13" s="36">
        <v>3.8</v>
      </c>
      <c r="E13" s="36">
        <v>1834030.2</v>
      </c>
      <c r="F13" s="36">
        <v>73361.0</v>
      </c>
    </row>
    <row r="14">
      <c r="A14" s="36">
        <v>2022.0</v>
      </c>
      <c r="B14" s="36">
        <v>1.0</v>
      </c>
      <c r="C14" s="2" t="s">
        <v>2204</v>
      </c>
      <c r="D14" s="36">
        <v>21.11</v>
      </c>
      <c r="E14" s="36">
        <v>1.42666312E7</v>
      </c>
      <c r="F14" s="36">
        <v>4.0761803E7</v>
      </c>
    </row>
    <row r="15">
      <c r="A15" s="36">
        <v>2022.0</v>
      </c>
      <c r="B15" s="36">
        <v>1.0</v>
      </c>
      <c r="C15" s="2" t="s">
        <v>2205</v>
      </c>
      <c r="D15" s="36">
        <v>40.99</v>
      </c>
      <c r="E15" s="36">
        <v>1.7803317E7</v>
      </c>
      <c r="F15" s="36">
        <v>1.1868878E7</v>
      </c>
    </row>
    <row r="16">
      <c r="A16" s="36">
        <v>2022.0</v>
      </c>
      <c r="B16" s="36">
        <v>1.0</v>
      </c>
      <c r="C16" s="2" t="s">
        <v>2206</v>
      </c>
      <c r="D16" s="36">
        <v>3.1</v>
      </c>
      <c r="E16" s="36">
        <v>1496182.5</v>
      </c>
      <c r="F16" s="36">
        <v>59847.0</v>
      </c>
    </row>
    <row r="17">
      <c r="A17" s="36">
        <v>2022.0</v>
      </c>
      <c r="B17" s="36">
        <v>2.0</v>
      </c>
      <c r="C17" s="2" t="s">
        <v>2204</v>
      </c>
      <c r="D17" s="36">
        <v>21.96</v>
      </c>
      <c r="E17" s="36">
        <v>1.48409722E7</v>
      </c>
      <c r="F17" s="36">
        <v>4.2402778E7</v>
      </c>
    </row>
    <row r="18">
      <c r="A18" s="36">
        <v>2022.0</v>
      </c>
      <c r="B18" s="36">
        <v>2.0</v>
      </c>
      <c r="C18" s="2" t="s">
        <v>2205</v>
      </c>
      <c r="D18" s="36">
        <v>42.64</v>
      </c>
      <c r="E18" s="36">
        <v>1.85200367E7</v>
      </c>
      <c r="F18" s="36">
        <v>1.2346691E7</v>
      </c>
    </row>
    <row r="19">
      <c r="A19" s="36">
        <v>2022.0</v>
      </c>
      <c r="B19" s="36">
        <v>2.0</v>
      </c>
      <c r="C19" s="2" t="s">
        <v>2206</v>
      </c>
      <c r="D19" s="36">
        <v>2.9</v>
      </c>
      <c r="E19" s="36">
        <v>1399654.6</v>
      </c>
      <c r="F19" s="36">
        <v>55986.0</v>
      </c>
    </row>
    <row r="20">
      <c r="A20" s="36">
        <v>2022.0</v>
      </c>
      <c r="B20" s="36">
        <v>3.0</v>
      </c>
      <c r="C20" s="2" t="s">
        <v>2204</v>
      </c>
      <c r="D20" s="36">
        <v>21.01</v>
      </c>
      <c r="E20" s="36">
        <v>1.41977102E7</v>
      </c>
      <c r="F20" s="36">
        <v>4.0564886E7</v>
      </c>
    </row>
    <row r="21">
      <c r="A21" s="36">
        <v>2022.0</v>
      </c>
      <c r="B21" s="36">
        <v>3.0</v>
      </c>
      <c r="C21" s="2" t="s">
        <v>2205</v>
      </c>
      <c r="D21" s="36">
        <v>40.79</v>
      </c>
      <c r="E21" s="36">
        <v>1.77173107E7</v>
      </c>
      <c r="F21" s="36">
        <v>1.181154E7</v>
      </c>
    </row>
    <row r="22">
      <c r="A22" s="36">
        <v>2022.0</v>
      </c>
      <c r="B22" s="36">
        <v>3.0</v>
      </c>
      <c r="C22" s="2" t="s">
        <v>2206</v>
      </c>
      <c r="D22" s="36">
        <v>3.2</v>
      </c>
      <c r="E22" s="36">
        <v>1544446.5</v>
      </c>
      <c r="F22" s="36">
        <v>61778.0</v>
      </c>
    </row>
    <row r="23">
      <c r="A23" s="36">
        <v>2022.0</v>
      </c>
      <c r="B23" s="36">
        <v>4.0</v>
      </c>
      <c r="C23" s="2" t="s">
        <v>2204</v>
      </c>
      <c r="D23" s="36">
        <v>22.44</v>
      </c>
      <c r="E23" s="36">
        <v>1.51626032E7</v>
      </c>
      <c r="F23" s="36">
        <v>4.3321723E7</v>
      </c>
    </row>
    <row r="24">
      <c r="A24" s="36">
        <v>2022.0</v>
      </c>
      <c r="B24" s="36">
        <v>4.0</v>
      </c>
      <c r="C24" s="2" t="s">
        <v>2205</v>
      </c>
      <c r="D24" s="36">
        <v>43.56</v>
      </c>
      <c r="E24" s="36">
        <v>1.89213997E7</v>
      </c>
      <c r="F24" s="36">
        <v>1.2614266E7</v>
      </c>
    </row>
    <row r="25">
      <c r="A25" s="36">
        <v>2022.0</v>
      </c>
      <c r="B25" s="36">
        <v>4.0</v>
      </c>
      <c r="C25" s="2" t="s">
        <v>2206</v>
      </c>
      <c r="D25" s="36">
        <v>3.4</v>
      </c>
      <c r="E25" s="36">
        <v>1640974.4</v>
      </c>
      <c r="F25" s="36">
        <v>65639.0</v>
      </c>
    </row>
    <row r="26">
      <c r="A26" s="36">
        <v>2023.0</v>
      </c>
      <c r="B26" s="36">
        <v>1.0</v>
      </c>
      <c r="C26" s="2" t="s">
        <v>2204</v>
      </c>
      <c r="D26" s="36">
        <v>20.88</v>
      </c>
      <c r="E26" s="36">
        <v>1.41058157E7</v>
      </c>
      <c r="F26" s="36">
        <v>4.030233E7</v>
      </c>
    </row>
    <row r="27">
      <c r="A27" s="36">
        <v>2023.0</v>
      </c>
      <c r="B27" s="36">
        <v>1.0</v>
      </c>
      <c r="C27" s="2" t="s">
        <v>2205</v>
      </c>
      <c r="D27" s="36">
        <v>40.52</v>
      </c>
      <c r="E27" s="36">
        <v>1.76026355E7</v>
      </c>
      <c r="F27" s="36">
        <v>1.173509E7</v>
      </c>
    </row>
    <row r="28">
      <c r="A28" s="36">
        <v>2023.0</v>
      </c>
      <c r="B28" s="36">
        <v>1.0</v>
      </c>
      <c r="C28" s="2" t="s">
        <v>2206</v>
      </c>
      <c r="D28" s="36">
        <v>3.3</v>
      </c>
      <c r="E28" s="36">
        <v>1592710.4</v>
      </c>
      <c r="F28" s="36">
        <v>63708.0</v>
      </c>
    </row>
    <row r="29">
      <c r="A29" s="36">
        <v>2023.0</v>
      </c>
      <c r="B29" s="36">
        <v>2.0</v>
      </c>
      <c r="C29" s="2" t="s">
        <v>2204</v>
      </c>
      <c r="D29" s="36">
        <v>21.73</v>
      </c>
      <c r="E29" s="36">
        <v>1.46801567E7</v>
      </c>
      <c r="F29" s="36">
        <v>4.1943305E7</v>
      </c>
    </row>
    <row r="30">
      <c r="A30" s="36">
        <v>2023.0</v>
      </c>
      <c r="B30" s="36">
        <v>2.0</v>
      </c>
      <c r="C30" s="2" t="s">
        <v>2205</v>
      </c>
      <c r="D30" s="36">
        <v>42.17</v>
      </c>
      <c r="E30" s="36">
        <v>1.83193552E7</v>
      </c>
      <c r="F30" s="36">
        <v>1.2212903E7</v>
      </c>
    </row>
    <row r="31">
      <c r="A31" s="36">
        <v>2023.0</v>
      </c>
      <c r="B31" s="36">
        <v>2.0</v>
      </c>
      <c r="C31" s="2" t="s">
        <v>2206</v>
      </c>
      <c r="D31" s="36">
        <v>3.5</v>
      </c>
      <c r="E31" s="36">
        <v>1689238.3</v>
      </c>
      <c r="F31" s="36">
        <v>67570.0</v>
      </c>
    </row>
    <row r="32">
      <c r="A32" s="36">
        <v>2023.0</v>
      </c>
      <c r="B32" s="36">
        <v>3.0</v>
      </c>
      <c r="C32" s="2" t="s">
        <v>2204</v>
      </c>
      <c r="D32" s="36">
        <v>23.32</v>
      </c>
      <c r="E32" s="36">
        <v>1.57599178E7</v>
      </c>
      <c r="F32" s="36">
        <v>4.5028337E7</v>
      </c>
    </row>
    <row r="33">
      <c r="A33" s="36">
        <v>2023.0</v>
      </c>
      <c r="B33" s="36">
        <v>3.0</v>
      </c>
      <c r="C33" s="2" t="s">
        <v>2205</v>
      </c>
      <c r="D33" s="36">
        <v>45.28</v>
      </c>
      <c r="E33" s="36">
        <v>1.96667882E7</v>
      </c>
      <c r="F33" s="36">
        <v>1.3111192E7</v>
      </c>
    </row>
    <row r="34">
      <c r="A34" s="36">
        <v>2023.0</v>
      </c>
      <c r="B34" s="36">
        <v>3.0</v>
      </c>
      <c r="C34" s="2" t="s">
        <v>2206</v>
      </c>
      <c r="D34" s="36">
        <v>3.7</v>
      </c>
      <c r="E34" s="36">
        <v>1785766.2</v>
      </c>
      <c r="F34" s="36">
        <v>71431.0</v>
      </c>
    </row>
    <row r="35">
      <c r="A35" s="36">
        <v>2023.0</v>
      </c>
      <c r="B35" s="36">
        <v>4.0</v>
      </c>
      <c r="C35" s="2" t="s">
        <v>2204</v>
      </c>
      <c r="D35" s="36">
        <v>24.11</v>
      </c>
      <c r="E35" s="36">
        <v>1.62883116E7</v>
      </c>
      <c r="F35" s="36">
        <v>4.6538033E7</v>
      </c>
    </row>
    <row r="36">
      <c r="A36" s="36">
        <v>2023.0</v>
      </c>
      <c r="B36" s="36">
        <v>4.0</v>
      </c>
      <c r="C36" s="2" t="s">
        <v>2205</v>
      </c>
      <c r="D36" s="36">
        <v>46.79</v>
      </c>
      <c r="E36" s="36">
        <v>2.03261703E7</v>
      </c>
      <c r="F36" s="36">
        <v>1.355078E7</v>
      </c>
    </row>
    <row r="37">
      <c r="A37" s="36">
        <v>2023.0</v>
      </c>
      <c r="B37" s="36">
        <v>4.0</v>
      </c>
      <c r="C37" s="2" t="s">
        <v>2206</v>
      </c>
      <c r="D37" s="36">
        <v>3.5</v>
      </c>
      <c r="E37" s="36">
        <v>1689238.3</v>
      </c>
      <c r="F37" s="36">
        <v>67570.0</v>
      </c>
    </row>
    <row r="38">
      <c r="A38" s="36">
        <v>2024.0</v>
      </c>
      <c r="B38" s="36">
        <v>1.0</v>
      </c>
      <c r="C38" s="2" t="s">
        <v>2204</v>
      </c>
      <c r="D38" s="36">
        <v>22.44</v>
      </c>
      <c r="E38" s="36">
        <v>1.51626032E7</v>
      </c>
      <c r="F38" s="36">
        <v>4.3321723E7</v>
      </c>
    </row>
    <row r="39">
      <c r="A39" s="36">
        <v>2024.0</v>
      </c>
      <c r="B39" s="36">
        <v>1.0</v>
      </c>
      <c r="C39" s="2" t="s">
        <v>2205</v>
      </c>
      <c r="D39" s="36">
        <v>43.56</v>
      </c>
      <c r="E39" s="36">
        <v>1.89213997E7</v>
      </c>
      <c r="F39" s="36">
        <v>1.2614266E7</v>
      </c>
    </row>
    <row r="40">
      <c r="A40" s="36">
        <v>2024.0</v>
      </c>
      <c r="B40" s="36">
        <v>1.0</v>
      </c>
      <c r="C40" s="2" t="s">
        <v>2206</v>
      </c>
      <c r="D40" s="36">
        <v>4.1</v>
      </c>
      <c r="E40" s="36">
        <v>1978822.0</v>
      </c>
      <c r="F40" s="36">
        <v>79153.0</v>
      </c>
    </row>
    <row r="41">
      <c r="A41" s="36">
        <v>2024.0</v>
      </c>
      <c r="B41" s="36">
        <v>2.0</v>
      </c>
      <c r="C41" s="2" t="s">
        <v>2204</v>
      </c>
      <c r="D41" s="36">
        <v>21.93</v>
      </c>
      <c r="E41" s="36">
        <v>1.48179985E7</v>
      </c>
      <c r="F41" s="36">
        <v>4.2337139E7</v>
      </c>
    </row>
    <row r="42">
      <c r="A42" s="36">
        <v>2024.0</v>
      </c>
      <c r="B42" s="36">
        <v>2.0</v>
      </c>
      <c r="C42" s="2" t="s">
        <v>2205</v>
      </c>
      <c r="D42" s="36">
        <v>42.57</v>
      </c>
      <c r="E42" s="36">
        <v>1.84913679E7</v>
      </c>
      <c r="F42" s="36">
        <v>1.2327579E7</v>
      </c>
    </row>
    <row r="43">
      <c r="A43" s="36">
        <v>2024.0</v>
      </c>
      <c r="B43" s="36">
        <v>2.0</v>
      </c>
      <c r="C43" s="2" t="s">
        <v>2206</v>
      </c>
      <c r="D43" s="36">
        <v>4.0</v>
      </c>
      <c r="E43" s="36">
        <v>1930558.1</v>
      </c>
      <c r="F43" s="36">
        <v>77222.0</v>
      </c>
    </row>
    <row r="44">
      <c r="A44" s="36">
        <v>2024.0</v>
      </c>
      <c r="B44" s="36">
        <v>3.0</v>
      </c>
      <c r="C44" s="2" t="s">
        <v>2204</v>
      </c>
      <c r="D44" s="36">
        <v>22.44</v>
      </c>
      <c r="E44" s="36">
        <v>1.51626032E7</v>
      </c>
      <c r="F44" s="36">
        <v>4.3321723E7</v>
      </c>
    </row>
    <row r="45">
      <c r="A45" s="36">
        <v>2024.0</v>
      </c>
      <c r="B45" s="36">
        <v>3.0</v>
      </c>
      <c r="C45" s="2" t="s">
        <v>2205</v>
      </c>
      <c r="D45" s="36">
        <v>43.56</v>
      </c>
      <c r="E45" s="36">
        <v>1.89213997E7</v>
      </c>
      <c r="F45" s="36">
        <v>1.2614266E7</v>
      </c>
    </row>
    <row r="46">
      <c r="A46" s="36">
        <v>2024.0</v>
      </c>
      <c r="B46" s="36">
        <v>3.0</v>
      </c>
      <c r="C46" s="2" t="s">
        <v>2206</v>
      </c>
      <c r="D46" s="36">
        <v>3.9</v>
      </c>
      <c r="E46" s="36">
        <v>1882294.1</v>
      </c>
      <c r="F46" s="36">
        <v>75292.0</v>
      </c>
    </row>
    <row r="47">
      <c r="A47" s="36">
        <v>2024.0</v>
      </c>
      <c r="B47" s="36">
        <v>4.0</v>
      </c>
      <c r="C47" s="2" t="s">
        <v>2204</v>
      </c>
      <c r="D47" s="36">
        <v>24.28</v>
      </c>
      <c r="E47" s="36">
        <v>1.64031798E7</v>
      </c>
      <c r="F47" s="36">
        <v>4.6866228E7</v>
      </c>
    </row>
    <row r="48">
      <c r="A48" s="36">
        <v>2024.0</v>
      </c>
      <c r="B48" s="36">
        <v>4.0</v>
      </c>
      <c r="C48" s="2" t="s">
        <v>2205</v>
      </c>
      <c r="D48" s="36">
        <v>47.12</v>
      </c>
      <c r="E48" s="36">
        <v>2.04695143E7</v>
      </c>
      <c r="F48" s="36">
        <v>1.3646343E7</v>
      </c>
    </row>
    <row r="49">
      <c r="A49" s="36">
        <v>2024.0</v>
      </c>
      <c r="B49" s="36">
        <v>4.0</v>
      </c>
      <c r="C49" s="2" t="s">
        <v>2206</v>
      </c>
      <c r="D49" s="36">
        <v>3.7</v>
      </c>
      <c r="E49" s="36">
        <v>1785766.2</v>
      </c>
      <c r="F49" s="36">
        <v>71431.0</v>
      </c>
    </row>
    <row r="50">
      <c r="A50" s="36">
        <v>2025.0</v>
      </c>
      <c r="B50" s="36">
        <v>1.0</v>
      </c>
      <c r="C50" s="2" t="s">
        <v>2204</v>
      </c>
      <c r="D50" s="36">
        <v>20.98</v>
      </c>
      <c r="E50" s="36">
        <v>1.41747366E7</v>
      </c>
      <c r="F50" s="36">
        <v>4.0499247E7</v>
      </c>
    </row>
    <row r="51">
      <c r="A51" s="36">
        <v>2025.0</v>
      </c>
      <c r="B51" s="36">
        <v>1.0</v>
      </c>
      <c r="C51" s="2" t="s">
        <v>2205</v>
      </c>
      <c r="D51" s="36">
        <v>40.72</v>
      </c>
      <c r="E51" s="36">
        <v>1.76886419E7</v>
      </c>
      <c r="F51" s="36">
        <v>1.1792428E7</v>
      </c>
    </row>
    <row r="52">
      <c r="A52" s="36">
        <v>2025.0</v>
      </c>
      <c r="B52" s="36">
        <v>1.0</v>
      </c>
      <c r="C52" s="2" t="s">
        <v>2206</v>
      </c>
      <c r="D52" s="36">
        <v>3.5</v>
      </c>
      <c r="E52" s="36">
        <v>1689238.3</v>
      </c>
      <c r="F52" s="36">
        <v>67570.0</v>
      </c>
    </row>
    <row r="53">
      <c r="A53" s="36">
        <v>2025.0</v>
      </c>
      <c r="B53" s="36">
        <v>2.0</v>
      </c>
      <c r="C53" s="2" t="s">
        <v>2204</v>
      </c>
      <c r="D53" s="36">
        <v>21.59</v>
      </c>
      <c r="E53" s="36">
        <v>1.45882621E7</v>
      </c>
      <c r="F53" s="36">
        <v>4.1680749E7</v>
      </c>
    </row>
    <row r="54">
      <c r="A54" s="36">
        <v>2025.0</v>
      </c>
      <c r="B54" s="36">
        <v>2.0</v>
      </c>
      <c r="C54" s="2" t="s">
        <v>2205</v>
      </c>
      <c r="D54" s="36">
        <v>41.91</v>
      </c>
      <c r="E54" s="36">
        <v>1.82046801E7</v>
      </c>
      <c r="F54" s="36">
        <v>1.2136453E7</v>
      </c>
    </row>
    <row r="55">
      <c r="A55" s="36">
        <v>2025.0</v>
      </c>
      <c r="B55" s="36">
        <v>2.0</v>
      </c>
      <c r="C55" s="2" t="s">
        <v>2206</v>
      </c>
      <c r="D55" s="36">
        <v>3.5</v>
      </c>
      <c r="E55" s="36">
        <v>1689238.3</v>
      </c>
      <c r="F55" s="36">
        <v>67570.0</v>
      </c>
    </row>
    <row r="56">
      <c r="A56" s="36">
        <v>2025.0</v>
      </c>
      <c r="B56" s="36">
        <v>3.0</v>
      </c>
      <c r="C56" s="2" t="s">
        <v>2204</v>
      </c>
      <c r="D56" s="36">
        <v>23.32</v>
      </c>
      <c r="E56" s="36">
        <v>1.57599178E7</v>
      </c>
      <c r="F56" s="36">
        <v>4.5028337E7</v>
      </c>
    </row>
    <row r="57">
      <c r="A57" s="36">
        <v>2025.0</v>
      </c>
      <c r="B57" s="36">
        <v>3.0</v>
      </c>
      <c r="C57" s="2" t="s">
        <v>2205</v>
      </c>
      <c r="D57" s="36">
        <v>45.28</v>
      </c>
      <c r="E57" s="36">
        <v>1.96667882E7</v>
      </c>
      <c r="F57" s="36">
        <v>1.3111192E7</v>
      </c>
    </row>
    <row r="58">
      <c r="A58" s="36">
        <v>2025.0</v>
      </c>
      <c r="B58" s="36">
        <v>3.0</v>
      </c>
      <c r="C58" s="2" t="s">
        <v>2206</v>
      </c>
      <c r="D58" s="36">
        <v>3.8</v>
      </c>
      <c r="E58" s="36">
        <v>1834030.2</v>
      </c>
      <c r="F58" s="36">
        <v>73361.0</v>
      </c>
    </row>
    <row r="59">
      <c r="A59" s="36">
        <v>2025.0</v>
      </c>
      <c r="B59" s="36">
        <v>4.0</v>
      </c>
      <c r="C59" s="2" t="s">
        <v>2204</v>
      </c>
      <c r="D59" s="36">
        <v>25.23</v>
      </c>
      <c r="E59" s="36">
        <v>1.70464417E7</v>
      </c>
      <c r="F59" s="36">
        <v>4.8704119E7</v>
      </c>
    </row>
    <row r="60">
      <c r="A60" s="36">
        <v>2025.0</v>
      </c>
      <c r="B60" s="36">
        <v>4.0</v>
      </c>
      <c r="C60" s="2" t="s">
        <v>2205</v>
      </c>
      <c r="D60" s="36">
        <v>48.97</v>
      </c>
      <c r="E60" s="36">
        <v>2.12722403E7</v>
      </c>
      <c r="F60" s="36">
        <v>1.4181494E7</v>
      </c>
    </row>
    <row r="61">
      <c r="A61" s="36">
        <v>2025.0</v>
      </c>
      <c r="B61" s="36">
        <v>4.0</v>
      </c>
      <c r="C61" s="2" t="s">
        <v>2206</v>
      </c>
      <c r="D61" s="36">
        <v>3.7</v>
      </c>
      <c r="E61" s="36">
        <v>1785766.2</v>
      </c>
      <c r="F61" s="36">
        <v>71431.0</v>
      </c>
    </row>
    <row r="62">
      <c r="A62" s="36">
        <v>2026.0</v>
      </c>
      <c r="B62" s="36">
        <v>1.0</v>
      </c>
      <c r="C62" s="2" t="s">
        <v>2204</v>
      </c>
      <c r="D62" s="36">
        <v>22.92</v>
      </c>
      <c r="E62" s="36">
        <v>1.54842341E7</v>
      </c>
      <c r="F62" s="36">
        <v>4.4240669E7</v>
      </c>
    </row>
    <row r="63">
      <c r="A63" s="36">
        <v>2026.0</v>
      </c>
      <c r="B63" s="36">
        <v>1.0</v>
      </c>
      <c r="C63" s="2" t="s">
        <v>2205</v>
      </c>
      <c r="D63" s="36">
        <v>44.48</v>
      </c>
      <c r="E63" s="36">
        <v>1.93227628E7</v>
      </c>
      <c r="F63" s="36">
        <v>1.2881842E7</v>
      </c>
    </row>
    <row r="64">
      <c r="A64" s="36">
        <v>2026.0</v>
      </c>
      <c r="B64" s="36">
        <v>1.0</v>
      </c>
      <c r="C64" s="2" t="s">
        <v>2206</v>
      </c>
      <c r="D64" s="36">
        <v>3.6</v>
      </c>
      <c r="E64" s="36">
        <v>1737502.3</v>
      </c>
      <c r="F64" s="36">
        <v>69500.0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1828</v>
      </c>
      <c r="B1" s="2" t="s">
        <v>2204</v>
      </c>
      <c r="C1" s="2" t="s">
        <v>2205</v>
      </c>
      <c r="D1" s="2" t="s">
        <v>2206</v>
      </c>
    </row>
    <row r="2">
      <c r="A2" s="36">
        <v>1.0</v>
      </c>
      <c r="B2" s="36">
        <v>1.0</v>
      </c>
      <c r="C2" s="36">
        <v>0.99</v>
      </c>
      <c r="D2" s="36">
        <v>1.0</v>
      </c>
    </row>
    <row r="3">
      <c r="A3" s="36">
        <v>2.0</v>
      </c>
      <c r="B3" s="36">
        <v>0.99</v>
      </c>
      <c r="C3" s="36">
        <v>0.98</v>
      </c>
      <c r="D3" s="36">
        <v>1.0</v>
      </c>
    </row>
    <row r="4">
      <c r="A4" s="36">
        <v>3.0</v>
      </c>
      <c r="B4" s="36">
        <v>1.0</v>
      </c>
      <c r="C4" s="36">
        <v>1.0</v>
      </c>
      <c r="D4" s="36">
        <v>1.0</v>
      </c>
    </row>
    <row r="5">
      <c r="A5" s="36">
        <v>4.0</v>
      </c>
      <c r="B5" s="36">
        <v>1.0</v>
      </c>
      <c r="C5" s="36">
        <v>1.0</v>
      </c>
      <c r="D5" s="36">
        <v>1.0</v>
      </c>
    </row>
    <row r="6">
      <c r="A6" s="36">
        <v>5.0</v>
      </c>
      <c r="B6" s="36">
        <v>1.0</v>
      </c>
      <c r="C6" s="36">
        <v>1.0</v>
      </c>
      <c r="D6" s="36">
        <v>1.0</v>
      </c>
    </row>
    <row r="7">
      <c r="A7" s="36">
        <v>6.0</v>
      </c>
      <c r="B7" s="36">
        <v>1.03</v>
      </c>
      <c r="C7" s="36">
        <v>0.98</v>
      </c>
      <c r="D7" s="36">
        <v>1.0</v>
      </c>
    </row>
    <row r="8">
      <c r="A8" s="36">
        <v>7.0</v>
      </c>
      <c r="B8" s="36">
        <v>1.04</v>
      </c>
      <c r="C8" s="36">
        <v>0.97</v>
      </c>
      <c r="D8" s="36">
        <v>1.0</v>
      </c>
    </row>
    <row r="9">
      <c r="A9" s="36">
        <v>8.0</v>
      </c>
      <c r="B9" s="36">
        <v>1.01</v>
      </c>
      <c r="C9" s="36">
        <v>0.99</v>
      </c>
      <c r="D9" s="36">
        <v>1.0</v>
      </c>
    </row>
    <row r="10">
      <c r="A10" s="36">
        <v>9.0</v>
      </c>
      <c r="B10" s="36">
        <v>1.0</v>
      </c>
      <c r="C10" s="36">
        <v>1.0</v>
      </c>
      <c r="D10" s="36">
        <v>1.0</v>
      </c>
    </row>
    <row r="11">
      <c r="A11" s="36">
        <v>10.0</v>
      </c>
      <c r="B11" s="36">
        <v>1.0</v>
      </c>
      <c r="C11" s="36">
        <v>1.0</v>
      </c>
      <c r="D11" s="36">
        <v>1.0</v>
      </c>
    </row>
    <row r="12">
      <c r="A12" s="36">
        <v>11.0</v>
      </c>
      <c r="B12" s="36">
        <v>0.99</v>
      </c>
      <c r="C12" s="36">
        <v>1.02</v>
      </c>
      <c r="D12" s="36">
        <v>1.0</v>
      </c>
    </row>
    <row r="13">
      <c r="A13" s="36">
        <v>12.0</v>
      </c>
      <c r="B13" s="36">
        <v>1.02</v>
      </c>
      <c r="C13" s="36">
        <v>1.06</v>
      </c>
      <c r="D13" s="36">
        <v>1.0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2210</v>
      </c>
      <c r="B1" s="2" t="s">
        <v>2211</v>
      </c>
      <c r="C1" s="2" t="s">
        <v>2212</v>
      </c>
      <c r="D1" s="2" t="s">
        <v>2191</v>
      </c>
      <c r="E1" s="2" t="s">
        <v>2213</v>
      </c>
      <c r="F1" s="2" t="s">
        <v>2214</v>
      </c>
    </row>
    <row r="2">
      <c r="A2" s="2" t="s">
        <v>2215</v>
      </c>
      <c r="B2" s="36">
        <v>54.2</v>
      </c>
      <c r="C2" s="36">
        <v>5.3</v>
      </c>
      <c r="D2" s="36">
        <v>3.9</v>
      </c>
      <c r="E2" s="36">
        <v>4.2</v>
      </c>
      <c r="F2" s="36">
        <v>67.7</v>
      </c>
    </row>
    <row r="3">
      <c r="A3" s="2" t="s">
        <v>2216</v>
      </c>
      <c r="B3" s="36">
        <v>53.6</v>
      </c>
      <c r="C3" s="36">
        <v>5.1</v>
      </c>
      <c r="D3" s="36">
        <v>3.5</v>
      </c>
      <c r="E3" s="36">
        <v>4.5</v>
      </c>
      <c r="F3" s="36">
        <v>66.8</v>
      </c>
    </row>
    <row r="4">
      <c r="A4" s="2" t="s">
        <v>2217</v>
      </c>
      <c r="B4" s="36">
        <v>59.8</v>
      </c>
      <c r="C4" s="36">
        <v>7.6</v>
      </c>
      <c r="D4" s="36">
        <v>3.9</v>
      </c>
      <c r="E4" s="36">
        <v>6.0</v>
      </c>
      <c r="F4" s="36">
        <v>77.2</v>
      </c>
    </row>
    <row r="5">
      <c r="A5" s="2" t="s">
        <v>2218</v>
      </c>
      <c r="B5" s="36">
        <v>66.9</v>
      </c>
      <c r="C5" s="36">
        <v>8.7</v>
      </c>
      <c r="D5" s="36">
        <v>3.8</v>
      </c>
      <c r="E5" s="36">
        <v>6.9</v>
      </c>
      <c r="F5" s="36">
        <v>86.2</v>
      </c>
    </row>
    <row r="6">
      <c r="A6" s="2" t="s">
        <v>2219</v>
      </c>
      <c r="B6" s="36">
        <v>62.1</v>
      </c>
      <c r="C6" s="36">
        <v>7.7</v>
      </c>
      <c r="D6" s="36">
        <v>3.1</v>
      </c>
      <c r="E6" s="36">
        <v>7.4</v>
      </c>
      <c r="F6" s="36">
        <v>80.4</v>
      </c>
    </row>
    <row r="7">
      <c r="A7" s="2" t="s">
        <v>2220</v>
      </c>
      <c r="B7" s="36">
        <v>64.6</v>
      </c>
      <c r="C7" s="36">
        <v>8.4</v>
      </c>
      <c r="D7" s="36">
        <v>2.9</v>
      </c>
      <c r="E7" s="36">
        <v>7.6</v>
      </c>
      <c r="F7" s="36">
        <v>83.4</v>
      </c>
    </row>
    <row r="8">
      <c r="A8" s="2" t="s">
        <v>2221</v>
      </c>
      <c r="B8" s="36">
        <v>61.8</v>
      </c>
      <c r="C8" s="36">
        <v>8.8</v>
      </c>
      <c r="D8" s="36">
        <v>3.2</v>
      </c>
      <c r="E8" s="36">
        <v>7.1</v>
      </c>
      <c r="F8" s="36">
        <v>80.8</v>
      </c>
    </row>
    <row r="9">
      <c r="A9" s="2" t="s">
        <v>2222</v>
      </c>
      <c r="B9" s="36">
        <v>66.0</v>
      </c>
      <c r="C9" s="36">
        <v>9.0</v>
      </c>
      <c r="D9" s="36">
        <v>3.4</v>
      </c>
      <c r="E9" s="36">
        <v>6.9</v>
      </c>
      <c r="F9" s="36">
        <v>85.4</v>
      </c>
    </row>
    <row r="10">
      <c r="A10" s="2" t="s">
        <v>2223</v>
      </c>
      <c r="B10" s="36">
        <v>61.4</v>
      </c>
      <c r="C10" s="36">
        <v>8.8</v>
      </c>
      <c r="D10" s="36">
        <v>3.3</v>
      </c>
      <c r="E10" s="36">
        <v>7.1</v>
      </c>
      <c r="F10" s="36">
        <v>80.5</v>
      </c>
    </row>
    <row r="11">
      <c r="A11" s="2" t="s">
        <v>2224</v>
      </c>
      <c r="B11" s="36">
        <v>63.9</v>
      </c>
      <c r="C11" s="36">
        <v>9.3</v>
      </c>
      <c r="D11" s="36">
        <v>3.5</v>
      </c>
      <c r="E11" s="36">
        <v>7.5</v>
      </c>
      <c r="F11" s="36">
        <v>84.2</v>
      </c>
    </row>
    <row r="12">
      <c r="A12" s="2" t="s">
        <v>2225</v>
      </c>
      <c r="B12" s="36">
        <v>68.6</v>
      </c>
      <c r="C12" s="36">
        <v>11.0</v>
      </c>
      <c r="D12" s="36">
        <v>3.7</v>
      </c>
      <c r="E12" s="36">
        <v>7.7</v>
      </c>
      <c r="F12" s="36">
        <v>91.0</v>
      </c>
    </row>
    <row r="13">
      <c r="A13" s="2" t="s">
        <v>2226</v>
      </c>
      <c r="B13" s="36">
        <v>70.9</v>
      </c>
      <c r="C13" s="36">
        <v>10.2</v>
      </c>
      <c r="D13" s="36">
        <v>3.5</v>
      </c>
      <c r="E13" s="36">
        <v>7.4</v>
      </c>
      <c r="F13" s="36">
        <v>91.9</v>
      </c>
    </row>
    <row r="14">
      <c r="A14" s="2" t="s">
        <v>2227</v>
      </c>
      <c r="B14" s="36">
        <v>66.0</v>
      </c>
      <c r="C14" s="36">
        <v>10.6</v>
      </c>
      <c r="D14" s="36">
        <v>4.1</v>
      </c>
      <c r="E14" s="36">
        <v>7.7</v>
      </c>
      <c r="F14" s="36">
        <v>88.3</v>
      </c>
    </row>
    <row r="15">
      <c r="A15" s="2" t="s">
        <v>2228</v>
      </c>
      <c r="B15" s="36">
        <v>64.5</v>
      </c>
      <c r="C15" s="36">
        <v>9.4</v>
      </c>
      <c r="D15" s="36">
        <v>4.0</v>
      </c>
      <c r="E15" s="36">
        <v>7.1</v>
      </c>
      <c r="F15" s="36">
        <v>85.0</v>
      </c>
    </row>
    <row r="16">
      <c r="A16" s="2" t="s">
        <v>2229</v>
      </c>
      <c r="B16" s="36">
        <v>66.0</v>
      </c>
      <c r="C16" s="36">
        <v>10.5</v>
      </c>
      <c r="D16" s="36">
        <v>3.9</v>
      </c>
      <c r="E16" s="36">
        <v>7.1</v>
      </c>
      <c r="F16" s="36">
        <v>87.4</v>
      </c>
    </row>
    <row r="17">
      <c r="A17" s="2" t="s">
        <v>2230</v>
      </c>
      <c r="B17" s="36">
        <v>71.4</v>
      </c>
      <c r="C17" s="36">
        <v>10.0</v>
      </c>
      <c r="D17" s="36">
        <v>3.7</v>
      </c>
      <c r="E17" s="36">
        <v>6.6</v>
      </c>
      <c r="F17" s="36">
        <v>91.6</v>
      </c>
    </row>
    <row r="18">
      <c r="A18" s="2" t="s">
        <v>2231</v>
      </c>
      <c r="B18" s="36">
        <v>61.7</v>
      </c>
      <c r="C18" s="36">
        <v>9.8</v>
      </c>
      <c r="D18" s="36">
        <v>3.5</v>
      </c>
      <c r="E18" s="36">
        <v>6.2</v>
      </c>
      <c r="F18" s="36">
        <v>81.2</v>
      </c>
    </row>
    <row r="19">
      <c r="A19" s="2" t="s">
        <v>2232</v>
      </c>
      <c r="B19" s="36">
        <v>63.5</v>
      </c>
      <c r="C19" s="36">
        <v>9.6</v>
      </c>
      <c r="D19" s="36">
        <v>3.5</v>
      </c>
      <c r="E19" s="36">
        <v>5.9</v>
      </c>
      <c r="F19" s="36">
        <v>82.6</v>
      </c>
    </row>
    <row r="20">
      <c r="A20" s="2" t="s">
        <v>2233</v>
      </c>
      <c r="B20" s="36">
        <v>68.6</v>
      </c>
      <c r="C20" s="36">
        <v>10.6</v>
      </c>
      <c r="D20" s="36">
        <v>3.8</v>
      </c>
      <c r="E20" s="36">
        <v>7.0</v>
      </c>
      <c r="F20" s="36">
        <v>90.0</v>
      </c>
    </row>
    <row r="21">
      <c r="A21" s="2" t="s">
        <v>2234</v>
      </c>
      <c r="B21" s="36">
        <v>74.2</v>
      </c>
      <c r="C21" s="36">
        <v>11.0</v>
      </c>
      <c r="D21" s="36">
        <v>3.7</v>
      </c>
      <c r="E21" s="36">
        <v>6.9</v>
      </c>
      <c r="F21" s="36">
        <v>95.7</v>
      </c>
    </row>
    <row r="22">
      <c r="A22" s="2" t="s">
        <v>2235</v>
      </c>
      <c r="B22" s="36">
        <v>67.4</v>
      </c>
      <c r="C22" s="36">
        <v>10.6</v>
      </c>
      <c r="D22" s="36">
        <v>3.6</v>
      </c>
      <c r="E22" s="36">
        <v>6.7</v>
      </c>
      <c r="F22" s="36">
        <v>88.4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2236</v>
      </c>
      <c r="B1" s="2" t="s">
        <v>2237</v>
      </c>
    </row>
    <row r="2">
      <c r="A2" s="2" t="s">
        <v>2238</v>
      </c>
      <c r="B2" s="2" t="s">
        <v>2239</v>
      </c>
    </row>
    <row r="3">
      <c r="A3" s="2" t="s">
        <v>2240</v>
      </c>
      <c r="B3" s="2" t="s">
        <v>2241</v>
      </c>
    </row>
    <row r="4">
      <c r="A4" s="2" t="s">
        <v>2242</v>
      </c>
      <c r="B4" s="2" t="s">
        <v>2243</v>
      </c>
    </row>
    <row r="5">
      <c r="A5" s="2" t="s">
        <v>2244</v>
      </c>
      <c r="B5" s="2" t="s">
        <v>2245</v>
      </c>
    </row>
    <row r="6">
      <c r="A6" s="2" t="s">
        <v>2246</v>
      </c>
      <c r="B6" s="2" t="s">
        <v>2247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2248</v>
      </c>
      <c r="B1" s="2" t="s">
        <v>1828</v>
      </c>
      <c r="C1" s="2" t="s">
        <v>226</v>
      </c>
      <c r="D1" s="2" t="s">
        <v>2249</v>
      </c>
      <c r="E1" s="2" t="s">
        <v>227</v>
      </c>
      <c r="F1" s="2" t="s">
        <v>2250</v>
      </c>
      <c r="G1" s="2" t="s">
        <v>2251</v>
      </c>
      <c r="H1" s="2" t="s">
        <v>2252</v>
      </c>
      <c r="I1" s="2" t="s">
        <v>228</v>
      </c>
      <c r="J1" s="2" t="s">
        <v>2253</v>
      </c>
      <c r="K1" s="2" t="s">
        <v>2254</v>
      </c>
      <c r="L1" s="2" t="s">
        <v>2255</v>
      </c>
      <c r="M1" s="2" t="s">
        <v>229</v>
      </c>
      <c r="N1" s="2" t="s">
        <v>2256</v>
      </c>
      <c r="O1" s="2" t="s">
        <v>2257</v>
      </c>
    </row>
    <row r="2">
      <c r="A2" s="36">
        <v>2026.0</v>
      </c>
      <c r="B2" s="2" t="s">
        <v>2258</v>
      </c>
      <c r="C2" s="162">
        <v>46138.0</v>
      </c>
      <c r="D2" s="36">
        <v>5025652.0</v>
      </c>
      <c r="E2" s="36">
        <v>1.4359006E7</v>
      </c>
      <c r="F2" s="36">
        <v>1.3562825E7</v>
      </c>
      <c r="G2" s="36">
        <v>1.5218796E7</v>
      </c>
      <c r="H2" s="36">
        <v>6362180.0</v>
      </c>
      <c r="I2" s="36">
        <v>4241454.0</v>
      </c>
      <c r="J2" s="36">
        <v>4014832.0</v>
      </c>
      <c r="K2" s="36">
        <v>4503748.0</v>
      </c>
      <c r="L2" s="36">
        <v>542265.0</v>
      </c>
      <c r="M2" s="36">
        <v>21691.0</v>
      </c>
      <c r="N2" s="36">
        <v>18927.0</v>
      </c>
      <c r="O2" s="36">
        <v>24012.0</v>
      </c>
    </row>
    <row r="3">
      <c r="A3" s="36">
        <v>2026.0</v>
      </c>
      <c r="B3" s="2" t="s">
        <v>2259</v>
      </c>
      <c r="C3" s="162">
        <v>46168.0</v>
      </c>
      <c r="D3" s="36">
        <v>5181245.0</v>
      </c>
      <c r="E3" s="36">
        <v>1.4803557E7</v>
      </c>
      <c r="F3" s="36">
        <v>1.3987363E7</v>
      </c>
      <c r="G3" s="36">
        <v>1.569124E7</v>
      </c>
      <c r="H3" s="36">
        <v>6559152.0</v>
      </c>
      <c r="I3" s="36">
        <v>4372768.0</v>
      </c>
      <c r="J3" s="36">
        <v>4133893.0</v>
      </c>
      <c r="K3" s="36">
        <v>4628589.0</v>
      </c>
      <c r="L3" s="36">
        <v>559053.0</v>
      </c>
      <c r="M3" s="36">
        <v>22362.0</v>
      </c>
      <c r="N3" s="36">
        <v>19512.0</v>
      </c>
      <c r="O3" s="36">
        <v>24725.0</v>
      </c>
    </row>
    <row r="4">
      <c r="A4" s="36">
        <v>2026.0</v>
      </c>
      <c r="B4" s="2" t="s">
        <v>2260</v>
      </c>
      <c r="C4" s="162">
        <v>46199.0</v>
      </c>
      <c r="D4" s="36">
        <v>5496943.0</v>
      </c>
      <c r="E4" s="36">
        <v>1.5705552E7</v>
      </c>
      <c r="F4" s="36">
        <v>1.484437E7</v>
      </c>
      <c r="G4" s="36">
        <v>1.6648842E7</v>
      </c>
      <c r="H4" s="36">
        <v>6621001.0</v>
      </c>
      <c r="I4" s="36">
        <v>4414001.0</v>
      </c>
      <c r="J4" s="36">
        <v>4171639.0</v>
      </c>
      <c r="K4" s="36">
        <v>4674846.0</v>
      </c>
      <c r="L4" s="36">
        <v>575841.0</v>
      </c>
      <c r="M4" s="36">
        <v>23034.0</v>
      </c>
      <c r="N4" s="36">
        <v>20017.0</v>
      </c>
      <c r="O4" s="36">
        <v>25465.0</v>
      </c>
    </row>
    <row r="5">
      <c r="A5" s="36">
        <v>2026.0</v>
      </c>
      <c r="B5" s="2" t="s">
        <v>2261</v>
      </c>
      <c r="C5" s="162">
        <v>46229.0</v>
      </c>
      <c r="D5" s="36">
        <v>5860473.0</v>
      </c>
      <c r="E5" s="36">
        <v>1.6744208E7</v>
      </c>
      <c r="F5" s="36">
        <v>1.5831989E7</v>
      </c>
      <c r="G5" s="36">
        <v>1.7733012E7</v>
      </c>
      <c r="H5" s="36">
        <v>6977046.0</v>
      </c>
      <c r="I5" s="36">
        <v>4651364.0</v>
      </c>
      <c r="J5" s="36">
        <v>4398029.0</v>
      </c>
      <c r="K5" s="36">
        <v>4935578.0</v>
      </c>
      <c r="L5" s="36">
        <v>629495.0</v>
      </c>
      <c r="M5" s="36">
        <v>25180.0</v>
      </c>
      <c r="N5" s="36">
        <v>22008.0</v>
      </c>
      <c r="O5" s="36">
        <v>27852.0</v>
      </c>
    </row>
    <row r="6">
      <c r="A6" s="36">
        <v>2026.0</v>
      </c>
      <c r="B6" s="2" t="s">
        <v>2262</v>
      </c>
      <c r="C6" s="162">
        <v>46260.0</v>
      </c>
      <c r="D6" s="36">
        <v>5365265.0</v>
      </c>
      <c r="E6" s="36">
        <v>1.5329328E7</v>
      </c>
      <c r="F6" s="36">
        <v>1.4507124E7</v>
      </c>
      <c r="G6" s="36">
        <v>1.6263872E7</v>
      </c>
      <c r="H6" s="36">
        <v>6712828.0</v>
      </c>
      <c r="I6" s="36">
        <v>4475219.0</v>
      </c>
      <c r="J6" s="36">
        <v>4227405.0</v>
      </c>
      <c r="K6" s="36">
        <v>4747848.0</v>
      </c>
      <c r="L6" s="36">
        <v>593421.0</v>
      </c>
      <c r="M6" s="36">
        <v>23737.0</v>
      </c>
      <c r="N6" s="36">
        <v>20706.0</v>
      </c>
      <c r="O6" s="36">
        <v>26186.0</v>
      </c>
    </row>
    <row r="7">
      <c r="A7" s="36">
        <v>2026.0</v>
      </c>
      <c r="B7" s="2" t="s">
        <v>2263</v>
      </c>
      <c r="C7" s="2" t="s">
        <v>230</v>
      </c>
      <c r="D7" s="36">
        <v>5199119.0</v>
      </c>
      <c r="E7" s="36">
        <v>1.4854626E7</v>
      </c>
      <c r="F7" s="36">
        <v>1.4039723E7</v>
      </c>
      <c r="G7" s="36">
        <v>1.5735627E7</v>
      </c>
      <c r="H7" s="36">
        <v>6636366.0</v>
      </c>
      <c r="I7" s="36">
        <v>4424244.0</v>
      </c>
      <c r="J7" s="36">
        <v>4189099.0</v>
      </c>
      <c r="K7" s="36">
        <v>4695508.0</v>
      </c>
      <c r="L7" s="36">
        <v>580795.0</v>
      </c>
      <c r="M7" s="36">
        <v>23232.0</v>
      </c>
      <c r="N7" s="36">
        <v>20347.0</v>
      </c>
      <c r="O7" s="36">
        <v>25651.0</v>
      </c>
    </row>
    <row r="8">
      <c r="A8" s="36">
        <v>2026.0</v>
      </c>
      <c r="B8" s="2" t="s">
        <v>2264</v>
      </c>
      <c r="C8" s="162">
        <v>46321.0</v>
      </c>
      <c r="D8" s="36">
        <v>5438202.0</v>
      </c>
      <c r="E8" s="36">
        <v>1.553772E7</v>
      </c>
      <c r="F8" s="36">
        <v>1.4675106E7</v>
      </c>
      <c r="G8" s="36">
        <v>1.6468935E7</v>
      </c>
      <c r="H8" s="36">
        <v>6533962.0</v>
      </c>
      <c r="I8" s="36">
        <v>4355974.0</v>
      </c>
      <c r="J8" s="36">
        <v>4121295.0</v>
      </c>
      <c r="K8" s="36">
        <v>4614845.0</v>
      </c>
      <c r="L8" s="36">
        <v>547353.0</v>
      </c>
      <c r="M8" s="36">
        <v>21894.0</v>
      </c>
      <c r="N8" s="36">
        <v>19151.0</v>
      </c>
      <c r="O8" s="36">
        <v>24199.0</v>
      </c>
    </row>
    <row r="9">
      <c r="A9" s="36">
        <v>2026.0</v>
      </c>
      <c r="B9" s="2" t="s">
        <v>2265</v>
      </c>
      <c r="C9" s="162">
        <v>46352.0</v>
      </c>
      <c r="D9" s="36">
        <v>5662594.0</v>
      </c>
      <c r="E9" s="36">
        <v>1.617884E7</v>
      </c>
      <c r="F9" s="36">
        <v>1.5299108E7</v>
      </c>
      <c r="G9" s="36">
        <v>1.715236E7</v>
      </c>
      <c r="H9" s="36">
        <v>7009735.0</v>
      </c>
      <c r="I9" s="36">
        <v>4673157.0</v>
      </c>
      <c r="J9" s="36">
        <v>4418724.0</v>
      </c>
      <c r="K9" s="36">
        <v>4954781.0</v>
      </c>
      <c r="L9" s="36">
        <v>575695.0</v>
      </c>
      <c r="M9" s="36">
        <v>23028.0</v>
      </c>
      <c r="N9" s="36">
        <v>20129.0</v>
      </c>
      <c r="O9" s="36">
        <v>25416.0</v>
      </c>
    </row>
    <row r="10">
      <c r="A10" s="36">
        <v>2026.0</v>
      </c>
      <c r="B10" s="2" t="s">
        <v>2266</v>
      </c>
      <c r="C10" s="162">
        <v>46382.0</v>
      </c>
      <c r="D10" s="36">
        <v>6570193.0</v>
      </c>
      <c r="E10" s="36">
        <v>1.877198E7</v>
      </c>
      <c r="F10" s="36">
        <v>1.7748874E7</v>
      </c>
      <c r="G10" s="36">
        <v>1.9889553E7</v>
      </c>
      <c r="H10" s="36">
        <v>8203611.0</v>
      </c>
      <c r="I10" s="36">
        <v>5469074.0</v>
      </c>
      <c r="J10" s="36">
        <v>5172008.0</v>
      </c>
      <c r="K10" s="36">
        <v>5798135.0</v>
      </c>
      <c r="L10" s="36">
        <v>648322.0</v>
      </c>
      <c r="M10" s="36">
        <v>25933.0</v>
      </c>
      <c r="N10" s="36">
        <v>22682.0</v>
      </c>
      <c r="O10" s="36">
        <v>28638.0</v>
      </c>
    </row>
    <row r="11">
      <c r="A11" s="36">
        <v>2027.0</v>
      </c>
      <c r="B11" s="2" t="s">
        <v>2267</v>
      </c>
      <c r="C11" s="162">
        <v>46049.0</v>
      </c>
      <c r="D11" s="36">
        <v>5449116.0</v>
      </c>
      <c r="E11" s="36">
        <v>1.5568902E7</v>
      </c>
      <c r="F11" s="36">
        <v>1.4730061E7</v>
      </c>
      <c r="G11" s="36">
        <v>1.6518455E7</v>
      </c>
      <c r="H11" s="36">
        <v>6645832.0</v>
      </c>
      <c r="I11" s="36">
        <v>4430554.0</v>
      </c>
      <c r="J11" s="36">
        <v>4191367.0</v>
      </c>
      <c r="K11" s="36">
        <v>4691216.0</v>
      </c>
      <c r="L11" s="36">
        <v>581819.0</v>
      </c>
      <c r="M11" s="36">
        <v>23273.0</v>
      </c>
      <c r="N11" s="36">
        <v>20346.0</v>
      </c>
      <c r="O11" s="36">
        <v>25704.0</v>
      </c>
    </row>
    <row r="12">
      <c r="A12" s="36">
        <v>2027.0</v>
      </c>
      <c r="B12" s="2" t="s">
        <v>2268</v>
      </c>
      <c r="C12" s="162">
        <v>46080.0</v>
      </c>
      <c r="D12" s="36">
        <v>5042453.0</v>
      </c>
      <c r="E12" s="36">
        <v>1.4407009E7</v>
      </c>
      <c r="F12" s="36">
        <v>1.359731E7</v>
      </c>
      <c r="G12" s="36">
        <v>1.5251824E7</v>
      </c>
      <c r="H12" s="36">
        <v>6149232.0</v>
      </c>
      <c r="I12" s="36">
        <v>4099488.0</v>
      </c>
      <c r="J12" s="36">
        <v>3874504.0</v>
      </c>
      <c r="K12" s="36">
        <v>4345219.0</v>
      </c>
      <c r="L12" s="36">
        <v>543837.0</v>
      </c>
      <c r="M12" s="36">
        <v>21753.0</v>
      </c>
      <c r="N12" s="36">
        <v>18975.0</v>
      </c>
      <c r="O12" s="36">
        <v>24051.0</v>
      </c>
    </row>
    <row r="13">
      <c r="A13" s="36">
        <v>2027.0</v>
      </c>
      <c r="B13" s="2" t="s">
        <v>2269</v>
      </c>
      <c r="C13" s="162">
        <v>46108.0</v>
      </c>
      <c r="D13" s="36">
        <v>5626980.0</v>
      </c>
      <c r="E13" s="36">
        <v>1.6077086E7</v>
      </c>
      <c r="F13" s="36">
        <v>1.5216974E7</v>
      </c>
      <c r="G13" s="36">
        <v>1.7035796E7</v>
      </c>
      <c r="H13" s="36">
        <v>6932079.0</v>
      </c>
      <c r="I13" s="36">
        <v>4621386.0</v>
      </c>
      <c r="J13" s="36">
        <v>4369469.0</v>
      </c>
      <c r="K13" s="36">
        <v>4898230.0</v>
      </c>
      <c r="L13" s="36">
        <v>600810.0</v>
      </c>
      <c r="M13" s="36">
        <v>24032.0</v>
      </c>
      <c r="N13" s="36">
        <v>20965.0</v>
      </c>
      <c r="O13" s="36">
        <v>26513.0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2207</v>
      </c>
      <c r="B1" s="2" t="s">
        <v>2208</v>
      </c>
      <c r="C1" s="2" t="s">
        <v>2270</v>
      </c>
      <c r="D1" s="2" t="s">
        <v>2204</v>
      </c>
      <c r="E1" s="2" t="s">
        <v>2205</v>
      </c>
      <c r="F1" s="2" t="s">
        <v>2206</v>
      </c>
    </row>
    <row r="2">
      <c r="A2" s="36">
        <v>2026.0</v>
      </c>
      <c r="B2" s="36">
        <v>2.0</v>
      </c>
      <c r="C2" s="2" t="s">
        <v>2271</v>
      </c>
      <c r="D2" s="36">
        <v>1.5675026E7</v>
      </c>
      <c r="E2" s="36">
        <v>1.95608572E7</v>
      </c>
      <c r="F2" s="36">
        <v>1677158.9</v>
      </c>
    </row>
    <row r="3">
      <c r="A3" s="36">
        <v>2026.0</v>
      </c>
      <c r="B3" s="36">
        <v>3.0</v>
      </c>
      <c r="C3" s="2" t="s">
        <v>2272</v>
      </c>
      <c r="D3" s="36">
        <v>1.6334775E7</v>
      </c>
      <c r="E3" s="36">
        <v>2.03841498E7</v>
      </c>
      <c r="F3" s="36">
        <v>1803710.2</v>
      </c>
    </row>
    <row r="4">
      <c r="A4" s="36">
        <v>2026.0</v>
      </c>
      <c r="B4" s="36">
        <v>4.0</v>
      </c>
      <c r="C4" s="2" t="s">
        <v>2273</v>
      </c>
      <c r="D4" s="36">
        <v>1.75100512E7</v>
      </c>
      <c r="E4" s="36">
        <v>2.18507679E7</v>
      </c>
      <c r="F4" s="36">
        <v>1771370.4</v>
      </c>
    </row>
    <row r="5">
      <c r="A5" s="36">
        <v>2027.0</v>
      </c>
      <c r="B5" s="36">
        <v>1.0</v>
      </c>
      <c r="C5" s="2" t="s">
        <v>2274</v>
      </c>
      <c r="D5" s="36">
        <v>1.59137762E7</v>
      </c>
      <c r="E5" s="36">
        <v>1.98587822E7</v>
      </c>
      <c r="F5" s="36">
        <v>1726465.1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3</v>
      </c>
      <c r="B1" s="2" t="s">
        <v>2275</v>
      </c>
      <c r="C1" s="2" t="s">
        <v>2276</v>
      </c>
      <c r="D1" s="2" t="s">
        <v>2277</v>
      </c>
      <c r="E1" s="2" t="s">
        <v>2278</v>
      </c>
      <c r="F1" s="2" t="s">
        <v>2279</v>
      </c>
      <c r="G1" s="2" t="s">
        <v>2280</v>
      </c>
      <c r="H1" s="2" t="s">
        <v>2281</v>
      </c>
      <c r="I1" s="2" t="s">
        <v>2282</v>
      </c>
    </row>
    <row r="2">
      <c r="A2" s="2" t="s">
        <v>2204</v>
      </c>
      <c r="B2" s="2" t="s">
        <v>2283</v>
      </c>
      <c r="C2" s="36">
        <v>0.0291254277221912</v>
      </c>
      <c r="D2" s="36">
        <v>435846.0</v>
      </c>
      <c r="E2" s="36">
        <v>572000.0</v>
      </c>
      <c r="F2" s="36">
        <v>3.271840472643719E11</v>
      </c>
      <c r="G2" s="36">
        <v>0.38</v>
      </c>
      <c r="H2" s="36">
        <v>0.0434250582942345</v>
      </c>
      <c r="I2" s="36">
        <v>1.0</v>
      </c>
    </row>
    <row r="3">
      <c r="A3" s="2" t="s">
        <v>2205</v>
      </c>
      <c r="B3" s="2" t="s">
        <v>2283</v>
      </c>
      <c r="C3" s="36">
        <v>0.0291254390949505</v>
      </c>
      <c r="D3" s="36">
        <v>543892.0</v>
      </c>
      <c r="E3" s="36">
        <v>713799.0</v>
      </c>
      <c r="F3" s="36">
        <v>5.0950881492290753E11</v>
      </c>
      <c r="G3" s="36">
        <v>0.38</v>
      </c>
      <c r="H3" s="36">
        <v>0.0434250938152267</v>
      </c>
      <c r="I3" s="36">
        <v>1.0</v>
      </c>
    </row>
    <row r="4">
      <c r="A4" s="2" t="s">
        <v>2206</v>
      </c>
      <c r="B4" s="2" t="s">
        <v>2284</v>
      </c>
      <c r="C4" s="36">
        <v>0.0211177722449481</v>
      </c>
      <c r="D4" s="36">
        <v>36311.0</v>
      </c>
      <c r="E4" s="36">
        <v>49237.0</v>
      </c>
      <c r="F4" s="36">
        <v>2.4242907028372984E9</v>
      </c>
      <c r="G4" s="36">
        <v>-2.02</v>
      </c>
      <c r="H4" s="36">
        <v>0.0308985350071208</v>
      </c>
      <c r="I4" s="36">
        <v>0.731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2285</v>
      </c>
      <c r="B1" s="2" t="s">
        <v>382</v>
      </c>
      <c r="C1" s="2" t="s">
        <v>2286</v>
      </c>
    </row>
    <row r="2">
      <c r="A2" s="2" t="s">
        <v>2287</v>
      </c>
      <c r="B2" s="2" t="s">
        <v>1870</v>
      </c>
      <c r="C2" s="2" t="s">
        <v>2288</v>
      </c>
    </row>
    <row r="3">
      <c r="A3" s="2" t="s">
        <v>2289</v>
      </c>
      <c r="B3" s="2" t="s">
        <v>1870</v>
      </c>
      <c r="C3" s="2" t="s">
        <v>2290</v>
      </c>
    </row>
    <row r="4">
      <c r="A4" s="2" t="s">
        <v>2291</v>
      </c>
      <c r="B4" s="2" t="s">
        <v>1870</v>
      </c>
      <c r="C4" s="2" t="s">
        <v>2292</v>
      </c>
    </row>
    <row r="5">
      <c r="A5" s="2" t="s">
        <v>2293</v>
      </c>
      <c r="B5" s="2" t="s">
        <v>1870</v>
      </c>
      <c r="C5" s="2" t="s">
        <v>2294</v>
      </c>
    </row>
    <row r="6">
      <c r="A6" s="2" t="s">
        <v>2295</v>
      </c>
      <c r="B6" s="2" t="s">
        <v>1870</v>
      </c>
      <c r="C6" s="2" t="s">
        <v>2296</v>
      </c>
    </row>
    <row r="7">
      <c r="A7" s="2" t="s">
        <v>2297</v>
      </c>
      <c r="B7" s="2" t="s">
        <v>1870</v>
      </c>
      <c r="C7" s="2" t="s">
        <v>2298</v>
      </c>
    </row>
    <row r="8">
      <c r="A8" s="2" t="s">
        <v>2299</v>
      </c>
      <c r="B8" s="2" t="s">
        <v>1870</v>
      </c>
      <c r="C8" s="2" t="s">
        <v>2300</v>
      </c>
    </row>
    <row r="9">
      <c r="A9" s="2" t="s">
        <v>2301</v>
      </c>
      <c r="B9" s="2" t="s">
        <v>1870</v>
      </c>
      <c r="C9" s="2" t="s">
        <v>2302</v>
      </c>
    </row>
    <row r="10">
      <c r="A10" s="2" t="s">
        <v>2303</v>
      </c>
      <c r="B10" s="2" t="s">
        <v>1870</v>
      </c>
      <c r="C10" s="2" t="s">
        <v>2304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/>
  <sheetData>
    <row r="1">
      <c r="A1" s="2" t="s">
        <v>2305</v>
      </c>
    </row>
    <row r="2">
      <c r="A2" s="2" t="s">
        <v>2306</v>
      </c>
    </row>
    <row r="4">
      <c r="A4" s="2" t="s">
        <v>2307</v>
      </c>
      <c r="B4" s="2" t="s">
        <v>2308</v>
      </c>
      <c r="C4" s="2" t="s">
        <v>2309</v>
      </c>
      <c r="D4" s="2" t="s">
        <v>18</v>
      </c>
      <c r="E4" s="2" t="s">
        <v>19</v>
      </c>
      <c r="F4" s="2" t="s">
        <v>20</v>
      </c>
    </row>
    <row r="5">
      <c r="A5" s="2" t="s">
        <v>2310</v>
      </c>
      <c r="B5" s="37">
        <f t="array" ref="B5">INDEX(RRHH!$G:$G,MATCH("Operarios de linea (3 turnos)",RRHH!$A:$A,0))</f>
        <v>3825878</v>
      </c>
      <c r="C5" s="2" t="s">
        <v>2311</v>
      </c>
    </row>
    <row r="6">
      <c r="A6" s="2" t="s">
        <v>2312</v>
      </c>
      <c r="B6" s="105">
        <f t="shared" ref="B6:B7" si="1">SUM(D6:F6)</f>
        <v>6</v>
      </c>
      <c r="C6" s="2" t="s">
        <v>189</v>
      </c>
      <c r="D6" s="36">
        <v>2.0</v>
      </c>
      <c r="E6" s="36">
        <v>2.0</v>
      </c>
      <c r="F6" s="36">
        <v>2.0</v>
      </c>
    </row>
    <row r="7">
      <c r="A7" s="2" t="s">
        <v>2313</v>
      </c>
      <c r="B7" s="105">
        <f t="shared" si="1"/>
        <v>4</v>
      </c>
      <c r="C7" s="2" t="s">
        <v>189</v>
      </c>
      <c r="D7" s="36">
        <v>4.0</v>
      </c>
      <c r="E7" s="36">
        <v>0.0</v>
      </c>
      <c r="F7" s="36">
        <v>0.0</v>
      </c>
    </row>
    <row r="8">
      <c r="A8" s="2" t="s">
        <v>2314</v>
      </c>
      <c r="B8" s="105">
        <f>SUM(B6:B7)</f>
        <v>10</v>
      </c>
      <c r="C8" s="2" t="s">
        <v>189</v>
      </c>
      <c r="D8" s="5">
        <f t="shared" ref="D8:F8" si="2">D6+D7</f>
        <v>6</v>
      </c>
      <c r="E8" s="5">
        <f t="shared" si="2"/>
        <v>2</v>
      </c>
      <c r="F8" s="5">
        <f t="shared" si="2"/>
        <v>2</v>
      </c>
    </row>
    <row r="9">
      <c r="A9" s="2" t="s">
        <v>2315</v>
      </c>
      <c r="B9" s="37">
        <f>SUM(D9:F9)</f>
        <v>38258780</v>
      </c>
      <c r="C9" s="2" t="s">
        <v>142</v>
      </c>
      <c r="D9" s="37">
        <f t="shared" ref="D9:F9" si="3">D8*$B$5</f>
        <v>22955268</v>
      </c>
      <c r="E9" s="37">
        <f t="shared" si="3"/>
        <v>7651756</v>
      </c>
      <c r="F9" s="37">
        <f t="shared" si="3"/>
        <v>7651756</v>
      </c>
    </row>
    <row r="10">
      <c r="A10" s="2" t="s">
        <v>2316</v>
      </c>
      <c r="B10" s="37">
        <f>B9*12</f>
        <v>459105360</v>
      </c>
      <c r="C10" s="2" t="s">
        <v>2317</v>
      </c>
      <c r="D10" s="37">
        <f t="shared" ref="D10:F10" si="4">D9*12</f>
        <v>275463216</v>
      </c>
      <c r="E10" s="37">
        <f t="shared" si="4"/>
        <v>91821072</v>
      </c>
      <c r="F10" s="37">
        <f t="shared" si="4"/>
        <v>91821072</v>
      </c>
    </row>
    <row r="11">
      <c r="B11" s="105"/>
    </row>
    <row r="12">
      <c r="A12" s="2" t="s">
        <v>2318</v>
      </c>
      <c r="B12" s="37">
        <f>B9</f>
        <v>38258780</v>
      </c>
      <c r="C12" s="2" t="s">
        <v>142</v>
      </c>
    </row>
    <row r="13">
      <c r="A13" s="2" t="s">
        <v>2319</v>
      </c>
      <c r="B13" s="163">
        <f t="array" ref="B13">INDEX(Parametros!$B:$B,MATCH("pct_monetizacion_ahorro_laboral",Parametros!$A:$A,0))</f>
        <v>0.7</v>
      </c>
      <c r="C13" s="2" t="s">
        <v>192</v>
      </c>
    </row>
    <row r="14">
      <c r="A14" s="2" t="s">
        <v>2320</v>
      </c>
      <c r="B14" s="37">
        <f>B12*B13</f>
        <v>26781146</v>
      </c>
      <c r="C14" s="2" t="s">
        <v>142</v>
      </c>
    </row>
    <row r="15">
      <c r="A15" s="2" t="s">
        <v>2321</v>
      </c>
      <c r="B15" s="37">
        <f>B14*12</f>
        <v>321373752</v>
      </c>
      <c r="C15" s="2" t="s">
        <v>2317</v>
      </c>
    </row>
    <row r="16">
      <c r="B16" s="37"/>
    </row>
    <row r="17">
      <c r="A17" s="2" t="s">
        <v>2322</v>
      </c>
      <c r="B17" s="37">
        <f>SUMIF(CAPEX!$A:$A,"Celdas roboticas (BOM real)",CAPEX!$G:$G)+SUMIF(CAPEX!$A:$A,"Diseño ULogix",CAPEX!$G:$G)</f>
        <v>708338214.4</v>
      </c>
      <c r="C17" s="2" t="s">
        <v>361</v>
      </c>
    </row>
    <row r="18">
      <c r="A18" s="2" t="s">
        <v>2323</v>
      </c>
      <c r="B18" s="37">
        <f>B17*3%</f>
        <v>21250146.43</v>
      </c>
      <c r="C18" s="2" t="s">
        <v>2317</v>
      </c>
    </row>
    <row r="19">
      <c r="A19" s="2" t="s">
        <v>2324</v>
      </c>
      <c r="B19" s="37">
        <f>B15-B18</f>
        <v>300123605.6</v>
      </c>
      <c r="C19" s="2" t="s">
        <v>2317</v>
      </c>
    </row>
    <row r="20">
      <c r="A20" s="2" t="s">
        <v>2325</v>
      </c>
      <c r="B20" s="155">
        <f>B17/B19</f>
        <v>2.360154954</v>
      </c>
      <c r="C20" s="2" t="s">
        <v>2326</v>
      </c>
    </row>
    <row r="21">
      <c r="A21" s="2" t="s">
        <v>2327</v>
      </c>
      <c r="B21" s="37">
        <f t="array" ref="B21">NPV(Parametros!$B$7,B19,B19,B19,B19,B19,B19,B19,B19,B19,B19)-B17</f>
        <v>640443168.1</v>
      </c>
      <c r="C21" s="2" t="s">
        <v>361</v>
      </c>
    </row>
    <row r="22">
      <c r="B22" s="105"/>
    </row>
    <row r="23">
      <c r="A23" s="2" t="s">
        <v>2328</v>
      </c>
      <c r="B23" s="37">
        <f t="array" ref="B23">INDEX(Parametros!$B:$B,MATCH("trm_cop_usd",Parametros!$A:$A,0))*(400000+180000+140000)</f>
        <v>2339186400</v>
      </c>
      <c r="C23" s="2" t="s">
        <v>361</v>
      </c>
    </row>
    <row r="24">
      <c r="A24" s="2" t="s">
        <v>2329</v>
      </c>
      <c r="B24" s="2" t="s">
        <v>2330</v>
      </c>
    </row>
    <row r="25">
      <c r="A25" s="2" t="s">
        <v>2331</v>
      </c>
      <c r="B25" s="5" t="str">
        <f>IF(B21&gt;0,"ULogix es viable por ahorro laboral aun sin contar uplift/OEE","Revisar monetizacion y RFQ")</f>
        <v>ULogix es viable por ahorro laboral aun sin contar uplift/OEE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75"/>
  <sheetData>
    <row r="1">
      <c r="A1" s="140" t="s">
        <v>2332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>
      <c r="A2" s="2" t="s">
        <v>2333</v>
      </c>
    </row>
    <row r="4">
      <c r="A4" s="164" t="s">
        <v>263</v>
      </c>
      <c r="B4" s="164" t="s">
        <v>3</v>
      </c>
      <c r="C4" s="164" t="s">
        <v>994</v>
      </c>
      <c r="D4" s="164" t="s">
        <v>2334</v>
      </c>
      <c r="E4" s="164" t="s">
        <v>2335</v>
      </c>
      <c r="F4" s="164" t="s">
        <v>2336</v>
      </c>
      <c r="G4" s="164" t="s">
        <v>2337</v>
      </c>
      <c r="H4" s="164" t="s">
        <v>2338</v>
      </c>
      <c r="I4" s="164" t="s">
        <v>2339</v>
      </c>
      <c r="J4" s="164" t="s">
        <v>2340</v>
      </c>
      <c r="K4" s="164" t="s">
        <v>2341</v>
      </c>
      <c r="L4" s="164" t="s">
        <v>2342</v>
      </c>
      <c r="M4" s="164" t="s">
        <v>2343</v>
      </c>
      <c r="N4" s="164" t="s">
        <v>2344</v>
      </c>
    </row>
    <row r="5">
      <c r="A5" s="2" t="s">
        <v>18</v>
      </c>
      <c r="B5" s="2" t="s">
        <v>819</v>
      </c>
      <c r="C5" s="2" t="s">
        <v>919</v>
      </c>
      <c r="D5" s="2" t="s">
        <v>920</v>
      </c>
      <c r="E5" s="36">
        <v>42500.0</v>
      </c>
      <c r="F5" s="36">
        <v>44000.0</v>
      </c>
      <c r="G5" s="165">
        <v>0.7712</v>
      </c>
      <c r="H5" s="165">
        <v>0.8097</v>
      </c>
      <c r="I5" s="36">
        <v>1.86953224E8</v>
      </c>
      <c r="J5" s="36">
        <v>1.49974191E8</v>
      </c>
      <c r="K5" s="36">
        <v>2.44546151E8</v>
      </c>
      <c r="L5" s="165">
        <v>1.247</v>
      </c>
      <c r="M5" s="165">
        <v>0.764</v>
      </c>
      <c r="N5" s="2" t="s">
        <v>2345</v>
      </c>
    </row>
    <row r="6">
      <c r="A6" s="2" t="s">
        <v>19</v>
      </c>
      <c r="B6" s="2" t="s">
        <v>820</v>
      </c>
      <c r="C6" s="2" t="s">
        <v>922</v>
      </c>
      <c r="D6" s="2" t="s">
        <v>923</v>
      </c>
      <c r="E6" s="36">
        <v>12000.0</v>
      </c>
      <c r="F6" s="36">
        <v>18000.0</v>
      </c>
      <c r="G6" s="165">
        <v>0.765</v>
      </c>
      <c r="H6" s="165">
        <v>0.8032</v>
      </c>
      <c r="I6" s="36">
        <v>5.4436369E7</v>
      </c>
      <c r="J6" s="36">
        <v>4.2005305E7</v>
      </c>
      <c r="K6" s="36">
        <v>9.9237532E7</v>
      </c>
      <c r="L6" s="165">
        <v>1.296</v>
      </c>
      <c r="M6" s="165">
        <v>0.549</v>
      </c>
      <c r="N6" s="2" t="s">
        <v>2345</v>
      </c>
    </row>
    <row r="7">
      <c r="A7" s="2" t="s">
        <v>20</v>
      </c>
      <c r="B7" s="2" t="s">
        <v>821</v>
      </c>
      <c r="C7" s="2" t="s">
        <v>925</v>
      </c>
      <c r="D7" s="2" t="s">
        <v>926</v>
      </c>
      <c r="E7" s="36">
        <v>480.0</v>
      </c>
      <c r="F7" s="36">
        <v>600.0</v>
      </c>
      <c r="G7" s="165">
        <v>0.7537</v>
      </c>
      <c r="H7" s="165">
        <v>0.7914</v>
      </c>
      <c r="I7" s="36">
        <v>277477.0</v>
      </c>
      <c r="J7" s="36">
        <v>347309.0</v>
      </c>
      <c r="K7" s="36">
        <v>455843.0</v>
      </c>
      <c r="L7" s="165">
        <v>0.799</v>
      </c>
      <c r="M7" s="165">
        <v>0.609</v>
      </c>
      <c r="N7" s="2" t="s">
        <v>2345</v>
      </c>
    </row>
    <row r="9">
      <c r="A9" s="2" t="s">
        <v>2346</v>
      </c>
    </row>
    <row r="10">
      <c r="A10" s="2" t="s">
        <v>18</v>
      </c>
      <c r="B10" s="2" t="s">
        <v>2347</v>
      </c>
    </row>
    <row r="11">
      <c r="A11" s="2" t="s">
        <v>19</v>
      </c>
      <c r="B11" s="2" t="s">
        <v>2348</v>
      </c>
    </row>
    <row r="12">
      <c r="A12" s="2" t="s">
        <v>20</v>
      </c>
      <c r="B12" s="2" t="s">
        <v>2349</v>
      </c>
    </row>
  </sheetData>
  <drawing r:id="rId1"/>
</worksheet>
</file>