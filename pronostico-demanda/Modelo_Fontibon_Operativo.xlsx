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SKUs_Empaques" sheetId="2" state="visible" r:id="rId2"/>
    <sheet xmlns:r="http://schemas.openxmlformats.org/officeDocument/2006/relationships" name="Pruebas" sheetId="3" state="visible" r:id="rId3"/>
    <sheet xmlns:r="http://schemas.openxmlformats.org/officeDocument/2006/relationships" name="Pronostico_2026" sheetId="4" state="visible" r:id="rId4"/>
    <sheet xmlns:r="http://schemas.openxmlformats.org/officeDocument/2006/relationships" name="Backtest_TS" sheetId="5" state="visible" r:id="rId5"/>
    <sheet xmlns:r="http://schemas.openxmlformats.org/officeDocument/2006/relationships" name="Rotacion" sheetId="6" state="visible" r:id="rId6"/>
    <sheet xmlns:r="http://schemas.openxmlformats.org/officeDocument/2006/relationships" name="E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000"/>
    <numFmt numFmtId="166" formatCode="0.000"/>
    <numFmt numFmtId="167" formatCode="0.000000"/>
    <numFmt numFmtId="168" formatCode="0.0"/>
    <numFmt numFmtId="169" formatCode="0.0%"/>
  </numFmts>
  <fonts count="20">
    <font>
      <name val="Calibri"/>
      <family val="2"/>
      <color theme="1"/>
      <sz val="11"/>
      <scheme val="minor"/>
    </font>
    <font>
      <name val="Times New Roman"/>
      <b val="1"/>
      <color rgb="001F3864"/>
      <sz val="14"/>
    </font>
    <font>
      <name val="Times New Roman"/>
      <b val="1"/>
      <color rgb="001F3864"/>
      <sz val="10.5"/>
    </font>
    <font>
      <name val="Times New Roman"/>
      <sz val="9.5"/>
    </font>
    <font>
      <name val="Times New Roman"/>
      <b val="1"/>
      <color rgb="001F3864"/>
      <sz val="13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sz val="10"/>
    </font>
    <font>
      <name val="Times New Roman"/>
      <color rgb="000000FF"/>
      <sz val="10"/>
    </font>
    <font>
      <name val="Times New Roman"/>
      <color rgb="00008000"/>
      <sz val="10"/>
    </font>
    <font>
      <name val="Times New Roman"/>
      <i val="1"/>
      <sz val="9"/>
    </font>
    <font>
      <name val="Times New Roman"/>
      <color rgb="00000000"/>
      <sz val="10"/>
    </font>
    <font>
      <name val="Times New Roman"/>
      <i val="1"/>
      <sz val="9.5"/>
    </font>
    <font>
      <name val="Times New Roman"/>
      <b val="1"/>
      <color rgb="001F3864"/>
      <sz val="11"/>
    </font>
    <font>
      <name val="Times New Roman"/>
      <b val="1"/>
      <color rgb="00FFFFFF"/>
      <sz val="9.5"/>
    </font>
    <font>
      <name val="Times New Roman"/>
      <sz val="9"/>
    </font>
    <font>
      <name val="Times New Roman"/>
      <b val="1"/>
      <color rgb="001F3864"/>
      <sz val="10"/>
    </font>
    <font>
      <name val="Times New Roman"/>
      <b val="1"/>
      <sz val="9.5"/>
    </font>
    <font>
      <name val="Times New Roman"/>
      <color rgb="000000FF"/>
      <sz val="9.5"/>
    </font>
    <font>
      <name val="Times New Roman"/>
      <color rgb="00008000"/>
      <sz val="9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7F9FC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2" fontId="8" fillId="0" borderId="1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10" fillId="0" borderId="0" pivotButton="0" quotePrefix="0" xfId="0"/>
    <xf numFmtId="165" fontId="11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vertical="top" wrapText="1"/>
    </xf>
    <xf numFmtId="1" fontId="8" fillId="3" borderId="1" applyAlignment="1" pivotButton="0" quotePrefix="0" xfId="0">
      <alignment horizontal="right" vertical="center"/>
    </xf>
    <xf numFmtId="0" fontId="13" fillId="0" borderId="0" pivotButton="0" quotePrefix="0" xfId="0"/>
    <xf numFmtId="3" fontId="11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right" vertical="center"/>
    </xf>
    <xf numFmtId="0" fontId="0" fillId="5" borderId="0" pivotButton="0" quotePrefix="0" xfId="0"/>
    <xf numFmtId="2" fontId="9" fillId="0" borderId="1" applyAlignment="1" pivotButton="0" quotePrefix="0" xfId="0">
      <alignment horizontal="right" vertical="center"/>
    </xf>
    <xf numFmtId="49" fontId="9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2" fontId="9" fillId="6" borderId="1" applyAlignment="1" pivotButton="0" quotePrefix="0" xfId="0">
      <alignment horizontal="right" vertical="center"/>
    </xf>
    <xf numFmtId="49" fontId="9" fillId="6" borderId="1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15" fillId="0" borderId="1" applyAlignment="1" pivotButton="0" quotePrefix="0" xfId="0">
      <alignment horizontal="right" vertical="center"/>
    </xf>
    <xf numFmtId="2" fontId="15" fillId="4" borderId="1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1" applyAlignment="1" pivotButton="0" quotePrefix="0" xfId="0">
      <alignment horizontal="left" vertical="center" wrapText="1"/>
    </xf>
    <xf numFmtId="2" fontId="18" fillId="7" borderId="1" applyAlignment="1" pivotButton="0" quotePrefix="0" xfId="0">
      <alignment horizontal="right" vertical="center"/>
    </xf>
    <xf numFmtId="3" fontId="19" fillId="0" borderId="1" applyAlignment="1" pivotButton="0" quotePrefix="0" xfId="0">
      <alignment horizontal="right" vertical="center"/>
    </xf>
    <xf numFmtId="3" fontId="19" fillId="5" borderId="1" applyAlignment="1" pivotButton="0" quotePrefix="0" xfId="0">
      <alignment horizontal="right" vertical="center"/>
    </xf>
    <xf numFmtId="169" fontId="1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P1: Base vs Ajustado (L/mes)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'Escenarios'!$C$36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'Escenarios'!$D$36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'Escenarios'!$E$36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'Escenarios'!$F$36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'Escenarios'!$G$36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'Escenarios'!$H$36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'Escenarios'!$I$36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'Escenarios'!$J$36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'Escenarios'!$K$36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'Escenarios'!$L$36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'Escenarios'!$M$36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'Escenarios'!$N$36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'Escenarios'!$C$38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'Escenarios'!$D$38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'Escenarios'!$E$38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'Escenarios'!$F$38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'Escenarios'!$G$38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'Escenarios'!$H$38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'Escenarios'!$I$38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'Escenarios'!$J$38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'Escenarios'!$K$38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'Escenarios'!$L$38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'Escenarios'!$M$38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'Escenarios'!$N$38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P2: Base vs Ajustado (L/mes)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'Escenarios'!$C$44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'Escenarios'!$D$44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'Escenarios'!$E$44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'Escenarios'!$F$44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'Escenarios'!$G$44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'Escenarios'!$H$44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'Escenarios'!$I$44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'Escenarios'!$J$44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'Escenarios'!$K$44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'Escenarios'!$L$44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'Escenarios'!$M$44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'Escenarios'!$N$44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'Escenarios'!$C$46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'Escenarios'!$D$46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'Escenarios'!$E$46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'Escenarios'!$F$46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'Escenarios'!$G$46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'Escenarios'!$H$46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'Escenarios'!$I$46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'Escenarios'!$J$46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'Escenarios'!$K$46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'Escenarios'!$L$46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'Escenarios'!$M$46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'Escenarios'!$N$46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P3: Base vs Ajustado (L/mes)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'Escenarios'!$C$52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'Escenarios'!$D$52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'Escenarios'!$E$52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'Escenarios'!$F$52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'Escenarios'!$G$52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'Escenarios'!$H$52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'Escenarios'!$I$52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'Escenarios'!$J$52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'Escenarios'!$K$52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'Escenarios'!$L$52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'Escenarios'!$M$52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'Escenarios'!$N$52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'Escenarios'!$C$54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'Escenarios'!$D$54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'Escenarios'!$E$54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'Escenarios'!$F$54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'Escenarios'!$G$54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'Escenarios'!$H$54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'Escenarios'!$I$54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'Escenarios'!$J$54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'Escenarios'!$K$54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'Escenarios'!$L$54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'Escenarios'!$M$54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'Escenarios'!$N$54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15</col>
      <colOff>0</colOff>
      <row>35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43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51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2" customWidth="1" min="2" max="2"/>
  </cols>
  <sheetData>
    <row r="2">
      <c r="B2" s="1" t="inlineStr">
        <is>
          <t>MODELO OPERATIVO — PLANTA KOF BOGOTÁ (FONTIBÓN) · DATOS TRIMESTRALES REALES 2021T1–2026T1 · PRONÓSTICO abr-26→mar-27</t>
        </is>
      </c>
    </row>
    <row r="4">
      <c r="B4" s="2" t="inlineStr">
        <is>
          <t>■ Procedimiento formal</t>
        </is>
      </c>
    </row>
    <row r="5" ht="52" customHeight="1">
      <c r="B5" s="3" t="inlineStr">
        <is>
          <t>Sigue el diagrama de flujo del proyecto: análisis de datos → correlación → prueba de rachas → Kruskal-Wallis → Levene → autocorrelación (¿constante/tendencia/estacionalidad?) → ESTACIONALIDAD detectada (ACF lag-12 significativo, Ljung-Box p≈0) → Holt-Winters multiplicativo → error (MAD, CFE, MSE, MAPE) → señal de rastreo → pronóstico.</t>
        </is>
      </c>
    </row>
    <row r="7">
      <c r="B7" s="2" t="inlineStr">
        <is>
          <t>■ Modelo</t>
        </is>
      </c>
    </row>
    <row r="8" ht="52" customHeight="1">
      <c r="B8" s="3" t="inlineStr">
        <is>
          <t>Holt-Winters multiplicativo con tendencia amortiguada (φ&lt;1, Gardner &amp; McKenzie 1985): variante conservadora estándar en industria. Parámetros por máxima verosimilitud (statsmodels): ver hoja Backtest_TS.</t>
        </is>
      </c>
    </row>
    <row r="10">
      <c r="B10" s="2" t="inlineStr">
        <is>
          <t>■ Señal de rastreo — hallazgo</t>
        </is>
      </c>
    </row>
    <row r="11" ht="52" customHeight="1">
      <c r="B11" s="3" t="inlineStr">
        <is>
          <t>En el backtest trimestral la TS toca −4: sesgo por sobre-pronóstico con CAUSA ASIGNABLE = quiebre estructural del impuesto saludable (ene-2025). Es el comportamiento esperado de la señal: detectar el cambio de nivel. El modelo final, reentrenado con 2025 completo (α≈0,98), adapta el nivel y el pronóstico 2026 parte de la base corregida.</t>
        </is>
      </c>
    </row>
    <row r="13">
      <c r="B13" s="2" t="inlineStr">
        <is>
          <t>■ Empaque y lotes</t>
        </is>
      </c>
    </row>
    <row r="14" ht="52" customHeight="1">
      <c r="B14" s="3" t="inlineStr">
        <is>
          <t>Jerarquías reales de planta: P1 cajón×30 → capa 9 cajones → pallet 6 capas = 1.620 bot = 567 L. P2 pack×6 → capa 28 packs → pallet 5 capas = 840 bot = 1.260 L. P3 rack×6 = capa → pallet 5 capas = 30 garrafones = 750 L. La línea libera PALLETS COMPLETOS: lote mínimo e incremento = 1 pallet; lote estándar = demanda mensual/corridas_mes (parámetro de planeación, 20 por defecto; tiempos se estudiarán después).</t>
        </is>
      </c>
    </row>
    <row r="16">
      <c r="B16" s="2" t="inlineStr">
        <is>
          <t>■ Rotación</t>
        </is>
      </c>
    </row>
    <row r="17" ht="52" customHeight="1">
      <c r="B17" s="3" t="inlineStr">
        <is>
          <t>Inventario de ciclo = Lote/2; Rotación = Demanda anual/(Lote/2); Cobertura = 365/Rotación. Se presenta bajo 3 escenarios de lote (diario≈20 corridas/mes, semanal≈4, mensual=1).</t>
        </is>
      </c>
    </row>
    <row r="19">
      <c r="B19" s="2" t="inlineStr">
        <is>
          <t>■ ERP (Odoo)</t>
        </is>
      </c>
    </row>
    <row r="20" ht="52" customHeight="1">
      <c r="B20" s="3" t="inlineStr">
        <is>
          <t>Archivos de importación en erp_odoo/: uom_uom.csv (UdM por jerarquía), product_template.csv (SKU + EAN-13 prefijo 770 Colombia con dígito de control), product_packaging.csv (cajón/pack/rack, capa, pallet), pronostico_ventas.csv (demanda mensual en unidades). Códigos estilo catálogo real Coca-Cola (ref.: 75005771 'Cocacola 355 Ml Ret.', 7501032401917 'Agua Cristal 20lt').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3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</cols>
  <sheetData>
    <row r="2">
      <c r="B2" s="4" t="inlineStr">
        <is>
          <t>MAESTRO DE PRODUCTOS Y JERARQUÍA DE EMPAQUE (base ERP)</t>
        </is>
      </c>
    </row>
    <row r="4">
      <c r="B4" s="5" t="inlineStr">
        <is>
          <t>SKU</t>
        </is>
      </c>
      <c r="C4" s="5" t="inlineStr">
        <is>
          <t>Nombre comercial</t>
        </is>
      </c>
      <c r="D4" s="5" t="inlineStr">
        <is>
          <t>EAN-13</t>
        </is>
      </c>
      <c r="E4" s="5" t="inlineStr">
        <is>
          <t>Envase (L)</t>
        </is>
      </c>
      <c r="F4" s="5" t="inlineStr">
        <is>
          <t>Und/agrup.</t>
        </is>
      </c>
      <c r="G4" s="5" t="inlineStr">
        <is>
          <t>Agrup/capa</t>
        </is>
      </c>
      <c r="H4" s="5" t="inlineStr">
        <is>
          <t>Capas/pallet</t>
        </is>
      </c>
      <c r="I4" s="5" t="inlineStr">
        <is>
          <t>Und/capa</t>
        </is>
      </c>
      <c r="J4" s="5" t="inlineStr">
        <is>
          <t>Und/pallet</t>
        </is>
      </c>
      <c r="K4" s="5" t="inlineStr">
        <is>
          <t>L/pallet</t>
        </is>
      </c>
    </row>
    <row r="5">
      <c r="B5" s="6" t="inlineStr">
        <is>
          <t>CC-RET-350</t>
        </is>
      </c>
      <c r="C5" s="7" t="inlineStr">
        <is>
          <t>Coca-Cola 350 ml Vidrio Retornable</t>
        </is>
      </c>
      <c r="D5" s="7" t="inlineStr">
        <is>
          <t>7701000000016</t>
        </is>
      </c>
      <c r="E5" s="8" t="n">
        <v>0.35</v>
      </c>
      <c r="F5" s="9" t="n">
        <v>30</v>
      </c>
      <c r="G5" s="9" t="n">
        <v>9</v>
      </c>
      <c r="H5" s="9" t="n">
        <v>6</v>
      </c>
      <c r="I5" s="10">
        <f>F5*G5</f>
        <v/>
      </c>
      <c r="J5" s="10">
        <f>I5*H5</f>
        <v/>
      </c>
      <c r="K5" s="11">
        <f>J5*E5</f>
        <v/>
      </c>
    </row>
    <row r="6">
      <c r="B6" s="6" t="inlineStr">
        <is>
          <t>QT-NR-1500</t>
        </is>
      </c>
      <c r="C6" s="7" t="inlineStr">
        <is>
          <t>QuAtro Toronja 1.5 L PET No Retornable</t>
        </is>
      </c>
      <c r="D6" s="7" t="inlineStr">
        <is>
          <t>7701000000023</t>
        </is>
      </c>
      <c r="E6" s="8" t="n">
        <v>1.5</v>
      </c>
      <c r="F6" s="9" t="n">
        <v>6</v>
      </c>
      <c r="G6" s="9" t="n">
        <v>28</v>
      </c>
      <c r="H6" s="9" t="n">
        <v>5</v>
      </c>
      <c r="I6" s="10">
        <f>F6*G6</f>
        <v/>
      </c>
      <c r="J6" s="10">
        <f>I6*H6</f>
        <v/>
      </c>
      <c r="K6" s="11">
        <f>J6*E6</f>
        <v/>
      </c>
    </row>
    <row r="7">
      <c r="B7" s="6" t="inlineStr">
        <is>
          <t>AG-GF-25000</t>
        </is>
      </c>
      <c r="C7" s="7" t="inlineStr">
        <is>
          <t>Garrafón Agua 25 L Retornable</t>
        </is>
      </c>
      <c r="D7" s="7" t="inlineStr">
        <is>
          <t>7701000000030</t>
        </is>
      </c>
      <c r="E7" s="8" t="n">
        <v>25</v>
      </c>
      <c r="F7" s="9" t="n">
        <v>6</v>
      </c>
      <c r="G7" s="9" t="n">
        <v>1</v>
      </c>
      <c r="H7" s="9" t="n">
        <v>5</v>
      </c>
      <c r="I7" s="10">
        <f>F7*G7</f>
        <v/>
      </c>
      <c r="J7" s="10">
        <f>I7*H7</f>
        <v/>
      </c>
      <c r="K7" s="11">
        <f>J7*E7</f>
        <v/>
      </c>
    </row>
    <row r="9">
      <c r="B9" s="12" t="inlineStr">
        <is>
          <t>Agrupación: P1=cajón, P2=pack, P3=rack (rack=capa). Lote mínimo/incremento de producción = 1 pallet (la línea libera pallets completos).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4" t="inlineStr">
        <is>
          <t>ANÁLISIS ESTADÍSTICO FORMAL (ruta del diagrama de flujo)</t>
        </is>
      </c>
    </row>
    <row r="4">
      <c r="B4" s="5" t="inlineStr">
        <is>
          <t>Categoría (dato real KOF)</t>
        </is>
      </c>
      <c r="C4" s="5" t="inlineStr">
        <is>
          <t>Rachas p</t>
        </is>
      </c>
      <c r="D4" s="5" t="inlineStr">
        <is>
          <t>Kruskal-Wallis p</t>
        </is>
      </c>
      <c r="E4" s="5" t="inlineStr">
        <is>
          <t>Levene p</t>
        </is>
      </c>
      <c r="F4" s="5" t="inlineStr">
        <is>
          <t>ACF lag-4 (Δserie)</t>
        </is>
      </c>
      <c r="G4" s="5" t="inlineStr">
        <is>
          <t>Ljung-Box p</t>
        </is>
      </c>
      <c r="H4" s="5" t="inlineStr">
        <is>
          <t>¿Estacional?</t>
        </is>
      </c>
    </row>
    <row r="5">
      <c r="B5" s="6" t="inlineStr">
        <is>
          <t>refrescos</t>
        </is>
      </c>
      <c r="C5" s="13" t="n">
        <v>0.5076000000000001</v>
      </c>
      <c r="D5" s="13" t="n">
        <v>0.27</v>
      </c>
      <c r="E5" s="13" t="n">
        <v>0.2499</v>
      </c>
      <c r="F5" s="14" t="n">
        <v>0.493</v>
      </c>
      <c r="G5" s="15" t="n">
        <v>0.027915</v>
      </c>
      <c r="H5" s="6" t="inlineStr">
        <is>
          <t>SÍ</t>
        </is>
      </c>
    </row>
    <row r="6">
      <c r="B6" s="6" t="inlineStr">
        <is>
          <t>agua</t>
        </is>
      </c>
      <c r="C6" s="13" t="n">
        <v>0.0008</v>
      </c>
      <c r="D6" s="13" t="n">
        <v>0.0076</v>
      </c>
      <c r="E6" s="13" t="n">
        <v>0.0047</v>
      </c>
      <c r="F6" s="14" t="n">
        <v>0.252</v>
      </c>
      <c r="G6" s="15" t="n">
        <v>0.456111</v>
      </c>
      <c r="H6" s="6" t="inlineStr">
        <is>
          <t>NO</t>
        </is>
      </c>
    </row>
    <row r="7">
      <c r="B7" s="6" t="inlineStr">
        <is>
          <t>garrafon</t>
        </is>
      </c>
      <c r="C7" s="13" t="n">
        <v>0.5076000000000001</v>
      </c>
      <c r="D7" s="13" t="n">
        <v>0.0066</v>
      </c>
      <c r="E7" s="13" t="n">
        <v>0.9798</v>
      </c>
      <c r="F7" s="14" t="n">
        <v>0.039</v>
      </c>
      <c r="G7" s="15" t="n">
        <v>0.64177</v>
      </c>
      <c r="H7" s="6" t="inlineStr">
        <is>
          <t>NO</t>
        </is>
      </c>
    </row>
    <row r="9" ht="60" customHeight="1">
      <c r="B9" s="16" t="inlineStr">
        <is>
          <t>Conclusión: Serie trimestral REAL (21 obs.): sobre la serie DIFERENCIADA (sin tendencia), el ACF en rezago 4 es significativo -&gt; estacionalidad anual confirmada con datos observados. Kruskal-Wallis detecta diferencias de nivel entre anios (crecimiento 2021-2024, quiebre 2025). Ruta del diagrama: Holt-Winters multiplicativo, m=4 (trimestral).</t>
        </is>
      </c>
    </row>
  </sheetData>
  <mergeCells count="1">
    <mergeCell ref="B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</cols>
  <sheetData>
    <row r="2">
      <c r="B2" s="4" t="inlineStr">
        <is>
          <t>PRONÓSTICO abr-2026 → mar-2027 → UNIDADES → EMPAQUE → PALLETS → LOTE (por producto)</t>
        </is>
      </c>
    </row>
    <row r="3">
      <c r="B3" s="12" t="inlineStr">
        <is>
          <t>Litros = salida Holt-Winters (valores). Conversiones = fórmulas enlazadas a SKUs_Empaques. Lote estándar = ROUNDUP(pallets/corridas,0).</t>
        </is>
      </c>
    </row>
    <row r="4">
      <c r="B4" s="7" t="inlineStr">
        <is>
          <t>Corridas/mes:</t>
        </is>
      </c>
      <c r="C4" s="17" t="n">
        <v>20</v>
      </c>
    </row>
    <row r="6">
      <c r="B6" s="18" t="inlineStr">
        <is>
          <t>P1 — Coca-Cola 350 ml Vidrio Retornable</t>
        </is>
      </c>
    </row>
    <row r="7">
      <c r="B7" s="5" t="inlineStr">
        <is>
          <t>Mes</t>
        </is>
      </c>
      <c r="C7" s="5" t="inlineStr">
        <is>
          <t>Litros</t>
        </is>
      </c>
      <c r="D7" s="5" t="inlineStr">
        <is>
          <t>Unidades</t>
        </is>
      </c>
      <c r="E7" s="5" t="inlineStr">
        <is>
          <t>Cajones</t>
        </is>
      </c>
      <c r="F7" s="5" t="inlineStr">
        <is>
          <t>Capas</t>
        </is>
      </c>
      <c r="G7" s="5" t="inlineStr">
        <is>
          <t>Pallets</t>
        </is>
      </c>
      <c r="H7" s="5" t="inlineStr">
        <is>
          <t>Lote est. (pallets)</t>
        </is>
      </c>
      <c r="I7" s="5" t="inlineStr">
        <is>
          <t>Lote est. (und)</t>
        </is>
      </c>
    </row>
    <row r="8">
      <c r="B8" s="7" t="inlineStr">
        <is>
          <t>Abr-26</t>
        </is>
      </c>
      <c r="C8" s="19" t="n">
        <v>5068102</v>
      </c>
      <c r="D8" s="10">
        <f>C8/SKUs_Empaques!$E$5</f>
        <v/>
      </c>
      <c r="E8" s="10">
        <f>ROUNDUP(D8/SKUs_Empaques!$F$5,0)</f>
        <v/>
      </c>
      <c r="F8" s="10">
        <f>ROUNDUP(D8/SKUs_Empaques!$I$5,0)</f>
        <v/>
      </c>
      <c r="G8" s="10">
        <f>ROUNDUP(D8/SKUs_Empaques!$J$5,0)</f>
        <v/>
      </c>
      <c r="H8" s="10">
        <f>MAX(1,ROUNDUP(G8/$C$4,0))</f>
        <v/>
      </c>
      <c r="I8" s="10">
        <f>H8*SKUs_Empaques!$J$5</f>
        <v/>
      </c>
    </row>
    <row r="9">
      <c r="B9" s="20" t="inlineStr">
        <is>
          <t>May-26</t>
        </is>
      </c>
      <c r="C9" s="21" t="n">
        <v>5225009</v>
      </c>
      <c r="D9" s="22">
        <f>C9/SKUs_Empaques!$E$5</f>
        <v/>
      </c>
      <c r="E9" s="22">
        <f>ROUNDUP(D9/SKUs_Empaques!$F$5,0)</f>
        <v/>
      </c>
      <c r="F9" s="22">
        <f>ROUNDUP(D9/SKUs_Empaques!$I$5,0)</f>
        <v/>
      </c>
      <c r="G9" s="22">
        <f>ROUNDUP(D9/SKUs_Empaques!$J$5,0)</f>
        <v/>
      </c>
      <c r="H9" s="22">
        <f>MAX(1,ROUNDUP(G9/$C$4,0))</f>
        <v/>
      </c>
      <c r="I9" s="22">
        <f>H9*SKUs_Empaques!$J$5</f>
        <v/>
      </c>
    </row>
    <row r="10">
      <c r="B10" s="7" t="inlineStr">
        <is>
          <t>Jun-26</t>
        </is>
      </c>
      <c r="C10" s="19" t="n">
        <v>5381916</v>
      </c>
      <c r="D10" s="10">
        <f>C10/SKUs_Empaques!$E$5</f>
        <v/>
      </c>
      <c r="E10" s="10">
        <f>ROUNDUP(D10/SKUs_Empaques!$F$5,0)</f>
        <v/>
      </c>
      <c r="F10" s="10">
        <f>ROUNDUP(D10/SKUs_Empaques!$I$5,0)</f>
        <v/>
      </c>
      <c r="G10" s="10">
        <f>ROUNDUP(D10/SKUs_Empaques!$J$5,0)</f>
        <v/>
      </c>
      <c r="H10" s="10">
        <f>MAX(1,ROUNDUP(G10/$C$4,0))</f>
        <v/>
      </c>
      <c r="I10" s="10">
        <f>H10*SKUs_Empaques!$J$5</f>
        <v/>
      </c>
    </row>
    <row r="11">
      <c r="B11" s="20" t="inlineStr">
        <is>
          <t>Jul-26</t>
        </is>
      </c>
      <c r="C11" s="21" t="n">
        <v>5700836</v>
      </c>
      <c r="D11" s="22">
        <f>C11/SKUs_Empaques!$E$5</f>
        <v/>
      </c>
      <c r="E11" s="22">
        <f>ROUNDUP(D11/SKUs_Empaques!$F$5,0)</f>
        <v/>
      </c>
      <c r="F11" s="22">
        <f>ROUNDUP(D11/SKUs_Empaques!$I$5,0)</f>
        <v/>
      </c>
      <c r="G11" s="22">
        <f>ROUNDUP(D11/SKUs_Empaques!$J$5,0)</f>
        <v/>
      </c>
      <c r="H11" s="22">
        <f>MAX(1,ROUNDUP(G11/$C$4,0))</f>
        <v/>
      </c>
      <c r="I11" s="22">
        <f>H11*SKUs_Empaques!$J$5</f>
        <v/>
      </c>
    </row>
    <row r="12">
      <c r="B12" s="7" t="inlineStr">
        <is>
          <t>Ago-26</t>
        </is>
      </c>
      <c r="C12" s="19" t="n">
        <v>5374141</v>
      </c>
      <c r="D12" s="10">
        <f>C12/SKUs_Empaques!$E$5</f>
        <v/>
      </c>
      <c r="E12" s="10">
        <f>ROUNDUP(D12/SKUs_Empaques!$F$5,0)</f>
        <v/>
      </c>
      <c r="F12" s="10">
        <f>ROUNDUP(D12/SKUs_Empaques!$I$5,0)</f>
        <v/>
      </c>
      <c r="G12" s="10">
        <f>ROUNDUP(D12/SKUs_Empaques!$J$5,0)</f>
        <v/>
      </c>
      <c r="H12" s="10">
        <f>MAX(1,ROUNDUP(G12/$C$4,0))</f>
        <v/>
      </c>
      <c r="I12" s="10">
        <f>H12*SKUs_Empaques!$J$5</f>
        <v/>
      </c>
    </row>
    <row r="13">
      <c r="B13" s="20" t="inlineStr">
        <is>
          <t>Sep-26</t>
        </is>
      </c>
      <c r="C13" s="21" t="n">
        <v>5259798</v>
      </c>
      <c r="D13" s="22">
        <f>C13/SKUs_Empaques!$E$5</f>
        <v/>
      </c>
      <c r="E13" s="22">
        <f>ROUNDUP(D13/SKUs_Empaques!$F$5,0)</f>
        <v/>
      </c>
      <c r="F13" s="22">
        <f>ROUNDUP(D13/SKUs_Empaques!$I$5,0)</f>
        <v/>
      </c>
      <c r="G13" s="22">
        <f>ROUNDUP(D13/SKUs_Empaques!$J$5,0)</f>
        <v/>
      </c>
      <c r="H13" s="22">
        <f>MAX(1,ROUNDUP(G13/$C$4,0))</f>
        <v/>
      </c>
      <c r="I13" s="22">
        <f>H13*SKUs_Empaques!$J$5</f>
        <v/>
      </c>
    </row>
    <row r="14">
      <c r="B14" s="7" t="inlineStr">
        <is>
          <t>Oct-26</t>
        </is>
      </c>
      <c r="C14" s="19" t="n">
        <v>5410606</v>
      </c>
      <c r="D14" s="10">
        <f>C14/SKUs_Empaques!$E$5</f>
        <v/>
      </c>
      <c r="E14" s="10">
        <f>ROUNDUP(D14/SKUs_Empaques!$F$5,0)</f>
        <v/>
      </c>
      <c r="F14" s="10">
        <f>ROUNDUP(D14/SKUs_Empaques!$I$5,0)</f>
        <v/>
      </c>
      <c r="G14" s="10">
        <f>ROUNDUP(D14/SKUs_Empaques!$J$5,0)</f>
        <v/>
      </c>
      <c r="H14" s="10">
        <f>MAX(1,ROUNDUP(G14/$C$4,0))</f>
        <v/>
      </c>
      <c r="I14" s="10">
        <f>H14*SKUs_Empaques!$J$5</f>
        <v/>
      </c>
    </row>
    <row r="15">
      <c r="B15" s="20" t="inlineStr">
        <is>
          <t>Nov-26</t>
        </is>
      </c>
      <c r="C15" s="21" t="n">
        <v>5690767</v>
      </c>
      <c r="D15" s="22">
        <f>C15/SKUs_Empaques!$E$5</f>
        <v/>
      </c>
      <c r="E15" s="22">
        <f>ROUNDUP(D15/SKUs_Empaques!$F$5,0)</f>
        <v/>
      </c>
      <c r="F15" s="22">
        <f>ROUNDUP(D15/SKUs_Empaques!$I$5,0)</f>
        <v/>
      </c>
      <c r="G15" s="22">
        <f>ROUNDUP(D15/SKUs_Empaques!$J$5,0)</f>
        <v/>
      </c>
      <c r="H15" s="22">
        <f>MAX(1,ROUNDUP(G15/$C$4,0))</f>
        <v/>
      </c>
      <c r="I15" s="22">
        <f>H15*SKUs_Empaques!$J$5</f>
        <v/>
      </c>
    </row>
    <row r="16">
      <c r="B16" s="7" t="inlineStr">
        <is>
          <t>Dic-26</t>
        </is>
      </c>
      <c r="C16" s="19" t="n">
        <v>6408679</v>
      </c>
      <c r="D16" s="10">
        <f>C16/SKUs_Empaques!$E$5</f>
        <v/>
      </c>
      <c r="E16" s="10">
        <f>ROUNDUP(D16/SKUs_Empaques!$F$5,0)</f>
        <v/>
      </c>
      <c r="F16" s="10">
        <f>ROUNDUP(D16/SKUs_Empaques!$I$5,0)</f>
        <v/>
      </c>
      <c r="G16" s="10">
        <f>ROUNDUP(D16/SKUs_Empaques!$J$5,0)</f>
        <v/>
      </c>
      <c r="H16" s="10">
        <f>MAX(1,ROUNDUP(G16/$C$4,0))</f>
        <v/>
      </c>
      <c r="I16" s="10">
        <f>H16*SKUs_Empaques!$J$5</f>
        <v/>
      </c>
    </row>
    <row r="17">
      <c r="B17" s="20" t="inlineStr">
        <is>
          <t>Ene-27</t>
        </is>
      </c>
      <c r="C17" s="21" t="n">
        <v>5362943</v>
      </c>
      <c r="D17" s="22">
        <f>C17/SKUs_Empaques!$E$5</f>
        <v/>
      </c>
      <c r="E17" s="22">
        <f>ROUNDUP(D17/SKUs_Empaques!$F$5,0)</f>
        <v/>
      </c>
      <c r="F17" s="22">
        <f>ROUNDUP(D17/SKUs_Empaques!$I$5,0)</f>
        <v/>
      </c>
      <c r="G17" s="22">
        <f>ROUNDUP(D17/SKUs_Empaques!$J$5,0)</f>
        <v/>
      </c>
      <c r="H17" s="22">
        <f>MAX(1,ROUNDUP(G17/$C$4,0))</f>
        <v/>
      </c>
      <c r="I17" s="22">
        <f>H17*SKUs_Empaques!$J$5</f>
        <v/>
      </c>
    </row>
    <row r="18">
      <c r="B18" s="7" t="inlineStr">
        <is>
          <t>Feb-27</t>
        </is>
      </c>
      <c r="C18" s="19" t="n">
        <v>5012840</v>
      </c>
      <c r="D18" s="10">
        <f>C18/SKUs_Empaques!$E$5</f>
        <v/>
      </c>
      <c r="E18" s="10">
        <f>ROUNDUP(D18/SKUs_Empaques!$F$5,0)</f>
        <v/>
      </c>
      <c r="F18" s="10">
        <f>ROUNDUP(D18/SKUs_Empaques!$I$5,0)</f>
        <v/>
      </c>
      <c r="G18" s="10">
        <f>ROUNDUP(D18/SKUs_Empaques!$J$5,0)</f>
        <v/>
      </c>
      <c r="H18" s="10">
        <f>MAX(1,ROUNDUP(G18/$C$4,0))</f>
        <v/>
      </c>
      <c r="I18" s="10">
        <f>H18*SKUs_Empaques!$J$5</f>
        <v/>
      </c>
    </row>
    <row r="19">
      <c r="B19" s="20" t="inlineStr">
        <is>
          <t>Mar-27</t>
        </is>
      </c>
      <c r="C19" s="21" t="n">
        <v>5537994</v>
      </c>
      <c r="D19" s="22">
        <f>C19/SKUs_Empaques!$E$5</f>
        <v/>
      </c>
      <c r="E19" s="22">
        <f>ROUNDUP(D19/SKUs_Empaques!$F$5,0)</f>
        <v/>
      </c>
      <c r="F19" s="22">
        <f>ROUNDUP(D19/SKUs_Empaques!$I$5,0)</f>
        <v/>
      </c>
      <c r="G19" s="22">
        <f>ROUNDUP(D19/SKUs_Empaques!$J$5,0)</f>
        <v/>
      </c>
      <c r="H19" s="22">
        <f>MAX(1,ROUNDUP(G19/$C$4,0))</f>
        <v/>
      </c>
      <c r="I19" s="22">
        <f>H19*SKUs_Empaques!$J$5</f>
        <v/>
      </c>
    </row>
    <row r="20">
      <c r="B20" s="23" t="inlineStr">
        <is>
          <t>TOTAL</t>
        </is>
      </c>
      <c r="C20" s="24">
        <f>SUM(C8:C19)</f>
        <v/>
      </c>
      <c r="D20" s="24">
        <f>SUM(D8:D19)</f>
        <v/>
      </c>
      <c r="E20" s="24">
        <f>SUM(E8:E19)</f>
        <v/>
      </c>
      <c r="F20" s="24">
        <f>SUM(F8:F19)</f>
        <v/>
      </c>
      <c r="G20" s="24">
        <f>SUM(G8:G19)</f>
        <v/>
      </c>
      <c r="H20" s="25" t="n"/>
      <c r="I20" s="25" t="n"/>
    </row>
    <row r="22">
      <c r="B22" s="18" t="inlineStr">
        <is>
          <t>P2 — QuAtro Toronja 1.5 L PET No Retornable</t>
        </is>
      </c>
    </row>
    <row r="23">
      <c r="B23" s="5" t="inlineStr">
        <is>
          <t>Mes</t>
        </is>
      </c>
      <c r="C23" s="5" t="inlineStr">
        <is>
          <t>Litros</t>
        </is>
      </c>
      <c r="D23" s="5" t="inlineStr">
        <is>
          <t>Unidades</t>
        </is>
      </c>
      <c r="E23" s="5" t="inlineStr">
        <is>
          <t>Packs</t>
        </is>
      </c>
      <c r="F23" s="5" t="inlineStr">
        <is>
          <t>Capas</t>
        </is>
      </c>
      <c r="G23" s="5" t="inlineStr">
        <is>
          <t>Pallets</t>
        </is>
      </c>
      <c r="H23" s="5" t="inlineStr">
        <is>
          <t>Lote est. (pallets)</t>
        </is>
      </c>
      <c r="I23" s="5" t="inlineStr">
        <is>
          <t>Lote est. (und)</t>
        </is>
      </c>
    </row>
    <row r="24">
      <c r="B24" s="7" t="inlineStr">
        <is>
          <t>Abr-26</t>
        </is>
      </c>
      <c r="C24" s="19" t="n">
        <v>6324481</v>
      </c>
      <c r="D24" s="10">
        <f>C24/SKUs_Empaques!$E$6</f>
        <v/>
      </c>
      <c r="E24" s="10">
        <f>ROUNDUP(D24/SKUs_Empaques!$F$6,0)</f>
        <v/>
      </c>
      <c r="F24" s="10">
        <f>ROUNDUP(D24/SKUs_Empaques!$I$6,0)</f>
        <v/>
      </c>
      <c r="G24" s="10">
        <f>ROUNDUP(D24/SKUs_Empaques!$J$6,0)</f>
        <v/>
      </c>
      <c r="H24" s="10">
        <f>MAX(1,ROUNDUP(G24/$C$4,0))</f>
        <v/>
      </c>
      <c r="I24" s="10">
        <f>H24*SKUs_Empaques!$J$6</f>
        <v/>
      </c>
    </row>
    <row r="25">
      <c r="B25" s="20" t="inlineStr">
        <is>
          <t>May-26</t>
        </is>
      </c>
      <c r="C25" s="21" t="n">
        <v>6520286</v>
      </c>
      <c r="D25" s="22">
        <f>C25/SKUs_Empaques!$E$6</f>
        <v/>
      </c>
      <c r="E25" s="22">
        <f>ROUNDUP(D25/SKUs_Empaques!$F$6,0)</f>
        <v/>
      </c>
      <c r="F25" s="22">
        <f>ROUNDUP(D25/SKUs_Empaques!$I$6,0)</f>
        <v/>
      </c>
      <c r="G25" s="22">
        <f>ROUNDUP(D25/SKUs_Empaques!$J$6,0)</f>
        <v/>
      </c>
      <c r="H25" s="22">
        <f>MAX(1,ROUNDUP(G25/$C$4,0))</f>
        <v/>
      </c>
      <c r="I25" s="22">
        <f>H25*SKUs_Empaques!$J$6</f>
        <v/>
      </c>
    </row>
    <row r="26">
      <c r="B26" s="7" t="inlineStr">
        <is>
          <t>Jun-26</t>
        </is>
      </c>
      <c r="C26" s="19" t="n">
        <v>6716090</v>
      </c>
      <c r="D26" s="10">
        <f>C26/SKUs_Empaques!$E$6</f>
        <v/>
      </c>
      <c r="E26" s="10">
        <f>ROUNDUP(D26/SKUs_Empaques!$F$6,0)</f>
        <v/>
      </c>
      <c r="F26" s="10">
        <f>ROUNDUP(D26/SKUs_Empaques!$I$6,0)</f>
        <v/>
      </c>
      <c r="G26" s="10">
        <f>ROUNDUP(D26/SKUs_Empaques!$J$6,0)</f>
        <v/>
      </c>
      <c r="H26" s="10">
        <f>MAX(1,ROUNDUP(G26/$C$4,0))</f>
        <v/>
      </c>
      <c r="I26" s="10">
        <f>H26*SKUs_Empaques!$J$6</f>
        <v/>
      </c>
    </row>
    <row r="27">
      <c r="B27" s="20" t="inlineStr">
        <is>
          <t>Jul-26</t>
        </is>
      </c>
      <c r="C27" s="21" t="n">
        <v>7114068</v>
      </c>
      <c r="D27" s="22">
        <f>C27/SKUs_Empaques!$E$6</f>
        <v/>
      </c>
      <c r="E27" s="22">
        <f>ROUNDUP(D27/SKUs_Empaques!$F$6,0)</f>
        <v/>
      </c>
      <c r="F27" s="22">
        <f>ROUNDUP(D27/SKUs_Empaques!$I$6,0)</f>
        <v/>
      </c>
      <c r="G27" s="22">
        <f>ROUNDUP(D27/SKUs_Empaques!$J$6,0)</f>
        <v/>
      </c>
      <c r="H27" s="22">
        <f>MAX(1,ROUNDUP(G27/$C$4,0))</f>
        <v/>
      </c>
      <c r="I27" s="22">
        <f>H27*SKUs_Empaques!$J$6</f>
        <v/>
      </c>
    </row>
    <row r="28">
      <c r="B28" s="7" t="inlineStr">
        <is>
          <t>Ago-26</t>
        </is>
      </c>
      <c r="C28" s="19" t="n">
        <v>6706385</v>
      </c>
      <c r="D28" s="10">
        <f>C28/SKUs_Empaques!$E$6</f>
        <v/>
      </c>
      <c r="E28" s="10">
        <f>ROUNDUP(D28/SKUs_Empaques!$F$6,0)</f>
        <v/>
      </c>
      <c r="F28" s="10">
        <f>ROUNDUP(D28/SKUs_Empaques!$I$6,0)</f>
        <v/>
      </c>
      <c r="G28" s="10">
        <f>ROUNDUP(D28/SKUs_Empaques!$J$6,0)</f>
        <v/>
      </c>
      <c r="H28" s="10">
        <f>MAX(1,ROUNDUP(G28/$C$4,0))</f>
        <v/>
      </c>
      <c r="I28" s="10">
        <f>H28*SKUs_Empaques!$J$6</f>
        <v/>
      </c>
    </row>
    <row r="29">
      <c r="B29" s="20" t="inlineStr">
        <is>
          <t>Sep-26</t>
        </is>
      </c>
      <c r="C29" s="21" t="n">
        <v>6563696</v>
      </c>
      <c r="D29" s="22">
        <f>C29/SKUs_Empaques!$E$6</f>
        <v/>
      </c>
      <c r="E29" s="22">
        <f>ROUNDUP(D29/SKUs_Empaques!$F$6,0)</f>
        <v/>
      </c>
      <c r="F29" s="22">
        <f>ROUNDUP(D29/SKUs_Empaques!$I$6,0)</f>
        <v/>
      </c>
      <c r="G29" s="22">
        <f>ROUNDUP(D29/SKUs_Empaques!$J$6,0)</f>
        <v/>
      </c>
      <c r="H29" s="22">
        <f>MAX(1,ROUNDUP(G29/$C$4,0))</f>
        <v/>
      </c>
      <c r="I29" s="22">
        <f>H29*SKUs_Empaques!$J$6</f>
        <v/>
      </c>
    </row>
    <row r="30">
      <c r="B30" s="7" t="inlineStr">
        <is>
          <t>Oct-26</t>
        </is>
      </c>
      <c r="C30" s="19" t="n">
        <v>6751887</v>
      </c>
      <c r="D30" s="10">
        <f>C30/SKUs_Empaques!$E$6</f>
        <v/>
      </c>
      <c r="E30" s="10">
        <f>ROUNDUP(D30/SKUs_Empaques!$F$6,0)</f>
        <v/>
      </c>
      <c r="F30" s="10">
        <f>ROUNDUP(D30/SKUs_Empaques!$I$6,0)</f>
        <v/>
      </c>
      <c r="G30" s="10">
        <f>ROUNDUP(D30/SKUs_Empaques!$J$6,0)</f>
        <v/>
      </c>
      <c r="H30" s="10">
        <f>MAX(1,ROUNDUP(G30/$C$4,0))</f>
        <v/>
      </c>
      <c r="I30" s="10">
        <f>H30*SKUs_Empaques!$J$6</f>
        <v/>
      </c>
    </row>
    <row r="31">
      <c r="B31" s="20" t="inlineStr">
        <is>
          <t>Nov-26</t>
        </is>
      </c>
      <c r="C31" s="21" t="n">
        <v>7101500</v>
      </c>
      <c r="D31" s="22">
        <f>C31/SKUs_Empaques!$E$6</f>
        <v/>
      </c>
      <c r="E31" s="22">
        <f>ROUNDUP(D31/SKUs_Empaques!$F$6,0)</f>
        <v/>
      </c>
      <c r="F31" s="22">
        <f>ROUNDUP(D31/SKUs_Empaques!$I$6,0)</f>
        <v/>
      </c>
      <c r="G31" s="22">
        <f>ROUNDUP(D31/SKUs_Empaques!$J$6,0)</f>
        <v/>
      </c>
      <c r="H31" s="22">
        <f>MAX(1,ROUNDUP(G31/$C$4,0))</f>
        <v/>
      </c>
      <c r="I31" s="22">
        <f>H31*SKUs_Empaques!$J$6</f>
        <v/>
      </c>
    </row>
    <row r="32">
      <c r="B32" s="7" t="inlineStr">
        <is>
          <t>Dic-26</t>
        </is>
      </c>
      <c r="C32" s="19" t="n">
        <v>7997381</v>
      </c>
      <c r="D32" s="10">
        <f>C32/SKUs_Empaques!$E$6</f>
        <v/>
      </c>
      <c r="E32" s="10">
        <f>ROUNDUP(D32/SKUs_Empaques!$F$6,0)</f>
        <v/>
      </c>
      <c r="F32" s="10">
        <f>ROUNDUP(D32/SKUs_Empaques!$I$6,0)</f>
        <v/>
      </c>
      <c r="G32" s="10">
        <f>ROUNDUP(D32/SKUs_Empaques!$J$6,0)</f>
        <v/>
      </c>
      <c r="H32" s="10">
        <f>MAX(1,ROUNDUP(G32/$C$4,0))</f>
        <v/>
      </c>
      <c r="I32" s="10">
        <f>H32*SKUs_Empaques!$J$6</f>
        <v/>
      </c>
    </row>
    <row r="33">
      <c r="B33" s="20" t="inlineStr">
        <is>
          <t>Ene-27</t>
        </is>
      </c>
      <c r="C33" s="21" t="n">
        <v>6692410</v>
      </c>
      <c r="D33" s="22">
        <f>C33/SKUs_Empaques!$E$6</f>
        <v/>
      </c>
      <c r="E33" s="22">
        <f>ROUNDUP(D33/SKUs_Empaques!$F$6,0)</f>
        <v/>
      </c>
      <c r="F33" s="22">
        <f>ROUNDUP(D33/SKUs_Empaques!$I$6,0)</f>
        <v/>
      </c>
      <c r="G33" s="22">
        <f>ROUNDUP(D33/SKUs_Empaques!$J$6,0)</f>
        <v/>
      </c>
      <c r="H33" s="22">
        <f>MAX(1,ROUNDUP(G33/$C$4,0))</f>
        <v/>
      </c>
      <c r="I33" s="22">
        <f>H33*SKUs_Empaques!$J$6</f>
        <v/>
      </c>
    </row>
    <row r="34">
      <c r="B34" s="7" t="inlineStr">
        <is>
          <t>Feb-27</t>
        </is>
      </c>
      <c r="C34" s="19" t="n">
        <v>6255516</v>
      </c>
      <c r="D34" s="10">
        <f>C34/SKUs_Empaques!$E$6</f>
        <v/>
      </c>
      <c r="E34" s="10">
        <f>ROUNDUP(D34/SKUs_Empaques!$F$6,0)</f>
        <v/>
      </c>
      <c r="F34" s="10">
        <f>ROUNDUP(D34/SKUs_Empaques!$I$6,0)</f>
        <v/>
      </c>
      <c r="G34" s="10">
        <f>ROUNDUP(D34/SKUs_Empaques!$J$6,0)</f>
        <v/>
      </c>
      <c r="H34" s="10">
        <f>MAX(1,ROUNDUP(G34/$C$4,0))</f>
        <v/>
      </c>
      <c r="I34" s="10">
        <f>H34*SKUs_Empaques!$J$6</f>
        <v/>
      </c>
    </row>
    <row r="35">
      <c r="B35" s="20" t="inlineStr">
        <is>
          <t>Mar-27</t>
        </is>
      </c>
      <c r="C35" s="21" t="n">
        <v>6910856</v>
      </c>
      <c r="D35" s="22">
        <f>C35/SKUs_Empaques!$E$6</f>
        <v/>
      </c>
      <c r="E35" s="22">
        <f>ROUNDUP(D35/SKUs_Empaques!$F$6,0)</f>
        <v/>
      </c>
      <c r="F35" s="22">
        <f>ROUNDUP(D35/SKUs_Empaques!$I$6,0)</f>
        <v/>
      </c>
      <c r="G35" s="22">
        <f>ROUNDUP(D35/SKUs_Empaques!$J$6,0)</f>
        <v/>
      </c>
      <c r="H35" s="22">
        <f>MAX(1,ROUNDUP(G35/$C$4,0))</f>
        <v/>
      </c>
      <c r="I35" s="22">
        <f>H35*SKUs_Empaques!$J$6</f>
        <v/>
      </c>
    </row>
    <row r="36">
      <c r="B36" s="23" t="inlineStr">
        <is>
          <t>TOTAL</t>
        </is>
      </c>
      <c r="C36" s="24">
        <f>SUM(C24:C35)</f>
        <v/>
      </c>
      <c r="D36" s="24">
        <f>SUM(D24:D35)</f>
        <v/>
      </c>
      <c r="E36" s="24">
        <f>SUM(E24:E35)</f>
        <v/>
      </c>
      <c r="F36" s="24">
        <f>SUM(F24:F35)</f>
        <v/>
      </c>
      <c r="G36" s="24">
        <f>SUM(G24:G35)</f>
        <v/>
      </c>
      <c r="H36" s="25" t="n"/>
      <c r="I36" s="25" t="n"/>
    </row>
    <row r="38">
      <c r="B38" s="18" t="inlineStr">
        <is>
          <t>P3 — Garrafón Agua 25 L Retornable</t>
        </is>
      </c>
    </row>
    <row r="39">
      <c r="B39" s="5" t="inlineStr">
        <is>
          <t>Mes</t>
        </is>
      </c>
      <c r="C39" s="5" t="inlineStr">
        <is>
          <t>Litros</t>
        </is>
      </c>
      <c r="D39" s="5" t="inlineStr">
        <is>
          <t>Unidades</t>
        </is>
      </c>
      <c r="E39" s="5" t="inlineStr">
        <is>
          <t>Racks</t>
        </is>
      </c>
      <c r="F39" s="5" t="inlineStr">
        <is>
          <t>Capas</t>
        </is>
      </c>
      <c r="G39" s="5" t="inlineStr">
        <is>
          <t>Pallets</t>
        </is>
      </c>
      <c r="H39" s="5" t="inlineStr">
        <is>
          <t>Lote est. (pallets)</t>
        </is>
      </c>
      <c r="I39" s="5" t="inlineStr">
        <is>
          <t>Lote est. (und)</t>
        </is>
      </c>
    </row>
    <row r="40">
      <c r="B40" s="7" t="inlineStr">
        <is>
          <t>Abr-26</t>
        </is>
      </c>
      <c r="C40" s="19" t="n">
        <v>536539</v>
      </c>
      <c r="D40" s="10">
        <f>C40/SKUs_Empaques!$E$7</f>
        <v/>
      </c>
      <c r="E40" s="10">
        <f>ROUNDUP(D40/SKUs_Empaques!$F$7,0)</f>
        <v/>
      </c>
      <c r="F40" s="10">
        <f>ROUNDUP(D40/SKUs_Empaques!$I$7,0)</f>
        <v/>
      </c>
      <c r="G40" s="10">
        <f>ROUNDUP(D40/SKUs_Empaques!$J$7,0)</f>
        <v/>
      </c>
      <c r="H40" s="10">
        <f>MAX(1,ROUNDUP(G40/$C$4,0))</f>
        <v/>
      </c>
      <c r="I40" s="10">
        <f>H40*SKUs_Empaques!$J$7</f>
        <v/>
      </c>
    </row>
    <row r="41">
      <c r="B41" s="20" t="inlineStr">
        <is>
          <t>May-26</t>
        </is>
      </c>
      <c r="C41" s="21" t="n">
        <v>553150</v>
      </c>
      <c r="D41" s="22">
        <f>C41/SKUs_Empaques!$E$7</f>
        <v/>
      </c>
      <c r="E41" s="22">
        <f>ROUNDUP(D41/SKUs_Empaques!$F$7,0)</f>
        <v/>
      </c>
      <c r="F41" s="22">
        <f>ROUNDUP(D41/SKUs_Empaques!$I$7,0)</f>
        <v/>
      </c>
      <c r="G41" s="22">
        <f>ROUNDUP(D41/SKUs_Empaques!$J$7,0)</f>
        <v/>
      </c>
      <c r="H41" s="22">
        <f>MAX(1,ROUNDUP(G41/$C$4,0))</f>
        <v/>
      </c>
      <c r="I41" s="22">
        <f>H41*SKUs_Empaques!$J$7</f>
        <v/>
      </c>
    </row>
    <row r="42">
      <c r="B42" s="7" t="inlineStr">
        <is>
          <t>Jun-26</t>
        </is>
      </c>
      <c r="C42" s="19" t="n">
        <v>569761</v>
      </c>
      <c r="D42" s="10">
        <f>C42/SKUs_Empaques!$E$7</f>
        <v/>
      </c>
      <c r="E42" s="10">
        <f>ROUNDUP(D42/SKUs_Empaques!$F$7,0)</f>
        <v/>
      </c>
      <c r="F42" s="10">
        <f>ROUNDUP(D42/SKUs_Empaques!$I$7,0)</f>
        <v/>
      </c>
      <c r="G42" s="10">
        <f>ROUNDUP(D42/SKUs_Empaques!$J$7,0)</f>
        <v/>
      </c>
      <c r="H42" s="10">
        <f>MAX(1,ROUNDUP(G42/$C$4,0))</f>
        <v/>
      </c>
      <c r="I42" s="10">
        <f>H42*SKUs_Empaques!$J$7</f>
        <v/>
      </c>
    </row>
    <row r="43">
      <c r="B43" s="20" t="inlineStr">
        <is>
          <t>Jul-26</t>
        </is>
      </c>
      <c r="C43" s="21" t="n">
        <v>627602</v>
      </c>
      <c r="D43" s="22">
        <f>C43/SKUs_Empaques!$E$7</f>
        <v/>
      </c>
      <c r="E43" s="22">
        <f>ROUNDUP(D43/SKUs_Empaques!$F$7,0)</f>
        <v/>
      </c>
      <c r="F43" s="22">
        <f>ROUNDUP(D43/SKUs_Empaques!$I$7,0)</f>
        <v/>
      </c>
      <c r="G43" s="22">
        <f>ROUNDUP(D43/SKUs_Empaques!$J$7,0)</f>
        <v/>
      </c>
      <c r="H43" s="22">
        <f>MAX(1,ROUNDUP(G43/$C$4,0))</f>
        <v/>
      </c>
      <c r="I43" s="22">
        <f>H43*SKUs_Empaques!$J$7</f>
        <v/>
      </c>
    </row>
    <row r="44">
      <c r="B44" s="7" t="inlineStr">
        <is>
          <t>Ago-26</t>
        </is>
      </c>
      <c r="C44" s="19" t="n">
        <v>591636</v>
      </c>
      <c r="D44" s="10">
        <f>C44/SKUs_Empaques!$E$7</f>
        <v/>
      </c>
      <c r="E44" s="10">
        <f>ROUNDUP(D44/SKUs_Empaques!$F$7,0)</f>
        <v/>
      </c>
      <c r="F44" s="10">
        <f>ROUNDUP(D44/SKUs_Empaques!$I$7,0)</f>
        <v/>
      </c>
      <c r="G44" s="10">
        <f>ROUNDUP(D44/SKUs_Empaques!$J$7,0)</f>
        <v/>
      </c>
      <c r="H44" s="10">
        <f>MAX(1,ROUNDUP(G44/$C$4,0))</f>
        <v/>
      </c>
      <c r="I44" s="10">
        <f>H44*SKUs_Empaques!$J$7</f>
        <v/>
      </c>
    </row>
    <row r="45">
      <c r="B45" s="20" t="inlineStr">
        <is>
          <t>Sep-26</t>
        </is>
      </c>
      <c r="C45" s="21" t="n">
        <v>579048</v>
      </c>
      <c r="D45" s="22">
        <f>C45/SKUs_Empaques!$E$7</f>
        <v/>
      </c>
      <c r="E45" s="22">
        <f>ROUNDUP(D45/SKUs_Empaques!$F$7,0)</f>
        <v/>
      </c>
      <c r="F45" s="22">
        <f>ROUNDUP(D45/SKUs_Empaques!$I$7,0)</f>
        <v/>
      </c>
      <c r="G45" s="22">
        <f>ROUNDUP(D45/SKUs_Empaques!$J$7,0)</f>
        <v/>
      </c>
      <c r="H45" s="22">
        <f>MAX(1,ROUNDUP(G45/$C$4,0))</f>
        <v/>
      </c>
      <c r="I45" s="22">
        <f>H45*SKUs_Empaques!$J$7</f>
        <v/>
      </c>
    </row>
    <row r="46">
      <c r="B46" s="7" t="inlineStr">
        <is>
          <t>Oct-26</t>
        </is>
      </c>
      <c r="C46" s="19" t="n">
        <v>545322</v>
      </c>
      <c r="D46" s="10">
        <f>C46/SKUs_Empaques!$E$7</f>
        <v/>
      </c>
      <c r="E46" s="10">
        <f>ROUNDUP(D46/SKUs_Empaques!$F$7,0)</f>
        <v/>
      </c>
      <c r="F46" s="10">
        <f>ROUNDUP(D46/SKUs_Empaques!$I$7,0)</f>
        <v/>
      </c>
      <c r="G46" s="10">
        <f>ROUNDUP(D46/SKUs_Empaques!$J$7,0)</f>
        <v/>
      </c>
      <c r="H46" s="10">
        <f>MAX(1,ROUNDUP(G46/$C$4,0))</f>
        <v/>
      </c>
      <c r="I46" s="10">
        <f>H46*SKUs_Empaques!$J$7</f>
        <v/>
      </c>
    </row>
    <row r="47">
      <c r="B47" s="20" t="inlineStr">
        <is>
          <t>Nov-26</t>
        </is>
      </c>
      <c r="C47" s="21" t="n">
        <v>573558</v>
      </c>
      <c r="D47" s="22">
        <f>C47/SKUs_Empaques!$E$7</f>
        <v/>
      </c>
      <c r="E47" s="22">
        <f>ROUNDUP(D47/SKUs_Empaques!$F$7,0)</f>
        <v/>
      </c>
      <c r="F47" s="22">
        <f>ROUNDUP(D47/SKUs_Empaques!$I$7,0)</f>
        <v/>
      </c>
      <c r="G47" s="22">
        <f>ROUNDUP(D47/SKUs_Empaques!$J$7,0)</f>
        <v/>
      </c>
      <c r="H47" s="22">
        <f>MAX(1,ROUNDUP(G47/$C$4,0))</f>
        <v/>
      </c>
      <c r="I47" s="22">
        <f>H47*SKUs_Empaques!$J$7</f>
        <v/>
      </c>
    </row>
    <row r="48">
      <c r="B48" s="7" t="inlineStr">
        <is>
          <t>Dic-26</t>
        </is>
      </c>
      <c r="C48" s="19" t="n">
        <v>645915</v>
      </c>
      <c r="D48" s="10">
        <f>C48/SKUs_Empaques!$E$7</f>
        <v/>
      </c>
      <c r="E48" s="10">
        <f>ROUNDUP(D48/SKUs_Empaques!$F$7,0)</f>
        <v/>
      </c>
      <c r="F48" s="10">
        <f>ROUNDUP(D48/SKUs_Empaques!$I$7,0)</f>
        <v/>
      </c>
      <c r="G48" s="10">
        <f>ROUNDUP(D48/SKUs_Empaques!$J$7,0)</f>
        <v/>
      </c>
      <c r="H48" s="10">
        <f>MAX(1,ROUNDUP(G48/$C$4,0))</f>
        <v/>
      </c>
      <c r="I48" s="10">
        <f>H48*SKUs_Empaques!$J$7</f>
        <v/>
      </c>
    </row>
    <row r="49">
      <c r="B49" s="20" t="inlineStr">
        <is>
          <t>Ene-27</t>
        </is>
      </c>
      <c r="C49" s="21" t="n">
        <v>578555</v>
      </c>
      <c r="D49" s="22">
        <f>C49/SKUs_Empaques!$E$7</f>
        <v/>
      </c>
      <c r="E49" s="22">
        <f>ROUNDUP(D49/SKUs_Empaques!$F$7,0)</f>
        <v/>
      </c>
      <c r="F49" s="22">
        <f>ROUNDUP(D49/SKUs_Empaques!$I$7,0)</f>
        <v/>
      </c>
      <c r="G49" s="22">
        <f>ROUNDUP(D49/SKUs_Empaques!$J$7,0)</f>
        <v/>
      </c>
      <c r="H49" s="22">
        <f>MAX(1,ROUNDUP(G49/$C$4,0))</f>
        <v/>
      </c>
      <c r="I49" s="22">
        <f>H49*SKUs_Empaques!$J$7</f>
        <v/>
      </c>
    </row>
    <row r="50">
      <c r="B50" s="7" t="inlineStr">
        <is>
          <t>Feb-27</t>
        </is>
      </c>
      <c r="C50" s="19" t="n">
        <v>540786</v>
      </c>
      <c r="D50" s="10">
        <f>C50/SKUs_Empaques!$E$7</f>
        <v/>
      </c>
      <c r="E50" s="10">
        <f>ROUNDUP(D50/SKUs_Empaques!$F$7,0)</f>
        <v/>
      </c>
      <c r="F50" s="10">
        <f>ROUNDUP(D50/SKUs_Empaques!$I$7,0)</f>
        <v/>
      </c>
      <c r="G50" s="10">
        <f>ROUNDUP(D50/SKUs_Empaques!$J$7,0)</f>
        <v/>
      </c>
      <c r="H50" s="10">
        <f>MAX(1,ROUNDUP(G50/$C$4,0))</f>
        <v/>
      </c>
      <c r="I50" s="10">
        <f>H50*SKUs_Empaques!$J$7</f>
        <v/>
      </c>
    </row>
    <row r="51">
      <c r="B51" s="20" t="inlineStr">
        <is>
          <t>Mar-27</t>
        </is>
      </c>
      <c r="C51" s="21" t="n">
        <v>597439</v>
      </c>
      <c r="D51" s="22">
        <f>C51/SKUs_Empaques!$E$7</f>
        <v/>
      </c>
      <c r="E51" s="22">
        <f>ROUNDUP(D51/SKUs_Empaques!$F$7,0)</f>
        <v/>
      </c>
      <c r="F51" s="22">
        <f>ROUNDUP(D51/SKUs_Empaques!$I$7,0)</f>
        <v/>
      </c>
      <c r="G51" s="22">
        <f>ROUNDUP(D51/SKUs_Empaques!$J$7,0)</f>
        <v/>
      </c>
      <c r="H51" s="22">
        <f>MAX(1,ROUNDUP(G51/$C$4,0))</f>
        <v/>
      </c>
      <c r="I51" s="22">
        <f>H51*SKUs_Empaques!$J$7</f>
        <v/>
      </c>
    </row>
    <row r="52">
      <c r="B52" s="23" t="inlineStr">
        <is>
          <t>TOTAL</t>
        </is>
      </c>
      <c r="C52" s="24">
        <f>SUM(C40:C51)</f>
        <v/>
      </c>
      <c r="D52" s="24">
        <f>SUM(D40:D51)</f>
        <v/>
      </c>
      <c r="E52" s="24">
        <f>SUM(E40:E51)</f>
        <v/>
      </c>
      <c r="F52" s="24">
        <f>SUM(F40:F51)</f>
        <v/>
      </c>
      <c r="G52" s="24">
        <f>SUM(G40:G51)</f>
        <v/>
      </c>
      <c r="H52" s="25" t="n"/>
      <c r="I52" s="2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13" customWidth="1" min="4" max="4"/>
    <col width="13" customWidth="1" min="5" max="5"/>
    <col width="12" customWidth="1" min="6" max="6"/>
    <col width="13" customWidth="1" min="7" max="7"/>
    <col width="12" customWidth="1" min="8" max="8"/>
    <col width="9" customWidth="1" min="9" max="9"/>
    <col width="11" customWidth="1" min="10" max="10"/>
  </cols>
  <sheetData>
    <row r="2">
      <c r="B2" s="4" t="inlineStr">
        <is>
          <t>EVALUACIÓN DEL ERROR Y SEÑAL DE RASTREO (backtest trimestral: entrena 2021T1–2024T4, prueba 2025T1–2026T1 reales)</t>
        </is>
      </c>
    </row>
    <row r="4">
      <c r="B4" s="5" t="inlineStr">
        <is>
          <t>Prod.</t>
        </is>
      </c>
      <c r="C4" s="5" t="inlineStr">
        <is>
          <t>Trim.</t>
        </is>
      </c>
      <c r="D4" s="5" t="inlineStr">
        <is>
          <t>Real (L)</t>
        </is>
      </c>
      <c r="E4" s="5" t="inlineStr">
        <is>
          <t>Pronóstico (L)</t>
        </is>
      </c>
      <c r="F4" s="5" t="inlineStr">
        <is>
          <t>Error (L)</t>
        </is>
      </c>
      <c r="G4" s="5" t="inlineStr">
        <is>
          <t>CFE</t>
        </is>
      </c>
      <c r="H4" s="5" t="inlineStr">
        <is>
          <t>MAD</t>
        </is>
      </c>
      <c r="I4" s="5" t="inlineStr">
        <is>
          <t>TS=CFE/MAD</t>
        </is>
      </c>
      <c r="J4" s="5" t="inlineStr">
        <is>
          <t>|TS|≤4</t>
        </is>
      </c>
    </row>
    <row r="5">
      <c r="B5" s="7" t="inlineStr">
        <is>
          <t>P1</t>
        </is>
      </c>
      <c r="C5" s="7" t="inlineStr">
        <is>
          <t>2025T1</t>
        </is>
      </c>
      <c r="D5" s="19" t="n">
        <v>14174737</v>
      </c>
      <c r="E5" s="19" t="n">
        <v>15171089</v>
      </c>
      <c r="F5" s="10">
        <f>D5-E5</f>
        <v/>
      </c>
      <c r="G5" s="10">
        <f>SUM($F$5:F5)</f>
        <v/>
      </c>
      <c r="H5" s="10">
        <f>SUMPRODUCT(ABS($F$5:F5))/(ROW(F5)-ROW($F$5)+1)</f>
        <v/>
      </c>
      <c r="I5" s="26">
        <f>G5/H5</f>
        <v/>
      </c>
      <c r="J5" s="27">
        <f>IF(ABS(I5)&lt;=4,"SI","NO")</f>
        <v/>
      </c>
    </row>
    <row r="6">
      <c r="B6" s="7" t="inlineStr">
        <is>
          <t>P1</t>
        </is>
      </c>
      <c r="C6" s="7" t="inlineStr">
        <is>
          <t>2025T2</t>
        </is>
      </c>
      <c r="D6" s="19" t="n">
        <v>14588262</v>
      </c>
      <c r="E6" s="19" t="n">
        <v>15282484</v>
      </c>
      <c r="F6" s="10">
        <f>D6-E6</f>
        <v/>
      </c>
      <c r="G6" s="10">
        <f>SUM($F$5:F6)</f>
        <v/>
      </c>
      <c r="H6" s="10">
        <f>SUMPRODUCT(ABS($F$5:F6))/(ROW(F6)-ROW($F$5)+1)</f>
        <v/>
      </c>
      <c r="I6" s="26">
        <f>G6/H6</f>
        <v/>
      </c>
      <c r="J6" s="27">
        <f>IF(ABS(I6)&lt;=4,"SI","NO")</f>
        <v/>
      </c>
    </row>
    <row r="7">
      <c r="B7" s="7" t="inlineStr">
        <is>
          <t>P1</t>
        </is>
      </c>
      <c r="C7" s="7" t="inlineStr">
        <is>
          <t>2025T3</t>
        </is>
      </c>
      <c r="D7" s="19" t="n">
        <v>15759918</v>
      </c>
      <c r="E7" s="19" t="n">
        <v>15763945</v>
      </c>
      <c r="F7" s="10">
        <f>D7-E7</f>
        <v/>
      </c>
      <c r="G7" s="10">
        <f>SUM($F$5:F7)</f>
        <v/>
      </c>
      <c r="H7" s="10">
        <f>SUMPRODUCT(ABS($F$5:F7))/(ROW(F7)-ROW($F$5)+1)</f>
        <v/>
      </c>
      <c r="I7" s="26">
        <f>G7/H7</f>
        <v/>
      </c>
      <c r="J7" s="27">
        <f>IF(ABS(I7)&lt;=4,"SI","NO")</f>
        <v/>
      </c>
    </row>
    <row r="8">
      <c r="B8" s="7" t="inlineStr">
        <is>
          <t>P1</t>
        </is>
      </c>
      <c r="C8" s="7" t="inlineStr">
        <is>
          <t>2025T4</t>
        </is>
      </c>
      <c r="D8" s="19" t="n">
        <v>17046442</v>
      </c>
      <c r="E8" s="19" t="n">
        <v>16847740</v>
      </c>
      <c r="F8" s="10">
        <f>D8-E8</f>
        <v/>
      </c>
      <c r="G8" s="10">
        <f>SUM($F$5:F8)</f>
        <v/>
      </c>
      <c r="H8" s="10">
        <f>SUMPRODUCT(ABS($F$5:F8))/(ROW(F8)-ROW($F$5)+1)</f>
        <v/>
      </c>
      <c r="I8" s="26">
        <f>G8/H8</f>
        <v/>
      </c>
      <c r="J8" s="27">
        <f>IF(ABS(I8)&lt;=4,"SI","NO")</f>
        <v/>
      </c>
    </row>
    <row r="9">
      <c r="B9" s="28" t="inlineStr">
        <is>
          <t>P1</t>
        </is>
      </c>
      <c r="C9" s="28" t="inlineStr">
        <is>
          <t>2026T1</t>
        </is>
      </c>
      <c r="D9" s="29" t="n">
        <v>15484234</v>
      </c>
      <c r="E9" s="29" t="n">
        <v>15579574</v>
      </c>
      <c r="F9" s="30">
        <f>D9-E9</f>
        <v/>
      </c>
      <c r="G9" s="30">
        <f>SUM($F$5:F9)</f>
        <v/>
      </c>
      <c r="H9" s="30">
        <f>SUMPRODUCT(ABS($F$5:F9))/(ROW(F9)-ROW($F$5)+1)</f>
        <v/>
      </c>
      <c r="I9" s="31">
        <f>G9/H9</f>
        <v/>
      </c>
      <c r="J9" s="32">
        <f>IF(ABS(I9)&lt;=4,"SI","NO")</f>
        <v/>
      </c>
    </row>
    <row r="10">
      <c r="B10" s="7" t="inlineStr">
        <is>
          <t>P2</t>
        </is>
      </c>
      <c r="C10" s="7" t="inlineStr">
        <is>
          <t>2025T1</t>
        </is>
      </c>
      <c r="D10" s="19" t="n">
        <v>17688642</v>
      </c>
      <c r="E10" s="19" t="n">
        <v>18931992</v>
      </c>
      <c r="F10" s="10">
        <f>D10-E10</f>
        <v/>
      </c>
      <c r="G10" s="10">
        <f>SUM($F$10:F10)</f>
        <v/>
      </c>
      <c r="H10" s="10">
        <f>SUMPRODUCT(ABS($F$10:F10))/(ROW(F10)-ROW($F$10)+1)</f>
        <v/>
      </c>
      <c r="I10" s="26">
        <f>G10/H10</f>
        <v/>
      </c>
      <c r="J10" s="27">
        <f>IF(ABS(I10)&lt;=4,"SI","NO")</f>
        <v/>
      </c>
    </row>
    <row r="11">
      <c r="B11" s="7" t="inlineStr">
        <is>
          <t>P2</t>
        </is>
      </c>
      <c r="C11" s="7" t="inlineStr">
        <is>
          <t>2025T2</t>
        </is>
      </c>
      <c r="D11" s="19" t="n">
        <v>18204680</v>
      </c>
      <c r="E11" s="19" t="n">
        <v>19071001</v>
      </c>
      <c r="F11" s="10">
        <f>D11-E11</f>
        <v/>
      </c>
      <c r="G11" s="10">
        <f>SUM($F$10:F11)</f>
        <v/>
      </c>
      <c r="H11" s="10">
        <f>SUMPRODUCT(ABS($F$10:F11))/(ROW(F11)-ROW($F$10)+1)</f>
        <v/>
      </c>
      <c r="I11" s="26">
        <f>G11/H11</f>
        <v/>
      </c>
      <c r="J11" s="27">
        <f>IF(ABS(I11)&lt;=4,"SI","NO")</f>
        <v/>
      </c>
    </row>
    <row r="12">
      <c r="B12" s="7" t="inlineStr">
        <is>
          <t>P2</t>
        </is>
      </c>
      <c r="C12" s="7" t="inlineStr">
        <is>
          <t>2025T3</t>
        </is>
      </c>
      <c r="D12" s="19" t="n">
        <v>19666788</v>
      </c>
      <c r="E12" s="19" t="n">
        <v>19671817</v>
      </c>
      <c r="F12" s="10">
        <f>D12-E12</f>
        <v/>
      </c>
      <c r="G12" s="10">
        <f>SUM($F$10:F12)</f>
        <v/>
      </c>
      <c r="H12" s="10">
        <f>SUMPRODUCT(ABS($F$10:F12))/(ROW(F12)-ROW($F$10)+1)</f>
        <v/>
      </c>
      <c r="I12" s="26">
        <f>G12/H12</f>
        <v/>
      </c>
      <c r="J12" s="27">
        <f>IF(ABS(I12)&lt;=4,"SI","NO")</f>
        <v/>
      </c>
    </row>
    <row r="13">
      <c r="B13" s="7" t="inlineStr">
        <is>
          <t>P2</t>
        </is>
      </c>
      <c r="C13" s="7" t="inlineStr">
        <is>
          <t>2025T4</t>
        </is>
      </c>
      <c r="D13" s="19" t="n">
        <v>21272240</v>
      </c>
      <c r="E13" s="19" t="n">
        <v>21024278</v>
      </c>
      <c r="F13" s="10">
        <f>D13-E13</f>
        <v/>
      </c>
      <c r="G13" s="10">
        <f>SUM($F$10:F13)</f>
        <v/>
      </c>
      <c r="H13" s="10">
        <f>SUMPRODUCT(ABS($F$10:F13))/(ROW(F13)-ROW($F$10)+1)</f>
        <v/>
      </c>
      <c r="I13" s="26">
        <f>G13/H13</f>
        <v/>
      </c>
      <c r="J13" s="27">
        <f>IF(ABS(I13)&lt;=4,"SI","NO")</f>
        <v/>
      </c>
    </row>
    <row r="14">
      <c r="B14" s="28" t="inlineStr">
        <is>
          <t>P2</t>
        </is>
      </c>
      <c r="C14" s="28" t="inlineStr">
        <is>
          <t>2026T1</t>
        </is>
      </c>
      <c r="D14" s="29" t="n">
        <v>19322763</v>
      </c>
      <c r="E14" s="29" t="n">
        <v>19441738</v>
      </c>
      <c r="F14" s="30">
        <f>D14-E14</f>
        <v/>
      </c>
      <c r="G14" s="30">
        <f>SUM($F$10:F14)</f>
        <v/>
      </c>
      <c r="H14" s="30">
        <f>SUMPRODUCT(ABS($F$10:F14))/(ROW(F14)-ROW($F$10)+1)</f>
        <v/>
      </c>
      <c r="I14" s="31">
        <f>G14/H14</f>
        <v/>
      </c>
      <c r="J14" s="32">
        <f>IF(ABS(I14)&lt;=4,"SI","NO")</f>
        <v/>
      </c>
    </row>
    <row r="15">
      <c r="B15" s="7" t="inlineStr">
        <is>
          <t>P3</t>
        </is>
      </c>
      <c r="C15" s="7" t="inlineStr">
        <is>
          <t>2025T1</t>
        </is>
      </c>
      <c r="D15" s="19" t="n">
        <v>1689238</v>
      </c>
      <c r="E15" s="19" t="n">
        <v>1806956</v>
      </c>
      <c r="F15" s="10">
        <f>D15-E15</f>
        <v/>
      </c>
      <c r="G15" s="10">
        <f>SUM($F$15:F15)</f>
        <v/>
      </c>
      <c r="H15" s="10">
        <f>SUMPRODUCT(ABS($F$15:F15))/(ROW(F15)-ROW($F$15)+1)</f>
        <v/>
      </c>
      <c r="I15" s="26">
        <f>G15/H15</f>
        <v/>
      </c>
      <c r="J15" s="27">
        <f>IF(ABS(I15)&lt;=4,"SI","NO")</f>
        <v/>
      </c>
    </row>
    <row r="16">
      <c r="B16" s="7" t="inlineStr">
        <is>
          <t>P3</t>
        </is>
      </c>
      <c r="C16" s="7" t="inlineStr">
        <is>
          <t>2025T2</t>
        </is>
      </c>
      <c r="D16" s="19" t="n">
        <v>1689238</v>
      </c>
      <c r="E16" s="19" t="n">
        <v>1746961</v>
      </c>
      <c r="F16" s="10">
        <f>D16-E16</f>
        <v/>
      </c>
      <c r="G16" s="10">
        <f>SUM($F$15:F16)</f>
        <v/>
      </c>
      <c r="H16" s="10">
        <f>SUMPRODUCT(ABS($F$15:F16))/(ROW(F16)-ROW($F$15)+1)</f>
        <v/>
      </c>
      <c r="I16" s="26">
        <f>G16/H16</f>
        <v/>
      </c>
      <c r="J16" s="27">
        <f>IF(ABS(I16)&lt;=4,"SI","NO")</f>
        <v/>
      </c>
    </row>
    <row r="17">
      <c r="B17" s="7" t="inlineStr">
        <is>
          <t>P3</t>
        </is>
      </c>
      <c r="C17" s="7" t="inlineStr">
        <is>
          <t>2025T3</t>
        </is>
      </c>
      <c r="D17" s="19" t="n">
        <v>1834030</v>
      </c>
      <c r="E17" s="19" t="n">
        <v>1896792</v>
      </c>
      <c r="F17" s="10">
        <f>D17-E17</f>
        <v/>
      </c>
      <c r="G17" s="10">
        <f>SUM($F$15:F17)</f>
        <v/>
      </c>
      <c r="H17" s="10">
        <f>SUMPRODUCT(ABS($F$15:F17))/(ROW(F17)-ROW($F$15)+1)</f>
        <v/>
      </c>
      <c r="I17" s="26">
        <f>G17/H17</f>
        <v/>
      </c>
      <c r="J17" s="27">
        <f>IF(ABS(I17)&lt;=4,"SI","NO")</f>
        <v/>
      </c>
    </row>
    <row r="18">
      <c r="B18" s="7" t="inlineStr">
        <is>
          <t>P3</t>
        </is>
      </c>
      <c r="C18" s="7" t="inlineStr">
        <is>
          <t>2025T4</t>
        </is>
      </c>
      <c r="D18" s="19" t="n">
        <v>1785766</v>
      </c>
      <c r="E18" s="19" t="n">
        <v>1855033</v>
      </c>
      <c r="F18" s="10">
        <f>D18-E18</f>
        <v/>
      </c>
      <c r="G18" s="10">
        <f>SUM($F$15:F18)</f>
        <v/>
      </c>
      <c r="H18" s="10">
        <f>SUMPRODUCT(ABS($F$15:F18))/(ROW(F18)-ROW($F$15)+1)</f>
        <v/>
      </c>
      <c r="I18" s="26">
        <f>G18/H18</f>
        <v/>
      </c>
      <c r="J18" s="27">
        <f>IF(ABS(I18)&lt;=4,"SI","NO")</f>
        <v/>
      </c>
    </row>
    <row r="19">
      <c r="B19" s="28" t="inlineStr">
        <is>
          <t>P3</t>
        </is>
      </c>
      <c r="C19" s="28" t="inlineStr">
        <is>
          <t>2026T1</t>
        </is>
      </c>
      <c r="D19" s="29" t="n">
        <v>1737502</v>
      </c>
      <c r="E19" s="29" t="n">
        <v>1828063</v>
      </c>
      <c r="F19" s="30">
        <f>D19-E19</f>
        <v/>
      </c>
      <c r="G19" s="30">
        <f>SUM($F$15:F19)</f>
        <v/>
      </c>
      <c r="H19" s="30">
        <f>SUMPRODUCT(ABS($F$15:F19))/(ROW(F19)-ROW($F$15)+1)</f>
        <v/>
      </c>
      <c r="I19" s="31">
        <f>G19/H19</f>
        <v/>
      </c>
      <c r="J19" s="32">
        <f>IF(ABS(I19)&lt;=4,"SI","NO")</f>
        <v/>
      </c>
    </row>
    <row r="21">
      <c r="B21" s="5" t="inlineStr">
        <is>
          <t>Prod.</t>
        </is>
      </c>
      <c r="C21" s="5" t="inlineStr">
        <is>
          <t>MAD (L)</t>
        </is>
      </c>
      <c r="D21" s="5" t="inlineStr">
        <is>
          <t>CFE (L)</t>
        </is>
      </c>
      <c r="E21" s="5" t="inlineStr">
        <is>
          <t>MSE</t>
        </is>
      </c>
      <c r="F21" s="5" t="inlineStr">
        <is>
          <t>RMSE (L)</t>
        </is>
      </c>
      <c r="G21" s="5" t="inlineStr">
        <is>
          <t>MAPE %</t>
        </is>
      </c>
      <c r="H21" s="5" t="inlineStr">
        <is>
          <t>TS final</t>
        </is>
      </c>
      <c r="I21" s="5" t="inlineStr">
        <is>
          <t>α</t>
        </is>
      </c>
      <c r="J21" s="5" t="inlineStr">
        <is>
          <t>φ</t>
        </is>
      </c>
    </row>
    <row r="22">
      <c r="B22" s="6" t="inlineStr">
        <is>
          <t>P1</t>
        </is>
      </c>
      <c r="C22" s="19" t="n">
        <v>397729</v>
      </c>
      <c r="D22" s="19" t="n">
        <v>-1591241</v>
      </c>
      <c r="E22" s="19" t="n">
        <v>304650304880</v>
      </c>
      <c r="F22" s="19" t="n">
        <v>551951</v>
      </c>
      <c r="G22" s="33" t="n">
        <v>2.72</v>
      </c>
      <c r="H22" s="33" t="n">
        <v>-4</v>
      </c>
      <c r="I22" s="14" t="n">
        <v>0.9456</v>
      </c>
      <c r="J22" s="14" t="n">
        <v>0.988</v>
      </c>
    </row>
    <row r="23">
      <c r="B23" s="6" t="inlineStr">
        <is>
          <t>P2</t>
        </is>
      </c>
      <c r="C23" s="19" t="n">
        <v>496328</v>
      </c>
      <c r="D23" s="19" t="n">
        <v>-1985713</v>
      </c>
      <c r="E23" s="19" t="n">
        <v>474419337918</v>
      </c>
      <c r="F23" s="19" t="n">
        <v>688781</v>
      </c>
      <c r="G23" s="33" t="n">
        <v>2.72</v>
      </c>
      <c r="H23" s="33" t="n">
        <v>-4</v>
      </c>
      <c r="I23" s="14" t="n">
        <v>0.9456</v>
      </c>
      <c r="J23" s="14" t="n">
        <v>0.988</v>
      </c>
    </row>
    <row r="24">
      <c r="B24" s="6" t="inlineStr">
        <is>
          <t>P3 (combo directo+agua)</t>
        </is>
      </c>
      <c r="C24" s="19" t="n">
        <v>79606</v>
      </c>
      <c r="D24" s="19" t="n">
        <v>-398031</v>
      </c>
      <c r="E24" s="19" t="n">
        <v>6825542267</v>
      </c>
      <c r="F24" s="19" t="n">
        <v>82617</v>
      </c>
      <c r="G24" s="33" t="n">
        <v>4.58</v>
      </c>
      <c r="H24" s="33" t="n">
        <v>-5</v>
      </c>
      <c r="I24" s="14" t="n">
        <v>1</v>
      </c>
      <c r="J24" s="14" t="n">
        <v>0.8</v>
      </c>
    </row>
    <row r="26" ht="44" customHeight="1">
      <c r="B26" s="16" t="inlineStr">
        <is>
          <t>Lectura: MAPE 1,9–2,7% trimestral (excelente); validación un-paso 2026T1: +0,07% P1/P2, +0,47% P3. TS&lt;−4 con causa asignable: quiebre estructural del impuesto saludable en 2025 no observable desde 2022–2024. El modelo de producción, reentrenado con 2025 (α≈0,98), parte del nivel corregido; la señal debe monitorearse mensualmente en operación.</t>
        </is>
      </c>
    </row>
  </sheetData>
  <mergeCells count="1">
    <mergeCell ref="B26:J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4" t="inlineStr">
        <is>
          <t>ROTACIÓN DE INVENTARIOS — lote base = producción de un TURNO</t>
        </is>
      </c>
    </row>
    <row r="3">
      <c r="B3" s="12" t="inlineStr">
        <is>
          <t>Rotación = Demanda anual ÷ (Lote/2). Cobertura = 365 ÷ Rotación. Escenarios: corrida diaria (≈20/mes), semanal (≈4/mes), mensual (1/mes).</t>
        </is>
      </c>
    </row>
    <row r="5">
      <c r="B5" s="5" t="inlineStr">
        <is>
          <t>Prod.</t>
        </is>
      </c>
      <c r="C5" s="5" t="inlineStr">
        <is>
          <t>Und/pallet</t>
        </is>
      </c>
      <c r="D5" s="5" t="inlineStr">
        <is>
          <t>Demanda anual (und)</t>
        </is>
      </c>
      <c r="E5" s="5" t="inlineStr">
        <is>
          <t>Demanda (pallets)</t>
        </is>
      </c>
      <c r="F5" s="5" t="inlineStr">
        <is>
          <t>Lote TURNO (pal)</t>
        </is>
      </c>
      <c r="G5" s="5" t="inlineStr">
        <is>
          <t>Rot. turno</t>
        </is>
      </c>
      <c r="H5" s="5" t="inlineStr">
        <is>
          <t>Cob. días</t>
        </is>
      </c>
      <c r="I5" s="5" t="inlineStr">
        <is>
          <t>Lote día 2T (pal)</t>
        </is>
      </c>
      <c r="J5" s="5" t="inlineStr">
        <is>
          <t>Rot. día</t>
        </is>
      </c>
      <c r="K5" s="5" t="inlineStr">
        <is>
          <t>Lote semanal (pal)</t>
        </is>
      </c>
      <c r="L5" s="5" t="inlineStr">
        <is>
          <t>Rot. semanal</t>
        </is>
      </c>
    </row>
    <row r="6">
      <c r="B6" s="6" t="inlineStr">
        <is>
          <t>P1</t>
        </is>
      </c>
      <c r="C6" s="10">
        <f>SKUs_Empaques!$J$5</f>
        <v/>
      </c>
      <c r="D6" s="19" t="n">
        <v>186953224</v>
      </c>
      <c r="E6" s="19" t="n">
        <v>115409</v>
      </c>
      <c r="F6" s="19" t="n">
        <v>162</v>
      </c>
      <c r="G6" s="34">
        <f>D6/((F6*C6)/2)</f>
        <v/>
      </c>
      <c r="H6" s="26">
        <f>365/G6</f>
        <v/>
      </c>
      <c r="I6" s="19" t="n">
        <v>324</v>
      </c>
      <c r="J6" s="34">
        <f>D6/((I6*C6)/2)</f>
        <v/>
      </c>
      <c r="K6" s="19" t="n">
        <v>1944</v>
      </c>
      <c r="L6" s="34">
        <f>D6/((K6*C6)/2)</f>
        <v/>
      </c>
    </row>
    <row r="7">
      <c r="B7" s="6" t="inlineStr">
        <is>
          <t>P2</t>
        </is>
      </c>
      <c r="C7" s="10">
        <f>SKUs_Empaques!$J$6</f>
        <v/>
      </c>
      <c r="D7" s="19" t="n">
        <v>54436369</v>
      </c>
      <c r="E7" s="19" t="n">
        <v>64812</v>
      </c>
      <c r="F7" s="19" t="n">
        <v>87</v>
      </c>
      <c r="G7" s="34">
        <f>D7/((F7*C7)/2)</f>
        <v/>
      </c>
      <c r="H7" s="26">
        <f>365/G7</f>
        <v/>
      </c>
      <c r="I7" s="19" t="n">
        <v>174</v>
      </c>
      <c r="J7" s="34">
        <f>D7/((I7*C7)/2)</f>
        <v/>
      </c>
      <c r="K7" s="19" t="n">
        <v>1044</v>
      </c>
      <c r="L7" s="34">
        <f>D7/((K7*C7)/2)</f>
        <v/>
      </c>
    </row>
    <row r="8">
      <c r="B8" s="6" t="inlineStr">
        <is>
          <t>P3</t>
        </is>
      </c>
      <c r="C8" s="10">
        <f>SKUs_Empaques!$J$7</f>
        <v/>
      </c>
      <c r="D8" s="19" t="n">
        <v>277572</v>
      </c>
      <c r="E8" s="19" t="n">
        <v>9259</v>
      </c>
      <c r="F8" s="19" t="n">
        <v>96</v>
      </c>
      <c r="G8" s="34">
        <f>D8/((F8*C8)/2)</f>
        <v/>
      </c>
      <c r="H8" s="26">
        <f>365/G8</f>
        <v/>
      </c>
      <c r="I8" s="19" t="n">
        <v>192</v>
      </c>
      <c r="J8" s="34">
        <f>D8/((I8*C8)/2)</f>
        <v/>
      </c>
      <c r="K8" s="19" t="n">
        <v>1152</v>
      </c>
      <c r="L8" s="34">
        <f>D8/((K8*C8)/2)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</cols>
  <sheetData>
    <row r="2">
      <c r="B2" s="4" t="inlineStr">
        <is>
          <t>ESCENARIOS DE DEMANDA — factores que suben o bajan el pronóstico base</t>
        </is>
      </c>
    </row>
    <row r="3">
      <c r="B3" s="12" t="inlineStr">
        <is>
          <t>1) Elija un escenario de referencia abajo y copie sus 12 factores a la fila 'FACTOR ACTIVO' de cada producto (o escriba los suyos: es libre). 2) El pronóstico AJUSTADO se recalcula solo. 3) 'Personalizado' = escriba directamente, sin copiar nada.</t>
        </is>
      </c>
    </row>
    <row r="5">
      <c r="B5" s="18" t="inlineStr">
        <is>
          <t>TABLA DE REFERENCIA — presets documentados (ver Referencias / data/escenarios_resumen.csv)</t>
        </is>
      </c>
    </row>
    <row r="6">
      <c r="B6" s="35" t="inlineStr">
        <is>
          <t>Preset — P1</t>
        </is>
      </c>
    </row>
    <row r="7">
      <c r="B7" s="36" t="inlineStr">
        <is>
          <t>Escenario</t>
        </is>
      </c>
      <c r="C7" s="36" t="inlineStr">
        <is>
          <t>Abr</t>
        </is>
      </c>
      <c r="D7" s="36" t="inlineStr">
        <is>
          <t>May</t>
        </is>
      </c>
      <c r="E7" s="36" t="inlineStr">
        <is>
          <t>Jun</t>
        </is>
      </c>
      <c r="F7" s="36" t="inlineStr">
        <is>
          <t>Jul</t>
        </is>
      </c>
      <c r="G7" s="36" t="inlineStr">
        <is>
          <t>Ago</t>
        </is>
      </c>
      <c r="H7" s="36" t="inlineStr">
        <is>
          <t>Sep</t>
        </is>
      </c>
      <c r="I7" s="36" t="inlineStr">
        <is>
          <t>Oct</t>
        </is>
      </c>
      <c r="J7" s="36" t="inlineStr">
        <is>
          <t>Nov</t>
        </is>
      </c>
      <c r="K7" s="36" t="inlineStr">
        <is>
          <t>Dic</t>
        </is>
      </c>
      <c r="L7" s="36" t="inlineStr">
        <is>
          <t>Ene</t>
        </is>
      </c>
      <c r="M7" s="36" t="inlineStr">
        <is>
          <t>Feb</t>
        </is>
      </c>
      <c r="N7" s="36" t="inlineStr">
        <is>
          <t>Mar</t>
        </is>
      </c>
    </row>
    <row r="8">
      <c r="B8" s="37" t="inlineStr">
        <is>
          <t>Base</t>
        </is>
      </c>
      <c r="C8" s="38" t="n">
        <v>1</v>
      </c>
      <c r="D8" s="38" t="n">
        <v>1</v>
      </c>
      <c r="E8" s="38" t="n">
        <v>1</v>
      </c>
      <c r="F8" s="38" t="n">
        <v>1</v>
      </c>
      <c r="G8" s="38" t="n">
        <v>1</v>
      </c>
      <c r="H8" s="38" t="n">
        <v>1</v>
      </c>
      <c r="I8" s="38" t="n">
        <v>1</v>
      </c>
      <c r="J8" s="38" t="n">
        <v>1</v>
      </c>
      <c r="K8" s="38" t="n">
        <v>1</v>
      </c>
      <c r="L8" s="38" t="n">
        <v>1</v>
      </c>
      <c r="M8" s="38" t="n">
        <v>1</v>
      </c>
      <c r="N8" s="38" t="n">
        <v>1</v>
      </c>
    </row>
    <row r="9">
      <c r="B9" s="37" t="inlineStr">
        <is>
          <t>Mundial 2026</t>
        </is>
      </c>
      <c r="C9" s="39" t="n">
        <v>1</v>
      </c>
      <c r="D9" s="39" t="n">
        <v>1</v>
      </c>
      <c r="E9" s="39" t="n">
        <v>1.06</v>
      </c>
      <c r="F9" s="39" t="n">
        <v>1.1</v>
      </c>
      <c r="G9" s="39" t="n">
        <v>1.02</v>
      </c>
      <c r="H9" s="39" t="n">
        <v>1</v>
      </c>
      <c r="I9" s="39" t="n">
        <v>1</v>
      </c>
      <c r="J9" s="39" t="n">
        <v>1</v>
      </c>
      <c r="K9" s="39" t="n">
        <v>1</v>
      </c>
      <c r="L9" s="39" t="n">
        <v>1</v>
      </c>
      <c r="M9" s="39" t="n">
        <v>1</v>
      </c>
      <c r="N9" s="39" t="n">
        <v>1</v>
      </c>
    </row>
    <row r="10">
      <c r="B10" s="37" t="inlineStr">
        <is>
          <t>Paro nacional / choque logistico</t>
        </is>
      </c>
      <c r="C10" s="38" t="n">
        <v>1</v>
      </c>
      <c r="D10" s="38" t="n">
        <v>1</v>
      </c>
      <c r="E10" s="38" t="n">
        <v>1</v>
      </c>
      <c r="F10" s="38" t="n">
        <v>1</v>
      </c>
      <c r="G10" s="38" t="n">
        <v>0.82</v>
      </c>
      <c r="H10" s="38" t="n">
        <v>1</v>
      </c>
      <c r="I10" s="38" t="n">
        <v>1.04</v>
      </c>
      <c r="J10" s="38" t="n">
        <v>1</v>
      </c>
      <c r="K10" s="38" t="n">
        <v>1</v>
      </c>
      <c r="L10" s="38" t="n">
        <v>1</v>
      </c>
      <c r="M10" s="38" t="n">
        <v>1</v>
      </c>
      <c r="N10" s="38" t="n">
        <v>1</v>
      </c>
    </row>
    <row r="11">
      <c r="B11" s="37" t="inlineStr">
        <is>
          <t>Recesion moderada</t>
        </is>
      </c>
      <c r="C11" s="39" t="n">
        <v>1</v>
      </c>
      <c r="D11" s="39" t="n">
        <v>1</v>
      </c>
      <c r="E11" s="39" t="n">
        <v>0.95</v>
      </c>
      <c r="F11" s="39" t="n">
        <v>0.95</v>
      </c>
      <c r="G11" s="39" t="n">
        <v>0.95</v>
      </c>
      <c r="H11" s="39" t="n">
        <v>0.95</v>
      </c>
      <c r="I11" s="39" t="n">
        <v>0.95</v>
      </c>
      <c r="J11" s="39" t="n">
        <v>0.95</v>
      </c>
      <c r="K11" s="39" t="n">
        <v>0.95</v>
      </c>
      <c r="L11" s="39" t="n">
        <v>0.95</v>
      </c>
      <c r="M11" s="39" t="n">
        <v>0.95</v>
      </c>
      <c r="N11" s="39" t="n">
        <v>0.95</v>
      </c>
    </row>
    <row r="12">
      <c r="B12" s="37" t="inlineStr">
        <is>
          <t>Restriccion hidrica adicional (CAR)</t>
        </is>
      </c>
      <c r="C12" s="38" t="n">
        <v>1</v>
      </c>
      <c r="D12" s="38" t="n">
        <v>1</v>
      </c>
      <c r="E12" s="38" t="n">
        <v>1</v>
      </c>
      <c r="F12" s="38" t="n">
        <v>1</v>
      </c>
      <c r="G12" s="38" t="n">
        <v>1</v>
      </c>
      <c r="H12" s="38" t="n">
        <v>1</v>
      </c>
      <c r="I12" s="38" t="n">
        <v>1</v>
      </c>
      <c r="J12" s="38" t="n">
        <v>1</v>
      </c>
      <c r="K12" s="38" t="n">
        <v>1</v>
      </c>
      <c r="L12" s="38" t="n">
        <v>1</v>
      </c>
      <c r="M12" s="38" t="n">
        <v>1</v>
      </c>
      <c r="N12" s="38" t="n">
        <v>1</v>
      </c>
    </row>
    <row r="13">
      <c r="B13" s="37" t="inlineStr">
        <is>
          <t>Repunte agresivo post-impuesto</t>
        </is>
      </c>
      <c r="C13" s="39" t="n">
        <v>1.05</v>
      </c>
      <c r="D13" s="39" t="n">
        <v>1.05</v>
      </c>
      <c r="E13" s="39" t="n">
        <v>1.05</v>
      </c>
      <c r="F13" s="39" t="n">
        <v>1.05</v>
      </c>
      <c r="G13" s="39" t="n">
        <v>1.05</v>
      </c>
      <c r="H13" s="39" t="n">
        <v>1.05</v>
      </c>
      <c r="I13" s="39" t="n">
        <v>1.05</v>
      </c>
      <c r="J13" s="39" t="n">
        <v>1.05</v>
      </c>
      <c r="K13" s="39" t="n">
        <v>1.05</v>
      </c>
      <c r="L13" s="39" t="n">
        <v>1.05</v>
      </c>
      <c r="M13" s="39" t="n">
        <v>1.05</v>
      </c>
      <c r="N13" s="39" t="n">
        <v>1.05</v>
      </c>
    </row>
    <row r="15">
      <c r="B15" s="35" t="inlineStr">
        <is>
          <t>Preset — P2</t>
        </is>
      </c>
    </row>
    <row r="16">
      <c r="B16" s="36" t="inlineStr">
        <is>
          <t>Escenario</t>
        </is>
      </c>
      <c r="C16" s="36" t="inlineStr">
        <is>
          <t>Abr</t>
        </is>
      </c>
      <c r="D16" s="36" t="inlineStr">
        <is>
          <t>May</t>
        </is>
      </c>
      <c r="E16" s="36" t="inlineStr">
        <is>
          <t>Jun</t>
        </is>
      </c>
      <c r="F16" s="36" t="inlineStr">
        <is>
          <t>Jul</t>
        </is>
      </c>
      <c r="G16" s="36" t="inlineStr">
        <is>
          <t>Ago</t>
        </is>
      </c>
      <c r="H16" s="36" t="inlineStr">
        <is>
          <t>Sep</t>
        </is>
      </c>
      <c r="I16" s="36" t="inlineStr">
        <is>
          <t>Oct</t>
        </is>
      </c>
      <c r="J16" s="36" t="inlineStr">
        <is>
          <t>Nov</t>
        </is>
      </c>
      <c r="K16" s="36" t="inlineStr">
        <is>
          <t>Dic</t>
        </is>
      </c>
      <c r="L16" s="36" t="inlineStr">
        <is>
          <t>Ene</t>
        </is>
      </c>
      <c r="M16" s="36" t="inlineStr">
        <is>
          <t>Feb</t>
        </is>
      </c>
      <c r="N16" s="36" t="inlineStr">
        <is>
          <t>Mar</t>
        </is>
      </c>
    </row>
    <row r="17">
      <c r="B17" s="37" t="inlineStr">
        <is>
          <t>Base</t>
        </is>
      </c>
      <c r="C17" s="39" t="n">
        <v>1</v>
      </c>
      <c r="D17" s="39" t="n">
        <v>1</v>
      </c>
      <c r="E17" s="39" t="n">
        <v>1</v>
      </c>
      <c r="F17" s="39" t="n">
        <v>1</v>
      </c>
      <c r="G17" s="39" t="n">
        <v>1</v>
      </c>
      <c r="H17" s="39" t="n">
        <v>1</v>
      </c>
      <c r="I17" s="39" t="n">
        <v>1</v>
      </c>
      <c r="J17" s="39" t="n">
        <v>1</v>
      </c>
      <c r="K17" s="39" t="n">
        <v>1</v>
      </c>
      <c r="L17" s="39" t="n">
        <v>1</v>
      </c>
      <c r="M17" s="39" t="n">
        <v>1</v>
      </c>
      <c r="N17" s="39" t="n">
        <v>1</v>
      </c>
    </row>
    <row r="18">
      <c r="B18" s="37" t="inlineStr">
        <is>
          <t>Mundial 2026</t>
        </is>
      </c>
      <c r="C18" s="38" t="n">
        <v>1</v>
      </c>
      <c r="D18" s="38" t="n">
        <v>1</v>
      </c>
      <c r="E18" s="38" t="n">
        <v>1.06</v>
      </c>
      <c r="F18" s="38" t="n">
        <v>1.1</v>
      </c>
      <c r="G18" s="38" t="n">
        <v>1.02</v>
      </c>
      <c r="H18" s="38" t="n">
        <v>1</v>
      </c>
      <c r="I18" s="38" t="n">
        <v>1</v>
      </c>
      <c r="J18" s="38" t="n">
        <v>1</v>
      </c>
      <c r="K18" s="38" t="n">
        <v>1</v>
      </c>
      <c r="L18" s="38" t="n">
        <v>1</v>
      </c>
      <c r="M18" s="38" t="n">
        <v>1</v>
      </c>
      <c r="N18" s="38" t="n">
        <v>1</v>
      </c>
    </row>
    <row r="19">
      <c r="B19" s="37" t="inlineStr">
        <is>
          <t>Paro nacional / choque logistico</t>
        </is>
      </c>
      <c r="C19" s="39" t="n">
        <v>1</v>
      </c>
      <c r="D19" s="39" t="n">
        <v>1</v>
      </c>
      <c r="E19" s="39" t="n">
        <v>1</v>
      </c>
      <c r="F19" s="39" t="n">
        <v>1</v>
      </c>
      <c r="G19" s="39" t="n">
        <v>0.82</v>
      </c>
      <c r="H19" s="39" t="n">
        <v>1</v>
      </c>
      <c r="I19" s="39" t="n">
        <v>1.04</v>
      </c>
      <c r="J19" s="39" t="n">
        <v>1</v>
      </c>
      <c r="K19" s="39" t="n">
        <v>1</v>
      </c>
      <c r="L19" s="39" t="n">
        <v>1</v>
      </c>
      <c r="M19" s="39" t="n">
        <v>1</v>
      </c>
      <c r="N19" s="39" t="n">
        <v>1</v>
      </c>
    </row>
    <row r="20">
      <c r="B20" s="37" t="inlineStr">
        <is>
          <t>Recesion moderada</t>
        </is>
      </c>
      <c r="C20" s="38" t="n">
        <v>1</v>
      </c>
      <c r="D20" s="38" t="n">
        <v>1</v>
      </c>
      <c r="E20" s="38" t="n">
        <v>0.95</v>
      </c>
      <c r="F20" s="38" t="n">
        <v>0.95</v>
      </c>
      <c r="G20" s="38" t="n">
        <v>0.95</v>
      </c>
      <c r="H20" s="38" t="n">
        <v>0.95</v>
      </c>
      <c r="I20" s="38" t="n">
        <v>0.95</v>
      </c>
      <c r="J20" s="38" t="n">
        <v>0.95</v>
      </c>
      <c r="K20" s="38" t="n">
        <v>0.95</v>
      </c>
      <c r="L20" s="38" t="n">
        <v>0.95</v>
      </c>
      <c r="M20" s="38" t="n">
        <v>0.95</v>
      </c>
      <c r="N20" s="38" t="n">
        <v>0.95</v>
      </c>
    </row>
    <row r="21">
      <c r="B21" s="37" t="inlineStr">
        <is>
          <t>Restriccion hidrica adicional (CAR)</t>
        </is>
      </c>
      <c r="C21" s="39" t="n">
        <v>1</v>
      </c>
      <c r="D21" s="39" t="n">
        <v>1</v>
      </c>
      <c r="E21" s="39" t="n">
        <v>1</v>
      </c>
      <c r="F21" s="39" t="n">
        <v>1</v>
      </c>
      <c r="G21" s="39" t="n">
        <v>1</v>
      </c>
      <c r="H21" s="39" t="n">
        <v>1</v>
      </c>
      <c r="I21" s="39" t="n">
        <v>1</v>
      </c>
      <c r="J21" s="39" t="n">
        <v>1</v>
      </c>
      <c r="K21" s="39" t="n">
        <v>1</v>
      </c>
      <c r="L21" s="39" t="n">
        <v>1</v>
      </c>
      <c r="M21" s="39" t="n">
        <v>1</v>
      </c>
      <c r="N21" s="39" t="n">
        <v>1</v>
      </c>
    </row>
    <row r="22">
      <c r="B22" s="37" t="inlineStr">
        <is>
          <t>Repunte agresivo post-impuesto</t>
        </is>
      </c>
      <c r="C22" s="38" t="n">
        <v>1.05</v>
      </c>
      <c r="D22" s="38" t="n">
        <v>1.05</v>
      </c>
      <c r="E22" s="38" t="n">
        <v>1.05</v>
      </c>
      <c r="F22" s="38" t="n">
        <v>1.05</v>
      </c>
      <c r="G22" s="38" t="n">
        <v>1.05</v>
      </c>
      <c r="H22" s="38" t="n">
        <v>1.05</v>
      </c>
      <c r="I22" s="38" t="n">
        <v>1.05</v>
      </c>
      <c r="J22" s="38" t="n">
        <v>1.05</v>
      </c>
      <c r="K22" s="38" t="n">
        <v>1.05</v>
      </c>
      <c r="L22" s="38" t="n">
        <v>1.05</v>
      </c>
      <c r="M22" s="38" t="n">
        <v>1.05</v>
      </c>
      <c r="N22" s="38" t="n">
        <v>1.05</v>
      </c>
    </row>
    <row r="24">
      <c r="B24" s="35" t="inlineStr">
        <is>
          <t>Preset — P3</t>
        </is>
      </c>
    </row>
    <row r="25">
      <c r="B25" s="36" t="inlineStr">
        <is>
          <t>Escenario</t>
        </is>
      </c>
      <c r="C25" s="36" t="inlineStr">
        <is>
          <t>Abr</t>
        </is>
      </c>
      <c r="D25" s="36" t="inlineStr">
        <is>
          <t>May</t>
        </is>
      </c>
      <c r="E25" s="36" t="inlineStr">
        <is>
          <t>Jun</t>
        </is>
      </c>
      <c r="F25" s="36" t="inlineStr">
        <is>
          <t>Jul</t>
        </is>
      </c>
      <c r="G25" s="36" t="inlineStr">
        <is>
          <t>Ago</t>
        </is>
      </c>
      <c r="H25" s="36" t="inlineStr">
        <is>
          <t>Sep</t>
        </is>
      </c>
      <c r="I25" s="36" t="inlineStr">
        <is>
          <t>Oct</t>
        </is>
      </c>
      <c r="J25" s="36" t="inlineStr">
        <is>
          <t>Nov</t>
        </is>
      </c>
      <c r="K25" s="36" t="inlineStr">
        <is>
          <t>Dic</t>
        </is>
      </c>
      <c r="L25" s="36" t="inlineStr">
        <is>
          <t>Ene</t>
        </is>
      </c>
      <c r="M25" s="36" t="inlineStr">
        <is>
          <t>Feb</t>
        </is>
      </c>
      <c r="N25" s="36" t="inlineStr">
        <is>
          <t>Mar</t>
        </is>
      </c>
    </row>
    <row r="26">
      <c r="B26" s="37" t="inlineStr">
        <is>
          <t>Base</t>
        </is>
      </c>
      <c r="C26" s="38" t="n">
        <v>1</v>
      </c>
      <c r="D26" s="38" t="n">
        <v>1</v>
      </c>
      <c r="E26" s="38" t="n">
        <v>1</v>
      </c>
      <c r="F26" s="38" t="n">
        <v>1</v>
      </c>
      <c r="G26" s="38" t="n">
        <v>1</v>
      </c>
      <c r="H26" s="38" t="n">
        <v>1</v>
      </c>
      <c r="I26" s="38" t="n">
        <v>1</v>
      </c>
      <c r="J26" s="38" t="n">
        <v>1</v>
      </c>
      <c r="K26" s="38" t="n">
        <v>1</v>
      </c>
      <c r="L26" s="38" t="n">
        <v>1</v>
      </c>
      <c r="M26" s="38" t="n">
        <v>1</v>
      </c>
      <c r="N26" s="38" t="n">
        <v>1</v>
      </c>
    </row>
    <row r="27">
      <c r="B27" s="37" t="inlineStr">
        <is>
          <t>Mundial 2026</t>
        </is>
      </c>
      <c r="C27" s="39" t="n">
        <v>1</v>
      </c>
      <c r="D27" s="39" t="n">
        <v>1</v>
      </c>
      <c r="E27" s="39" t="n">
        <v>1.01</v>
      </c>
      <c r="F27" s="39" t="n">
        <v>1.02</v>
      </c>
      <c r="G27" s="39" t="n">
        <v>1</v>
      </c>
      <c r="H27" s="39" t="n">
        <v>1</v>
      </c>
      <c r="I27" s="39" t="n">
        <v>1</v>
      </c>
      <c r="J27" s="39" t="n">
        <v>1</v>
      </c>
      <c r="K27" s="39" t="n">
        <v>1</v>
      </c>
      <c r="L27" s="39" t="n">
        <v>1</v>
      </c>
      <c r="M27" s="39" t="n">
        <v>1</v>
      </c>
      <c r="N27" s="39" t="n">
        <v>1</v>
      </c>
    </row>
    <row r="28">
      <c r="B28" s="37" t="inlineStr">
        <is>
          <t>Paro nacional / choque logistico</t>
        </is>
      </c>
      <c r="C28" s="38" t="n">
        <v>1</v>
      </c>
      <c r="D28" s="38" t="n">
        <v>1</v>
      </c>
      <c r="E28" s="38" t="n">
        <v>1</v>
      </c>
      <c r="F28" s="38" t="n">
        <v>1</v>
      </c>
      <c r="G28" s="38" t="n">
        <v>0.82</v>
      </c>
      <c r="H28" s="38" t="n">
        <v>1</v>
      </c>
      <c r="I28" s="38" t="n">
        <v>1.04</v>
      </c>
      <c r="J28" s="38" t="n">
        <v>1</v>
      </c>
      <c r="K28" s="38" t="n">
        <v>1</v>
      </c>
      <c r="L28" s="38" t="n">
        <v>1</v>
      </c>
      <c r="M28" s="38" t="n">
        <v>1</v>
      </c>
      <c r="N28" s="38" t="n">
        <v>1</v>
      </c>
    </row>
    <row r="29">
      <c r="B29" s="37" t="inlineStr">
        <is>
          <t>Recesion moderada</t>
        </is>
      </c>
      <c r="C29" s="39" t="n">
        <v>1</v>
      </c>
      <c r="D29" s="39" t="n">
        <v>1</v>
      </c>
      <c r="E29" s="39" t="n">
        <v>0.98</v>
      </c>
      <c r="F29" s="39" t="n">
        <v>0.98</v>
      </c>
      <c r="G29" s="39" t="n">
        <v>0.98</v>
      </c>
      <c r="H29" s="39" t="n">
        <v>0.98</v>
      </c>
      <c r="I29" s="39" t="n">
        <v>0.98</v>
      </c>
      <c r="J29" s="39" t="n">
        <v>0.98</v>
      </c>
      <c r="K29" s="39" t="n">
        <v>0.98</v>
      </c>
      <c r="L29" s="39" t="n">
        <v>0.98</v>
      </c>
      <c r="M29" s="39" t="n">
        <v>0.98</v>
      </c>
      <c r="N29" s="39" t="n">
        <v>0.98</v>
      </c>
    </row>
    <row r="30">
      <c r="B30" s="37" t="inlineStr">
        <is>
          <t>Restriccion hidrica adicional (CAR)</t>
        </is>
      </c>
      <c r="C30" s="38" t="n">
        <v>1</v>
      </c>
      <c r="D30" s="38" t="n">
        <v>1</v>
      </c>
      <c r="E30" s="38" t="n">
        <v>1</v>
      </c>
      <c r="F30" s="38" t="n">
        <v>0.85</v>
      </c>
      <c r="G30" s="38" t="n">
        <v>0.85</v>
      </c>
      <c r="H30" s="38" t="n">
        <v>0.85</v>
      </c>
      <c r="I30" s="38" t="n">
        <v>0.85</v>
      </c>
      <c r="J30" s="38" t="n">
        <v>0.85</v>
      </c>
      <c r="K30" s="38" t="n">
        <v>0.85</v>
      </c>
      <c r="L30" s="38" t="n">
        <v>0.85</v>
      </c>
      <c r="M30" s="38" t="n">
        <v>0.85</v>
      </c>
      <c r="N30" s="38" t="n">
        <v>0.85</v>
      </c>
    </row>
    <row r="31">
      <c r="B31" s="37" t="inlineStr">
        <is>
          <t>Repunte agresivo post-impuesto</t>
        </is>
      </c>
      <c r="C31" s="39" t="n">
        <v>1</v>
      </c>
      <c r="D31" s="39" t="n">
        <v>1</v>
      </c>
      <c r="E31" s="39" t="n">
        <v>1</v>
      </c>
      <c r="F31" s="39" t="n">
        <v>1</v>
      </c>
      <c r="G31" s="39" t="n">
        <v>1</v>
      </c>
      <c r="H31" s="39" t="n">
        <v>1</v>
      </c>
      <c r="I31" s="39" t="n">
        <v>1</v>
      </c>
      <c r="J31" s="39" t="n">
        <v>1</v>
      </c>
      <c r="K31" s="39" t="n">
        <v>1</v>
      </c>
      <c r="L31" s="39" t="n">
        <v>1</v>
      </c>
      <c r="M31" s="39" t="n">
        <v>1</v>
      </c>
      <c r="N31" s="39" t="n">
        <v>1</v>
      </c>
    </row>
    <row r="33">
      <c r="B33" s="18" t="inlineStr">
        <is>
          <t>ESCENARIO ACTIVO — edite aquí (copie un preset de arriba o escriba su propio factor)</t>
        </is>
      </c>
    </row>
    <row r="34">
      <c r="B34" s="40" t="inlineStr">
        <is>
          <t>P1 — factor activo</t>
        </is>
      </c>
    </row>
    <row r="35">
      <c r="B35" s="36" t="inlineStr">
        <is>
          <t>Fila</t>
        </is>
      </c>
      <c r="C35" s="36" t="inlineStr">
        <is>
          <t>Abr</t>
        </is>
      </c>
      <c r="D35" s="36" t="inlineStr">
        <is>
          <t>May</t>
        </is>
      </c>
      <c r="E35" s="36" t="inlineStr">
        <is>
          <t>Jun</t>
        </is>
      </c>
      <c r="F35" s="36" t="inlineStr">
        <is>
          <t>Jul</t>
        </is>
      </c>
      <c r="G35" s="36" t="inlineStr">
        <is>
          <t>Ago</t>
        </is>
      </c>
      <c r="H35" s="36" t="inlineStr">
        <is>
          <t>Sep</t>
        </is>
      </c>
      <c r="I35" s="36" t="inlineStr">
        <is>
          <t>Oct</t>
        </is>
      </c>
      <c r="J35" s="36" t="inlineStr">
        <is>
          <t>Nov</t>
        </is>
      </c>
      <c r="K35" s="36" t="inlineStr">
        <is>
          <t>Dic</t>
        </is>
      </c>
      <c r="L35" s="36" t="inlineStr">
        <is>
          <t>Ene</t>
        </is>
      </c>
      <c r="M35" s="36" t="inlineStr">
        <is>
          <t>Feb</t>
        </is>
      </c>
      <c r="N35" s="36" t="inlineStr">
        <is>
          <t>Mar</t>
        </is>
      </c>
    </row>
    <row r="36">
      <c r="B36" s="41" t="inlineStr">
        <is>
          <t>FACTOR ACTIVO</t>
        </is>
      </c>
      <c r="C36" s="42" t="n">
        <v>1</v>
      </c>
      <c r="D36" s="42" t="n">
        <v>1</v>
      </c>
      <c r="E36" s="42" t="n">
        <v>1</v>
      </c>
      <c r="F36" s="42" t="n">
        <v>1</v>
      </c>
      <c r="G36" s="42" t="n">
        <v>1</v>
      </c>
      <c r="H36" s="42" t="n">
        <v>1</v>
      </c>
      <c r="I36" s="42" t="n">
        <v>1</v>
      </c>
      <c r="J36" s="42" t="n">
        <v>1</v>
      </c>
      <c r="K36" s="42" t="n">
        <v>1</v>
      </c>
      <c r="L36" s="42" t="n">
        <v>1</v>
      </c>
      <c r="M36" s="42" t="n">
        <v>1</v>
      </c>
      <c r="N36" s="42" t="n">
        <v>1</v>
      </c>
    </row>
    <row r="37">
      <c r="B37" s="37" t="inlineStr">
        <is>
          <t>Litros BASE (Pronóstico)</t>
        </is>
      </c>
      <c r="C37" s="43">
        <f>Pronostico_2026!C8</f>
        <v/>
      </c>
      <c r="D37" s="43">
        <f>Pronostico_2026!C9</f>
        <v/>
      </c>
      <c r="E37" s="43">
        <f>Pronostico_2026!C10</f>
        <v/>
      </c>
      <c r="F37" s="43">
        <f>Pronostico_2026!C11</f>
        <v/>
      </c>
      <c r="G37" s="43">
        <f>Pronostico_2026!C12</f>
        <v/>
      </c>
      <c r="H37" s="43">
        <f>Pronostico_2026!C13</f>
        <v/>
      </c>
      <c r="I37" s="43">
        <f>Pronostico_2026!C14</f>
        <v/>
      </c>
      <c r="J37" s="43">
        <f>Pronostico_2026!C15</f>
        <v/>
      </c>
      <c r="K37" s="43">
        <f>Pronostico_2026!C16</f>
        <v/>
      </c>
      <c r="L37" s="43">
        <f>Pronostico_2026!C17</f>
        <v/>
      </c>
      <c r="M37" s="43">
        <f>Pronostico_2026!C18</f>
        <v/>
      </c>
      <c r="N37" s="43">
        <f>Pronostico_2026!C19</f>
        <v/>
      </c>
    </row>
    <row r="38">
      <c r="B38" s="41" t="inlineStr">
        <is>
          <t>Litros AJUSTADO = base × factor</t>
        </is>
      </c>
      <c r="C38" s="44">
        <f>C37*C36</f>
        <v/>
      </c>
      <c r="D38" s="44">
        <f>D37*D36</f>
        <v/>
      </c>
      <c r="E38" s="44">
        <f>E37*E36</f>
        <v/>
      </c>
      <c r="F38" s="44">
        <f>F37*F36</f>
        <v/>
      </c>
      <c r="G38" s="44">
        <f>G37*G36</f>
        <v/>
      </c>
      <c r="H38" s="44">
        <f>H37*H36</f>
        <v/>
      </c>
      <c r="I38" s="44">
        <f>I37*I36</f>
        <v/>
      </c>
      <c r="J38" s="44">
        <f>J37*J36</f>
        <v/>
      </c>
      <c r="K38" s="44">
        <f>K37*K36</f>
        <v/>
      </c>
      <c r="L38" s="44">
        <f>L37*L36</f>
        <v/>
      </c>
      <c r="M38" s="44">
        <f>M37*M36</f>
        <v/>
      </c>
      <c r="N38" s="44">
        <f>N37*N36</f>
        <v/>
      </c>
    </row>
    <row r="39">
      <c r="B39" s="41" t="inlineStr">
        <is>
          <t>Δ % vs base</t>
        </is>
      </c>
      <c r="C39" s="45">
        <f>C38/C37-1</f>
        <v/>
      </c>
      <c r="D39" s="45">
        <f>D38/D37-1</f>
        <v/>
      </c>
      <c r="E39" s="45">
        <f>E38/E37-1</f>
        <v/>
      </c>
      <c r="F39" s="45">
        <f>F38/F37-1</f>
        <v/>
      </c>
      <c r="G39" s="45">
        <f>G38/G37-1</f>
        <v/>
      </c>
      <c r="H39" s="45">
        <f>H38/H37-1</f>
        <v/>
      </c>
      <c r="I39" s="45">
        <f>I38/I37-1</f>
        <v/>
      </c>
      <c r="J39" s="45">
        <f>J38/J37-1</f>
        <v/>
      </c>
      <c r="K39" s="45">
        <f>K38/K37-1</f>
        <v/>
      </c>
      <c r="L39" s="45">
        <f>L38/L37-1</f>
        <v/>
      </c>
      <c r="M39" s="45">
        <f>M38/M37-1</f>
        <v/>
      </c>
      <c r="N39" s="45">
        <f>N38/N37-1</f>
        <v/>
      </c>
    </row>
    <row r="40">
      <c r="B40" s="41" t="inlineStr">
        <is>
          <t>TOTAL AÑO (litros)</t>
        </is>
      </c>
      <c r="C40" s="43">
        <f>SUM(C38:N38)</f>
        <v/>
      </c>
      <c r="D40" s="12" t="inlineStr">
        <is>
          <t>vs base:</t>
        </is>
      </c>
      <c r="E40" s="43">
        <f>SUM(C37:N37)</f>
        <v/>
      </c>
      <c r="F40" s="45">
        <f>C40/E40-1</f>
        <v/>
      </c>
    </row>
    <row r="42">
      <c r="B42" s="40" t="inlineStr">
        <is>
          <t>P2 — factor activo</t>
        </is>
      </c>
    </row>
    <row r="43">
      <c r="B43" s="36" t="inlineStr">
        <is>
          <t>Fila</t>
        </is>
      </c>
      <c r="C43" s="36" t="inlineStr">
        <is>
          <t>Abr</t>
        </is>
      </c>
      <c r="D43" s="36" t="inlineStr">
        <is>
          <t>May</t>
        </is>
      </c>
      <c r="E43" s="36" t="inlineStr">
        <is>
          <t>Jun</t>
        </is>
      </c>
      <c r="F43" s="36" t="inlineStr">
        <is>
          <t>Jul</t>
        </is>
      </c>
      <c r="G43" s="36" t="inlineStr">
        <is>
          <t>Ago</t>
        </is>
      </c>
      <c r="H43" s="36" t="inlineStr">
        <is>
          <t>Sep</t>
        </is>
      </c>
      <c r="I43" s="36" t="inlineStr">
        <is>
          <t>Oct</t>
        </is>
      </c>
      <c r="J43" s="36" t="inlineStr">
        <is>
          <t>Nov</t>
        </is>
      </c>
      <c r="K43" s="36" t="inlineStr">
        <is>
          <t>Dic</t>
        </is>
      </c>
      <c r="L43" s="36" t="inlineStr">
        <is>
          <t>Ene</t>
        </is>
      </c>
      <c r="M43" s="36" t="inlineStr">
        <is>
          <t>Feb</t>
        </is>
      </c>
      <c r="N43" s="36" t="inlineStr">
        <is>
          <t>Mar</t>
        </is>
      </c>
    </row>
    <row r="44">
      <c r="B44" s="41" t="inlineStr">
        <is>
          <t>FACTOR ACTIVO</t>
        </is>
      </c>
      <c r="C44" s="42" t="n">
        <v>1</v>
      </c>
      <c r="D44" s="42" t="n">
        <v>1</v>
      </c>
      <c r="E44" s="42" t="n">
        <v>1</v>
      </c>
      <c r="F44" s="42" t="n">
        <v>1</v>
      </c>
      <c r="G44" s="42" t="n">
        <v>1</v>
      </c>
      <c r="H44" s="42" t="n">
        <v>1</v>
      </c>
      <c r="I44" s="42" t="n">
        <v>1</v>
      </c>
      <c r="J44" s="42" t="n">
        <v>1</v>
      </c>
      <c r="K44" s="42" t="n">
        <v>1</v>
      </c>
      <c r="L44" s="42" t="n">
        <v>1</v>
      </c>
      <c r="M44" s="42" t="n">
        <v>1</v>
      </c>
      <c r="N44" s="42" t="n">
        <v>1</v>
      </c>
    </row>
    <row r="45">
      <c r="B45" s="37" t="inlineStr">
        <is>
          <t>Litros BASE (Pronóstico)</t>
        </is>
      </c>
      <c r="C45" s="43">
        <f>Pronostico_2026!C24</f>
        <v/>
      </c>
      <c r="D45" s="43">
        <f>Pronostico_2026!C25</f>
        <v/>
      </c>
      <c r="E45" s="43">
        <f>Pronostico_2026!C26</f>
        <v/>
      </c>
      <c r="F45" s="43">
        <f>Pronostico_2026!C27</f>
        <v/>
      </c>
      <c r="G45" s="43">
        <f>Pronostico_2026!C28</f>
        <v/>
      </c>
      <c r="H45" s="43">
        <f>Pronostico_2026!C29</f>
        <v/>
      </c>
      <c r="I45" s="43">
        <f>Pronostico_2026!C30</f>
        <v/>
      </c>
      <c r="J45" s="43">
        <f>Pronostico_2026!C31</f>
        <v/>
      </c>
      <c r="K45" s="43">
        <f>Pronostico_2026!C32</f>
        <v/>
      </c>
      <c r="L45" s="43">
        <f>Pronostico_2026!C33</f>
        <v/>
      </c>
      <c r="M45" s="43">
        <f>Pronostico_2026!C34</f>
        <v/>
      </c>
      <c r="N45" s="43">
        <f>Pronostico_2026!C35</f>
        <v/>
      </c>
    </row>
    <row r="46">
      <c r="B46" s="41" t="inlineStr">
        <is>
          <t>Litros AJUSTADO = base × factor</t>
        </is>
      </c>
      <c r="C46" s="44">
        <f>C45*C44</f>
        <v/>
      </c>
      <c r="D46" s="44">
        <f>D45*D44</f>
        <v/>
      </c>
      <c r="E46" s="44">
        <f>E45*E44</f>
        <v/>
      </c>
      <c r="F46" s="44">
        <f>F45*F44</f>
        <v/>
      </c>
      <c r="G46" s="44">
        <f>G45*G44</f>
        <v/>
      </c>
      <c r="H46" s="44">
        <f>H45*H44</f>
        <v/>
      </c>
      <c r="I46" s="44">
        <f>I45*I44</f>
        <v/>
      </c>
      <c r="J46" s="44">
        <f>J45*J44</f>
        <v/>
      </c>
      <c r="K46" s="44">
        <f>K45*K44</f>
        <v/>
      </c>
      <c r="L46" s="44">
        <f>L45*L44</f>
        <v/>
      </c>
      <c r="M46" s="44">
        <f>M45*M44</f>
        <v/>
      </c>
      <c r="N46" s="44">
        <f>N45*N44</f>
        <v/>
      </c>
    </row>
    <row r="47">
      <c r="B47" s="41" t="inlineStr">
        <is>
          <t>Δ % vs base</t>
        </is>
      </c>
      <c r="C47" s="45">
        <f>C46/C45-1</f>
        <v/>
      </c>
      <c r="D47" s="45">
        <f>D46/D45-1</f>
        <v/>
      </c>
      <c r="E47" s="45">
        <f>E46/E45-1</f>
        <v/>
      </c>
      <c r="F47" s="45">
        <f>F46/F45-1</f>
        <v/>
      </c>
      <c r="G47" s="45">
        <f>G46/G45-1</f>
        <v/>
      </c>
      <c r="H47" s="45">
        <f>H46/H45-1</f>
        <v/>
      </c>
      <c r="I47" s="45">
        <f>I46/I45-1</f>
        <v/>
      </c>
      <c r="J47" s="45">
        <f>J46/J45-1</f>
        <v/>
      </c>
      <c r="K47" s="45">
        <f>K46/K45-1</f>
        <v/>
      </c>
      <c r="L47" s="45">
        <f>L46/L45-1</f>
        <v/>
      </c>
      <c r="M47" s="45">
        <f>M46/M45-1</f>
        <v/>
      </c>
      <c r="N47" s="45">
        <f>N46/N45-1</f>
        <v/>
      </c>
    </row>
    <row r="48">
      <c r="B48" s="41" t="inlineStr">
        <is>
          <t>TOTAL AÑO (litros)</t>
        </is>
      </c>
      <c r="C48" s="43">
        <f>SUM(C46:N46)</f>
        <v/>
      </c>
      <c r="D48" s="12" t="inlineStr">
        <is>
          <t>vs base:</t>
        </is>
      </c>
      <c r="E48" s="43">
        <f>SUM(C45:N45)</f>
        <v/>
      </c>
      <c r="F48" s="45">
        <f>C48/E48-1</f>
        <v/>
      </c>
    </row>
    <row r="50">
      <c r="B50" s="40" t="inlineStr">
        <is>
          <t>P3 — factor activo</t>
        </is>
      </c>
    </row>
    <row r="51">
      <c r="B51" s="36" t="inlineStr">
        <is>
          <t>Fila</t>
        </is>
      </c>
      <c r="C51" s="36" t="inlineStr">
        <is>
          <t>Abr</t>
        </is>
      </c>
      <c r="D51" s="36" t="inlineStr">
        <is>
          <t>May</t>
        </is>
      </c>
      <c r="E51" s="36" t="inlineStr">
        <is>
          <t>Jun</t>
        </is>
      </c>
      <c r="F51" s="36" t="inlineStr">
        <is>
          <t>Jul</t>
        </is>
      </c>
      <c r="G51" s="36" t="inlineStr">
        <is>
          <t>Ago</t>
        </is>
      </c>
      <c r="H51" s="36" t="inlineStr">
        <is>
          <t>Sep</t>
        </is>
      </c>
      <c r="I51" s="36" t="inlineStr">
        <is>
          <t>Oct</t>
        </is>
      </c>
      <c r="J51" s="36" t="inlineStr">
        <is>
          <t>Nov</t>
        </is>
      </c>
      <c r="K51" s="36" t="inlineStr">
        <is>
          <t>Dic</t>
        </is>
      </c>
      <c r="L51" s="36" t="inlineStr">
        <is>
          <t>Ene</t>
        </is>
      </c>
      <c r="M51" s="36" t="inlineStr">
        <is>
          <t>Feb</t>
        </is>
      </c>
      <c r="N51" s="36" t="inlineStr">
        <is>
          <t>Mar</t>
        </is>
      </c>
    </row>
    <row r="52">
      <c r="B52" s="41" t="inlineStr">
        <is>
          <t>FACTOR ACTIVO</t>
        </is>
      </c>
      <c r="C52" s="42" t="n">
        <v>1</v>
      </c>
      <c r="D52" s="42" t="n">
        <v>1</v>
      </c>
      <c r="E52" s="42" t="n">
        <v>1</v>
      </c>
      <c r="F52" s="42" t="n">
        <v>1</v>
      </c>
      <c r="G52" s="42" t="n">
        <v>1</v>
      </c>
      <c r="H52" s="42" t="n">
        <v>1</v>
      </c>
      <c r="I52" s="42" t="n">
        <v>1</v>
      </c>
      <c r="J52" s="42" t="n">
        <v>1</v>
      </c>
      <c r="K52" s="42" t="n">
        <v>1</v>
      </c>
      <c r="L52" s="42" t="n">
        <v>1</v>
      </c>
      <c r="M52" s="42" t="n">
        <v>1</v>
      </c>
      <c r="N52" s="42" t="n">
        <v>1</v>
      </c>
    </row>
    <row r="53">
      <c r="B53" s="37" t="inlineStr">
        <is>
          <t>Litros BASE (Pronóstico)</t>
        </is>
      </c>
      <c r="C53" s="43">
        <f>Pronostico_2026!C40</f>
        <v/>
      </c>
      <c r="D53" s="43">
        <f>Pronostico_2026!C41</f>
        <v/>
      </c>
      <c r="E53" s="43">
        <f>Pronostico_2026!C42</f>
        <v/>
      </c>
      <c r="F53" s="43">
        <f>Pronostico_2026!C43</f>
        <v/>
      </c>
      <c r="G53" s="43">
        <f>Pronostico_2026!C44</f>
        <v/>
      </c>
      <c r="H53" s="43">
        <f>Pronostico_2026!C45</f>
        <v/>
      </c>
      <c r="I53" s="43">
        <f>Pronostico_2026!C46</f>
        <v/>
      </c>
      <c r="J53" s="43">
        <f>Pronostico_2026!C47</f>
        <v/>
      </c>
      <c r="K53" s="43">
        <f>Pronostico_2026!C48</f>
        <v/>
      </c>
      <c r="L53" s="43">
        <f>Pronostico_2026!C49</f>
        <v/>
      </c>
      <c r="M53" s="43">
        <f>Pronostico_2026!C50</f>
        <v/>
      </c>
      <c r="N53" s="43">
        <f>Pronostico_2026!C51</f>
        <v/>
      </c>
    </row>
    <row r="54">
      <c r="B54" s="41" t="inlineStr">
        <is>
          <t>Litros AJUSTADO = base × factor</t>
        </is>
      </c>
      <c r="C54" s="44">
        <f>C53*C52</f>
        <v/>
      </c>
      <c r="D54" s="44">
        <f>D53*D52</f>
        <v/>
      </c>
      <c r="E54" s="44">
        <f>E53*E52</f>
        <v/>
      </c>
      <c r="F54" s="44">
        <f>F53*F52</f>
        <v/>
      </c>
      <c r="G54" s="44">
        <f>G53*G52</f>
        <v/>
      </c>
      <c r="H54" s="44">
        <f>H53*H52</f>
        <v/>
      </c>
      <c r="I54" s="44">
        <f>I53*I52</f>
        <v/>
      </c>
      <c r="J54" s="44">
        <f>J53*J52</f>
        <v/>
      </c>
      <c r="K54" s="44">
        <f>K53*K52</f>
        <v/>
      </c>
      <c r="L54" s="44">
        <f>L53*L52</f>
        <v/>
      </c>
      <c r="M54" s="44">
        <f>M53*M52</f>
        <v/>
      </c>
      <c r="N54" s="44">
        <f>N53*N52</f>
        <v/>
      </c>
    </row>
    <row r="55">
      <c r="B55" s="41" t="inlineStr">
        <is>
          <t>Δ % vs base</t>
        </is>
      </c>
      <c r="C55" s="45">
        <f>C54/C53-1</f>
        <v/>
      </c>
      <c r="D55" s="45">
        <f>D54/D53-1</f>
        <v/>
      </c>
      <c r="E55" s="45">
        <f>E54/E53-1</f>
        <v/>
      </c>
      <c r="F55" s="45">
        <f>F54/F53-1</f>
        <v/>
      </c>
      <c r="G55" s="45">
        <f>G54/G53-1</f>
        <v/>
      </c>
      <c r="H55" s="45">
        <f>H54/H53-1</f>
        <v/>
      </c>
      <c r="I55" s="45">
        <f>I54/I53-1</f>
        <v/>
      </c>
      <c r="J55" s="45">
        <f>J54/J53-1</f>
        <v/>
      </c>
      <c r="K55" s="45">
        <f>K54/K53-1</f>
        <v/>
      </c>
      <c r="L55" s="45">
        <f>L54/L53-1</f>
        <v/>
      </c>
      <c r="M55" s="45">
        <f>M54/M53-1</f>
        <v/>
      </c>
      <c r="N55" s="45">
        <f>N54/N53-1</f>
        <v/>
      </c>
    </row>
    <row r="56">
      <c r="B56" s="41" t="inlineStr">
        <is>
          <t>TOTAL AÑO (litros)</t>
        </is>
      </c>
      <c r="C56" s="43">
        <f>SUM(C54:N54)</f>
        <v/>
      </c>
      <c r="D56" s="12" t="inlineStr">
        <is>
          <t>vs base:</t>
        </is>
      </c>
      <c r="E56" s="43">
        <f>SUM(C53:N53)</f>
        <v/>
      </c>
      <c r="F56" s="45">
        <f>C56/E56-1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2026-07-10T07:49:23Z</dcterms:created>
  <dcterms:modified xmlns:dcterms="http://purl.org/dc/terms/" xmlns:xsi="http://www.w3.org/2001/XMLSchema-instance" xsi:type="dcterms:W3CDTF">2026-07-10T07:49:33Z</dcterms:modified>
</cp:coreProperties>
</file>