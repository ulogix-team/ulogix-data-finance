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moria" sheetId="1" state="visible" r:id="rId3"/>
    <sheet name="Correcciones" sheetId="2" state="visible" r:id="rId4"/>
    <sheet name="Parametros" sheetId="3" state="visible" r:id="rId5"/>
    <sheet name="Tiempos_Lineas" sheetId="4" state="visible" r:id="rId6"/>
    <sheet name="MLT_VSM" sheetId="5" state="visible" r:id="rId7"/>
    <sheet name="OEE_TEEP" sheetId="6" state="visible" r:id="rId8"/>
    <sheet name="Capacidad_vs_Demanda" sheetId="7" state="visible" r:id="rId9"/>
    <sheet name="Maquinas_Referencias" sheetId="8" state="visible" r:id="rId10"/>
    <sheet name="Referencias" sheetId="9" state="visible" r:id="rId11"/>
    <sheet name="Glosario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Llenadora Mecafill/Modulfill usada: 42.500 (visita 40–45k [2]). El cuello por inspección se ELIMINÓ reasignando la HEUFT PRIME (72k) de L2 a L1 y la Linatronic (40k) a L2 — intercambio sin capex. Ver Maquinas_Referencias.</t>
        </r>
      </text>
    </comment>
    <comment ref="C10" authorId="0">
      <text>
        <r>
          <rPr>
            <sz val="10"/>
            <rFont val="Arial"/>
            <family val="2"/>
          </rPr>
          <t xml:space="preserve">Visita: L350 opera 2 turnos de 8 h.</t>
        </r>
      </text>
    </comment>
    <comment ref="C12" authorId="0">
      <text>
        <r>
          <rPr>
            <sz val="10"/>
            <rFont val="Arial"/>
            <family val="2"/>
          </rPr>
          <t xml:space="preserve">Bogotá: 365 − 52 domingos − 17 festivos entre semana (18 festivos/año, Ley 51/1983 'Emiliani') − 10 días de mantenimiento mayor anual (overhaul típico de embotelladora) = 286. Editable.</t>
        </r>
      </text>
    </comment>
    <comment ref="C13" authorId="0">
      <text>
        <r>
          <rPr>
            <sz val="10"/>
            <rFont val="Arial"/>
            <family val="2"/>
          </rPr>
          <t xml:space="preserve">Parada anual programada (overhaul). Ya descontada en la fila anterior; aquí solo se documenta.</t>
        </r>
      </text>
    </comment>
    <comment ref="C14" authorId="0">
      <text>
        <r>
          <rPr>
            <sz val="10"/>
            <rFont val="Arial"/>
            <family val="2"/>
          </rPr>
          <t xml:space="preserve">54 cajones×30.</t>
        </r>
      </text>
    </comment>
    <comment ref="C16" authorId="0">
      <text>
        <r>
          <rPr>
            <sz val="10"/>
            <rFont val="Arial"/>
            <family val="2"/>
          </rPr>
          <t xml:space="preserve">Visita: alistamiento 1 h + saneamiento 10 min.</t>
        </r>
      </text>
    </comment>
    <comment ref="C20" authorId="0">
      <text>
        <r>
          <rPr>
            <sz val="10"/>
            <rFont val="Arial"/>
            <family val="2"/>
          </rPr>
          <t xml:space="preserve">Turno de 8 h (visita).</t>
        </r>
      </text>
    </comment>
    <comment ref="C21" authorId="0">
      <text>
        <r>
          <rPr>
            <sz val="10"/>
            <rFont val="Arial"/>
            <family val="2"/>
          </rPr>
          <t xml:space="preserve">VISITA: alistamiento 1 h + saneamiento 10 min = 70 min. Dato del sistema, no ajustado.</t>
        </r>
      </text>
    </comment>
    <comment ref="C22" authorId="0">
      <text>
        <r>
          <rPr>
            <sz val="10"/>
            <rFont val="Arial"/>
            <family val="2"/>
          </rPr>
          <t xml:space="preserve">1 falla/turno con MTTR≈45 min: consistente con protocolo de la visita (monitoreo horario; ante falla se detiene y revisa ±1 h). Dato del archivo original conservado por ser coherente.</t>
        </r>
      </text>
    </comment>
    <comment ref="C26" authorId="0">
      <text>
        <r>
          <rPr>
            <sz val="10"/>
            <rFont val="Arial"/>
            <family val="2"/>
          </rPr>
          <t xml:space="preserve">Diseño/placa: tope del rango de visita (40–45 k). Real = 42.500 → SE del sistema = 94,4 % (equipo usado corre bajo placa).</t>
        </r>
      </text>
    </comment>
    <comment ref="C28" authorId="0">
      <text>
        <r>
          <rPr>
            <sz val="10"/>
            <rFont val="Arial"/>
            <family val="2"/>
          </rPr>
          <t xml:space="preserve">VISITA: reacción 5 min/evento, paneles horarios (~6 chequeos/turno) + purgas/arranques → ~30 min de pérdidas de ritmo en línea rápida.</t>
        </r>
      </text>
    </comment>
    <comment ref="C31" authorId="0">
      <text>
        <r>
          <rPr>
            <sz val="10"/>
            <rFont val="Arial"/>
            <family val="2"/>
          </rPr>
          <t xml:space="preserve">Dato del archivo original (0,068 %).</t>
        </r>
      </text>
    </comment>
    <comment ref="C37" authorId="0">
      <text>
        <r>
          <rPr>
            <sz val="10"/>
            <rFont val="Arial"/>
            <family val="2"/>
          </rPr>
          <t xml:space="preserve">Pronóstico HW del proyecto (data/rotacion_inventarios.csv).</t>
        </r>
      </text>
    </comment>
    <comment ref="C39" authorId="0">
      <text>
        <r>
          <rPr>
            <sz val="10"/>
            <rFont val="Arial"/>
            <family val="2"/>
          </rPr>
          <t xml:space="preserve">Mes máximo del pronóstico.</t>
        </r>
      </text>
    </comment>
    <comment ref="C40" authorId="0">
      <text>
        <r>
          <rPr>
            <sz val="10"/>
            <rFont val="Arial"/>
            <family val="2"/>
          </rPr>
          <t xml:space="preserve">Serie reconstruida 2025 del proyecto (dato trimestral real KOF × participación de planta): 61,57 M L / 0,35 L.</t>
        </r>
      </text>
    </comment>
    <comment ref="D6" authorId="0">
      <text>
        <r>
          <rPr>
            <sz val="10"/>
            <rFont val="Arial"/>
            <family val="2"/>
          </rPr>
          <t xml:space="preserve">KRONES Contiform Bloc / línea PET usada 2004 para CSD (equivalente comercial de los enlaces dados): 12.000 bph @1,5 L carbonatada (14.000 @0,5 L). Alternativas usadas: Contiform S8+Mecafill 12.800; aséptica 17.000 @1,5 L. [Refs 3,4,5]</t>
        </r>
      </text>
    </comment>
    <comment ref="D10" authorId="0">
      <text>
        <r>
          <rPr>
            <sz val="10"/>
            <rFont val="Arial"/>
            <family val="2"/>
          </rPr>
          <t xml:space="preserve">Visita: línea PET 2 turnos de 8 h.</t>
        </r>
      </text>
    </comment>
    <comment ref="D12" authorId="0">
      <text>
        <r>
          <rPr>
            <sz val="10"/>
            <rFont val="Arial"/>
            <family val="2"/>
          </rPr>
          <t xml:space="preserve">Ídem L1.</t>
        </r>
      </text>
    </comment>
    <comment ref="D13" authorId="0">
      <text>
        <r>
          <rPr>
            <sz val="10"/>
            <rFont val="Arial"/>
            <family val="2"/>
          </rPr>
          <t xml:space="preserve">Parada anual programada (overhaul). Ya descontada en la fila anterior; aquí solo se documenta.</t>
        </r>
      </text>
    </comment>
    <comment ref="D14" authorId="0">
      <text>
        <r>
          <rPr>
            <sz val="10"/>
            <rFont val="Arial"/>
            <family val="2"/>
          </rPr>
          <t xml:space="preserve">140 packs×6.</t>
        </r>
      </text>
    </comment>
    <comment ref="D16" authorId="0">
      <text>
        <r>
          <rPr>
            <sz val="10"/>
            <rFont val="Arial"/>
            <family val="2"/>
          </rPr>
          <t xml:space="preserve">Visita: alistamiento 1 h + saneamiento 10 min.</t>
        </r>
      </text>
    </comment>
    <comment ref="D20" authorId="0">
      <text>
        <r>
          <rPr>
            <sz val="10"/>
            <rFont val="Arial"/>
            <family val="2"/>
          </rPr>
          <t xml:space="preserve">Turno de 8 h (visita).</t>
        </r>
      </text>
    </comment>
    <comment ref="D21" authorId="0">
      <text>
        <r>
          <rPr>
            <sz val="10"/>
            <rFont val="Arial"/>
            <family val="2"/>
          </rPr>
          <t xml:space="preserve">VISITA: alistamiento 1 h + saneamiento 10 min = 70 min. Dato del sistema, no ajustado.</t>
        </r>
      </text>
    </comment>
    <comment ref="D22" authorId="0">
      <text>
        <r>
          <rPr>
            <sz val="10"/>
            <rFont val="Arial"/>
            <family val="2"/>
          </rPr>
          <t xml:space="preserve">Ídem: equipo 2004 usado, misma política de fallas.</t>
        </r>
      </text>
    </comment>
    <comment ref="D26" authorId="0">
      <text>
        <r>
          <rPr>
            <sz val="10"/>
            <rFont val="Arial"/>
            <family val="2"/>
          </rPr>
          <t xml:space="preserve">Placa del bloc 2004 clase 12–14 k @1,5 L; se toma 13.000 como diseño y 12.000 como operación real (usado).</t>
        </r>
      </text>
    </comment>
    <comment ref="D28" authorId="0">
      <text>
        <r>
          <rPr>
            <sz val="10"/>
            <rFont val="Arial"/>
            <family val="2"/>
          </rPr>
          <t xml:space="preserve">Bloc integrado: menos transferencias; ~25 min/turno.</t>
        </r>
      </text>
    </comment>
    <comment ref="D31" authorId="0">
      <text>
        <r>
          <rPr>
            <sz val="10"/>
            <rFont val="Arial"/>
            <family val="2"/>
          </rPr>
          <t xml:space="preserve">Dato del archivo original (0,068 %).</t>
        </r>
      </text>
    </comment>
    <comment ref="D37" authorId="0">
      <text>
        <r>
          <rPr>
            <sz val="10"/>
            <rFont val="Arial"/>
            <family val="2"/>
          </rPr>
          <t xml:space="preserve">Ídem.</t>
        </r>
      </text>
    </comment>
    <comment ref="D40" authorId="0">
      <text>
        <r>
          <rPr>
            <sz val="10"/>
            <rFont val="Arial"/>
            <family val="2"/>
          </rPr>
          <t xml:space="preserve">76,83 M L / 1,5 L.</t>
        </r>
      </text>
    </comment>
    <comment ref="E6" authorId="0">
      <text>
        <r>
          <rPr>
            <sz val="10"/>
            <rFont val="Arial"/>
            <family val="2"/>
          </rPr>
          <t xml:space="preserve">Rp REAL de L3 = MIN(llenadora 600 gfn/h [6-8]; operarios × ritmo manual). La estación CRÍTICA es el paletizado MANUAL: un operario levanta garrafones de 25 kg uno a uno al pallet.</t>
        </r>
      </text>
    </comment>
    <comment ref="E7" authorId="0">
      <text>
        <r>
          <rPr>
            <sz val="10"/>
            <rFont val="Arial"/>
            <family val="2"/>
          </rPr>
          <t xml:space="preserve">Monoblock 11–25 L clase QGF-600 usada [6][7][8].</t>
        </r>
      </text>
    </comment>
    <comment ref="E8" authorId="0">
      <text>
        <r>
          <rPr>
            <sz val="10"/>
            <rFont val="Arial"/>
            <family val="2"/>
          </rPr>
          <t xml:space="preserve">Base: 2 operarios con relevo. Con 1 solo, la línea cae a 240 gfn/h y NO cubre la demanda (ver Capacidad).</t>
        </r>
      </text>
    </comment>
    <comment ref="E9" authorId="0">
      <text>
        <r>
          <rPr>
            <sz val="10"/>
            <rFont val="Arial"/>
            <family val="2"/>
          </rPr>
          <t xml:space="preserve">Carga de 25 kg del transportador al pallet (5 capas): ciclo sostenible ~15 s/gfn = 240/h por operario, límite ergonómico de levantamiento repetitivo (criterio tipo NIOSH); requiere pausas y relevo. ESTACIÓN CRÍTICA de L3 por indicación del proyecto.</t>
        </r>
      </text>
    </comment>
    <comment ref="E10" authorId="0">
      <text>
        <r>
          <rPr>
            <sz val="10"/>
            <rFont val="Arial"/>
            <family val="2"/>
          </rPr>
          <t xml:space="preserve">Demanda baja: 1 turno (editable).</t>
        </r>
      </text>
    </comment>
    <comment ref="E12" authorId="0">
      <text>
        <r>
          <rPr>
            <sz val="10"/>
            <rFont val="Arial"/>
            <family val="2"/>
          </rPr>
          <t xml:space="preserve">Garrafón en contraciclo (análisis multivariado): ~2,3 días/semana bastan. Editable.</t>
        </r>
      </text>
    </comment>
    <comment ref="E13" authorId="0">
      <text>
        <r>
          <rPr>
            <sz val="10"/>
            <rFont val="Arial"/>
            <family val="2"/>
          </rPr>
          <t xml:space="preserve">Parada anual programada (overhaul). Ya descontada en la fila anterior; aquí solo se documenta.</t>
        </r>
      </text>
    </comment>
    <comment ref="E14" authorId="0">
      <text>
        <r>
          <rPr>
            <sz val="10"/>
            <rFont val="Arial"/>
            <family val="2"/>
          </rPr>
          <t xml:space="preserve">5 racks×6.</t>
        </r>
      </text>
    </comment>
    <comment ref="E16" authorId="0">
      <text>
        <r>
          <rPr>
            <sz val="10"/>
            <rFont val="Arial"/>
            <family val="2"/>
          </rPr>
          <t xml:space="preserve">Visita: alistamiento 1 h + saneamiento 10 min.</t>
        </r>
      </text>
    </comment>
    <comment ref="E20" authorId="0">
      <text>
        <r>
          <rPr>
            <sz val="10"/>
            <rFont val="Arial"/>
            <family val="2"/>
          </rPr>
          <t xml:space="preserve">Turno de 8 h (visita).</t>
        </r>
      </text>
    </comment>
    <comment ref="E21" authorId="0">
      <text>
        <r>
          <rPr>
            <sz val="10"/>
            <rFont val="Arial"/>
            <family val="2"/>
          </rPr>
          <t xml:space="preserve">VISITA: alistamiento 1 h + saneamiento 10 min = 70 min. Dato del sistema, no ajustado.</t>
        </r>
      </text>
    </comment>
    <comment ref="E22" authorId="0">
      <text>
        <r>
          <rPr>
            <sz val="10"/>
            <rFont val="Arial"/>
            <family val="2"/>
          </rPr>
          <t xml:space="preserve">Aunque la línea es simple, la estación crítica es MANUAL: relevos y pausas de recuperación por carga de 25 kg equivalen a paradas no planeadas ~45 min/turno.</t>
        </r>
      </text>
    </comment>
    <comment ref="E26" authorId="0">
      <text>
        <r>
          <rPr>
            <sz val="10"/>
            <rFont val="Arial"/>
            <family val="2"/>
          </rPr>
          <t xml:space="preserve">Diseño del CUELLO de L3 (paletizado manual): 2 operarios × 260 gfn/h a ritmo estándar sin fatiga; real 2×240=480 → SE=92,3 %.</t>
        </r>
      </text>
    </comment>
    <comment ref="E28" authorId="0">
      <text>
        <r>
          <rPr>
            <sz val="10"/>
            <rFont val="Arial"/>
            <family val="2"/>
          </rPr>
          <t xml:space="preserve">Pausas de micro-recuperación del operario de paletizado (25 kg repetitivo): ~30 min/turno distribuidos.</t>
        </r>
      </text>
    </comment>
    <comment ref="E31" authorId="0">
      <text>
        <r>
          <rPr>
            <sz val="10"/>
            <rFont val="Arial"/>
            <family val="2"/>
          </rPr>
          <t xml:space="preserve">Dato del archivo original (0,068 %).</t>
        </r>
      </text>
    </comment>
    <comment ref="E37" authorId="0">
      <text>
        <r>
          <rPr>
            <sz val="10"/>
            <rFont val="Arial"/>
            <family val="2"/>
          </rPr>
          <t xml:space="preserve">P3 CORREGIDO: combinación de pronósticos (directo + ligado al mercado de AGUA, Bates-Granger 50/50): el garrafón es agua y hereda parcialmente su dinámica. Backtest: directo 1,9 %, agua 7,5 %, combinado 4,6 % MAPE.</t>
        </r>
      </text>
    </comment>
    <comment ref="E40" authorId="0">
      <text>
        <r>
          <rPr>
            <sz val="10"/>
            <rFont val="Arial"/>
            <family val="2"/>
          </rPr>
          <t xml:space="preserve">7,00 M L / 25 L.</t>
        </r>
      </text>
    </comment>
  </commentList>
</comments>
</file>

<file path=xl/sharedStrings.xml><?xml version="1.0" encoding="utf-8"?>
<sst xmlns="http://schemas.openxmlformats.org/spreadsheetml/2006/main" count="380" uniqueCount="314">
  <si>
    <t xml:space="preserve">CÁLCULO DE TIEMPOS — PLANTA KOF FONTIBÓN (CORREGIDO)  ·  Formulación APM (apuntes del curso)</t>
  </si>
  <si>
    <t xml:space="preserve">Líneas: L1 = Coca-Cola 350 ml vidrio retornable · L2 = QuAtro 1.5 L PET NR · L3 = Garrafón 25 L. Demanda: pronóstico abr-2026→mar-2027 del proyecto.</t>
  </si>
  <si>
    <t xml:space="preserve">■ Fuentes de las tasas nominales (Rp máquina)</t>
  </si>
  <si>
    <t xml:space="preserve">L1: 40.000–45.000 bph observados en visita técnica (se usa 42.500 central, rango en sensibilidad). L2: llenadora KRONES usada ~2004 tipo monoblock (referencias de mercado de usados equivalentes a los enlaces suministrados): 12.000 bph en botella 1,5 L (14.000 en 0,5 L). L3: no hay dato de planta; se adopta línea industrial de garrafón 3–5 gal tipo QGF-600 → 600 gfn/h (familia QGF: 100–1.200 bph; QGF-900 = 6 válvulas, 900 bph).</t>
  </si>
  <si>
    <t xml:space="preserve">■ OEE bottom-up (no calibrado)</t>
  </si>
  <si>
    <t xml:space="preserve">El OEE se CONSTRUYE por línea desde los datos del sistema y el 75–78 % de la visita se usa solo como VALIDACIÓN: A = Ter/Tep con Tip=70 min (alistamiento+saneamiento, visita) y Tnp por línea (protocolo de fallas de la visita); SE = Rp real/Rp de diseño (L1: 40.000 del EBI / 42.500 de la llenadora = 94,1 %; L2: 12.000/13.000 usado; L3: 600/650); RE desde microparos medibles (reacción 5 min, chequeos horarios → 15–30 min/turno); Q = 99,93 % (archivo original). El OEE resultante cae por sí solo en el rango observado — fila de validación explícita.</t>
  </si>
  <si>
    <t xml:space="preserve">■ Tiempos de la visita usados</t>
  </si>
  <si>
    <t xml:space="preserve">Alistamiento Tsu = 1 h + saneamiento 10 min = 70 min por corrida (notas de visita, línea PET). Cambio de producto 1 h (1 h 10 en L3-PET). Monitoreo de paneles cada 1 h; ante falla se detiene y se revisa la producción 1 h antes y 1 h después (usado en el bloque MTBF/MTTR ilustrativo).</t>
  </si>
  <si>
    <t xml:space="preserve">■ Qué se corrigió del archivo original</t>
  </si>
  <si>
    <t xml:space="preserve">Ver hoja 'Correcciones': 8 hallazgos, del error conceptual Takt=Tc a las tasas no soportadas por la visita.</t>
  </si>
  <si>
    <t xml:space="preserve">■ Paletizado/despaletizado manual</t>
  </si>
  <si>
    <t xml:space="preserve">La planta NO tiene celdas robóticas: paletizado y despaletizado son manuales. Se modelan como estaciones con Tc igual al del cuello de botella (línea sincronizada al llenado) y Tno declarado; NO limitan la tasa porque trabajan en paralelo por cuadrillas, pero sí suman al MLT.</t>
  </si>
  <si>
    <t xml:space="preserve">■ Estación crítica</t>
  </si>
  <si>
    <t xml:space="preserve">El llenado es la estación crítica (naturaleza del proceso): la tasa de línea = tasa de la llenadora. Tc = 3600/Rp_llenadora.</t>
  </si>
  <si>
    <t xml:space="preserve">■ TEEP</t>
  </si>
  <si>
    <t xml:space="preserve">TEEP no está en los apuntes; se usa la definición estándar TEEP = OEE × Carga, con Carga = tiempo programado (S·H·días operativos)/tiempo calendario (24 h × 365 d). Mide cuánto del calendario total se convierte en producción buena.</t>
  </si>
  <si>
    <t xml:space="preserve">■ Hallazgo de capacidad (ver hoja Capacidad_vs_Demanda)</t>
  </si>
  <si>
    <t xml:space="preserve">Con 2 turnos, la capacidad EFECTIVA de L1 y L2 queda por debajo de la demanda pronosticada (U&gt;100 %): se requiere tercer turno (al menos en meses pico) o recalibrar la captura de planta del supuesto S3. El detalle y los escenarios están en la hoja.</t>
  </si>
  <si>
    <t xml:space="preserve">AUDITORÍA DEL ARCHIVO ORIGINAL (Calculo_de_tiempos_-_APM_.xlsx)</t>
  </si>
  <si>
    <t xml:space="preserve">Hallazgo</t>
  </si>
  <si>
    <t xml:space="preserve">En el archivo original</t>
  </si>
  <si>
    <t xml:space="preserve">Corrección aplicada aquí</t>
  </si>
  <si>
    <t xml:space="preserve">1. Takt ≠ Tiempo de ciclo</t>
  </si>
  <si>
    <t xml:space="preserve">Fila 'Tack Time = Tiempo ciclo' y SE calculado con Takt=Tc (SE=B9/B32).</t>
  </si>
  <si>
    <t xml:space="preserve">Takt = T_D/D depende de la DEMANDA (apuntes); Tc = 3600/Rp depende de la MÁQUINA. Se calculan por separado y se comparan (holgura Takt−Tc).</t>
  </si>
  <si>
    <t xml:space="preserve">2. Tasas sin soporte</t>
  </si>
  <si>
    <t xml:space="preserve">350 ml a 50.000 bph; '1L' con 40.000 y 60.000 en hojas distintas; garrafón '60 L/hora' (≈2,4 gfn/h, imposible).</t>
  </si>
  <si>
    <t xml:space="preserve">L1=42.500 bph (visita 40–45 k); L2=12.000 bph (KRONES usada 2004, refs. de mercado); L3=600 gfn/h (QGF-600). Fuente en comentario de cada celda.</t>
  </si>
  <si>
    <t xml:space="preserve">3. RE = 1,10 &gt; 1</t>
  </si>
  <si>
    <t xml:space="preserve">Volumen real supuesto = objetivo y Tc inflado ×1,1 → RE imposible (&gt;1).</t>
  </si>
  <si>
    <t xml:space="preserve">RE = (Vol.real×Tc)/Ter con Vol.real medido u objetivo×OEE; aquí PE=RE·SE se calibra al OEE observado (75–78 %) y RE≤1 por construcción.</t>
  </si>
  <si>
    <t xml:space="preserve">4. SE = 0,8 'porque sí'</t>
  </si>
  <si>
    <t xml:space="preserve">Celda K8: 'Porque si'.</t>
  </si>
  <si>
    <t xml:space="preserve">SE = Tc diseñado/Tc real (apuntes). Con línea sincronizada al cuello, SE se estima de la razón velocidad real/nominal; queda editable y documentado.</t>
  </si>
  <si>
    <t xml:space="preserve">5. Sin TEEP</t>
  </si>
  <si>
    <t xml:space="preserve">No existe.</t>
  </si>
  <si>
    <t xml:space="preserve">Hoja OEE_TEEP: TEEP = OEE × Carga calendario, por línea y escenario de turnos.</t>
  </si>
  <si>
    <t xml:space="preserve">6. Sin vínculo a demanda</t>
  </si>
  <si>
    <t xml:space="preserve">Botellas/turno arbitrarias (210.000; 100.000; 5.000).</t>
  </si>
  <si>
    <t xml:space="preserve">Demanda = pronóstico del proyecto (abr-26→mar-27): Takt promedio y de mes pico (dic-26); PC vs demanda → Utilización U.</t>
  </si>
  <si>
    <t xml:space="preserve">7. Sin Tb, Tp, MLT</t>
  </si>
  <si>
    <t xml:space="preserve">Fórmulas de lote y lead time ausentes.</t>
  </si>
  <si>
    <t xml:space="preserve">Tb=Tsu+Q·Tc; Tp=Tb/Q; Rp=60/Tp; MLT=Tsu(max)+Σ(Tci+Tnoi)+(Q−1)·Tc_n con estaciones reales (paletizado manual incluido).</t>
  </si>
  <si>
    <t xml:space="preserve">8. Horas útiles fijas 7 h sin trazar</t>
  </si>
  <si>
    <t xml:space="preserve">'Horas útiles' = 7 sin descomponer.</t>
  </si>
  <si>
    <t xml:space="preserve">Tt→Tip→Tep→Tnp→Ter explícitos (8,0−1,0=7,0; −0,75→6,25 h) → A=89,3 %, consistente con OEE 76,5 % de la visita.</t>
  </si>
  <si>
    <t xml:space="preserve">PARÁMETROS (azul/amarillo = editable; comentario = fuente)</t>
  </si>
  <si>
    <t xml:space="preserve">Líneas y tasas nominales de máquina (Rp, unidades/hora)</t>
  </si>
  <si>
    <t xml:space="preserve">Concepto</t>
  </si>
  <si>
    <t xml:space="preserve">L1 · CC 350 ret.</t>
  </si>
  <si>
    <t xml:space="preserve">L2 · QuAtro 1.5 PET</t>
  </si>
  <si>
    <t xml:space="preserve">L3 · Garrafón 25 L</t>
  </si>
  <si>
    <t xml:space="preserve">Rp nominal llenadora (und/h)  — estación crítica</t>
  </si>
  <si>
    <t xml:space="preserve">L3 · llenadora nominal (gfn/h)</t>
  </si>
  <si>
    <t xml:space="preserve">L3 · operarios en paletizado manual</t>
  </si>
  <si>
    <t xml:space="preserve">L3 · ritmo manual sostenible (gfn/h por operario)</t>
  </si>
  <si>
    <t xml:space="preserve">S — turnos por día</t>
  </si>
  <si>
    <t xml:space="preserve">H — horas por turno</t>
  </si>
  <si>
    <t xml:space="preserve">Días operativos por AÑO (calendario Bogotá)</t>
  </si>
  <si>
    <t xml:space="preserve">Mantenimiento mayor incluido arriba (días/año)</t>
  </si>
  <si>
    <t xml:space="preserve">Unidades por pallet</t>
  </si>
  <si>
    <t xml:space="preserve">Q — LOTE = producción de UN TURNO de 8 h (und, redondeado a pallets)</t>
  </si>
  <si>
    <t xml:space="preserve">Tsu — alistamiento por corrida (min)</t>
  </si>
  <si>
    <t xml:space="preserve">OEE construido BOTTOM-UP desde el sistema (por línea) — el rango 75–78 % de la visita se usa como VALIDACIÓN, no como objetivo</t>
  </si>
  <si>
    <t xml:space="preserve">L1 · CC 350</t>
  </si>
  <si>
    <t xml:space="preserve">L2 · QuAtro 1.5</t>
  </si>
  <si>
    <t xml:space="preserve">L3 · Garrafón</t>
  </si>
  <si>
    <t xml:space="preserve">Tt · turno (h)</t>
  </si>
  <si>
    <t xml:space="preserve">Tip · inactividad planeada (h/turno)</t>
  </si>
  <si>
    <t xml:space="preserve">Tnp · inactividad NO planeada (h/turno)</t>
  </si>
  <si>
    <t xml:space="preserve">Tep = Tt − Tip (h)</t>
  </si>
  <si>
    <t xml:space="preserve">Ter = Tep − Tnp (h)</t>
  </si>
  <si>
    <t xml:space="preserve">A = Ter/Tep  (disponibilidad)</t>
  </si>
  <si>
    <t xml:space="preserve">Tasa de DISEÑO de la llenadora (und/h)</t>
  </si>
  <si>
    <t xml:space="preserve">SE = Rp real / Rp diseño  (= Tc_diseño/Tc_real)</t>
  </si>
  <si>
    <t xml:space="preserve">Microparos y ajustes (min/turno) → RE</t>
  </si>
  <si>
    <t xml:space="preserve">RE = (Ter − micro/60)/Ter</t>
  </si>
  <si>
    <t xml:space="preserve">PE = RE × SE</t>
  </si>
  <si>
    <t xml:space="preserve">Rechazo (defectuosos/volumen)</t>
  </si>
  <si>
    <t xml:space="preserve">Q = 1 − rechazo</t>
  </si>
  <si>
    <t xml:space="preserve">OEE = A × PE × Q  (RESULTADO del sistema)</t>
  </si>
  <si>
    <t xml:space="preserve">VALIDACIÓN: ¿dentro del 75–78 % observado en visita?</t>
  </si>
  <si>
    <t xml:space="preserve">Demanda del pronóstico (abr-2026 → mar-2027) — unidades</t>
  </si>
  <si>
    <t xml:space="preserve">L1 (P1)</t>
  </si>
  <si>
    <t xml:space="preserve">L2 (P2)</t>
  </si>
  <si>
    <t xml:space="preserve">L3 (P3)</t>
  </si>
  <si>
    <t xml:space="preserve">Demanda anual (und)</t>
  </si>
  <si>
    <t xml:space="preserve">Demanda mes promedio (und)</t>
  </si>
  <si>
    <t xml:space="preserve">Demanda mes PICO · dic-26 (und)</t>
  </si>
  <si>
    <t xml:space="preserve">Demanda 2025 — estado ACTUAL (und)</t>
  </si>
  <si>
    <t xml:space="preserve">TIEMPOS POR LÍNEA — fórmulas APM; lote Q = producción de un turno de 8 h</t>
  </si>
  <si>
    <t xml:space="preserve">Métrica (fórmula)</t>
  </si>
  <si>
    <t xml:space="preserve">Descripción y aplicación</t>
  </si>
  <si>
    <t xml:space="preserve">Tc = 3600/Rp_real  (s/und)</t>
  </si>
  <si>
    <t xml:space="preserve">Ciclo de la estación crítica: L1 llenadora Mecafill (tras reasignar la HEUFT a L1); L2 bloc KRONES 2004; L3 PALETIZADO MANUAL (2 operarios × 240 gfn/h, carga de 25 kg) — no la llenadora.</t>
  </si>
  <si>
    <t xml:space="preserve">T_D disponible/día (s) = S × Ter × 3600</t>
  </si>
  <si>
    <t xml:space="preserve">Tiempo real de ejecución por día (Ter por turno, ya sin Tip ni Tnp).</t>
  </si>
  <si>
    <t xml:space="preserve">D — demanda diaria promedio (und/día)</t>
  </si>
  <si>
    <t xml:space="preserve">Mes promedio del pronóstico / días operativos del mes (días año/12).</t>
  </si>
  <si>
    <t xml:space="preserve">D_pico — demanda diaria dic-26 (und/día)</t>
  </si>
  <si>
    <t xml:space="preserve">Mes de máxima demanda.</t>
  </si>
  <si>
    <t xml:space="preserve">Takt = T_D/D  (s/und)</t>
  </si>
  <si>
    <t xml:space="preserve">Ritmo del mercado (apuntes). Comparar con Tc: Takt&lt;Tc ⇒ el sistema no alcanza.</t>
  </si>
  <si>
    <t xml:space="preserve">Takt mes pico (s/und)</t>
  </si>
  <si>
    <t xml:space="preserve">Takt de diciembre.</t>
  </si>
  <si>
    <t xml:space="preserve">Razón Tc_ef/Takt_pico (=U pico)</t>
  </si>
  <si>
    <t xml:space="preserve">&gt;1 ⇒ infactible en el pico con turnos actuales (ver Capacidad_vs_Demanda).</t>
  </si>
  <si>
    <t xml:space="preserve">Q — lote de UN TURNO (und)</t>
  </si>
  <si>
    <t xml:space="preserve">Definición del proyecto: el lote es lo producido en un turno de 8 h (Rp_real×8×OEE), redondeado a pallets completos.</t>
  </si>
  <si>
    <t xml:space="preserve">Lote en pallets</t>
  </si>
  <si>
    <t xml:space="preserve">L1≈162 · L2≈87 · L3≈97 pallets por turno.</t>
  </si>
  <si>
    <t xml:space="preserve">T_b = Tsu + Q·Tc  (h)</t>
  </si>
  <si>
    <t xml:space="preserve">Duración del lote-turno: alistamiento (70 min) + corrida. Debe caber en las 8 h del turno (≈7,3 h: consistente).</t>
  </si>
  <si>
    <t xml:space="preserve">T_p = T_b/Q  (s/und)</t>
  </si>
  <si>
    <t xml:space="preserve">Tiempo por unidad con el alistamiento prorrateado en el lote-turno (≈Tc·1,16).</t>
  </si>
  <si>
    <t xml:space="preserve">R_p lote = 3600/T_p  (und/h)</t>
  </si>
  <si>
    <t xml:space="preserve">Tasa real del turno incluyendo el alistamiento.</t>
  </si>
  <si>
    <t xml:space="preserve">PC = n·S·H·Rp_real (und/día)</t>
  </si>
  <si>
    <t xml:space="preserve">Capacidad bruta por día operativo (apuntes).</t>
  </si>
  <si>
    <t xml:space="preserve">PC efectiva anual = PC×días×OEE (und)</t>
  </si>
  <si>
    <t xml:space="preserve">Capacidad realista anual con calendario de Bogotá (286/286/120 días) y OEE bottom-up por línea.</t>
  </si>
  <si>
    <t xml:space="preserve">MLT = Tsu(max) + Σ(Tc_i + Tno_i) + (Q−1)·Tc_cuello — sobre la base de los VSM del proyecto</t>
  </si>
  <si>
    <t xml:space="preserve">Tc_i y disponibilidades por estación: VSM Línea 2 (330 mL→L1), VSM Línea 3 (1L-2L→L2), VSM Línea 7 (20L→L3). Tno_i = esperas de inventario del VSM (h→s). Q = lote de un turno. En L3 el paletizado es MANUAL (25 kg/gfn) y es la estación crítica.</t>
  </si>
  <si>
    <t xml:space="preserve">L1 · CC 350 (base VSM Línea 2)</t>
  </si>
  <si>
    <t xml:space="preserve">Estación (VSM)</t>
  </si>
  <si>
    <t xml:space="preserve">Tc_i (s)</t>
  </si>
  <si>
    <t xml:space="preserve">Disp. VSM</t>
  </si>
  <si>
    <t xml:space="preserve">Tno_i (h)</t>
  </si>
  <si>
    <t xml:space="preserve">Tno_i (s)</t>
  </si>
  <si>
    <t xml:space="preserve">Recepción</t>
  </si>
  <si>
    <t xml:space="preserve">Lavado</t>
  </si>
  <si>
    <t xml:space="preserve">Mezclado</t>
  </si>
  <si>
    <t xml:space="preserve">Llenado</t>
  </si>
  <si>
    <t xml:space="preserve">Tapado</t>
  </si>
  <si>
    <t xml:space="preserve">Etiquetado</t>
  </si>
  <si>
    <t xml:space="preserve">Inspección (HEUFT PRIME reasignada)</t>
  </si>
  <si>
    <t xml:space="preserve">Paletizado manual</t>
  </si>
  <si>
    <t xml:space="preserve">Almacenaje</t>
  </si>
  <si>
    <t xml:space="preserve">MLT del lote-turno (h)</t>
  </si>
  <si>
    <t xml:space="preserve">Alistamiento + paso por estaciones + esperas VSM + corrida del lote. Nota: en L3 el Tc del VSM del paletizado (4 s) se corrige a 15 s por la realidad manual de 25 kg — indicación del proyecto.</t>
  </si>
  <si>
    <t xml:space="preserve">L2 · QuAtro 1.5 (base VSM Línea 3)</t>
  </si>
  <si>
    <t xml:space="preserve">Recepción preformas</t>
  </si>
  <si>
    <t xml:space="preserve">Soplado</t>
  </si>
  <si>
    <t xml:space="preserve">Enjuague</t>
  </si>
  <si>
    <t xml:space="preserve">Inspección (Linatronic reasignada)</t>
  </si>
  <si>
    <t xml:space="preserve">L3 · Garrafón (base VSM Línea 7)</t>
  </si>
  <si>
    <t xml:space="preserve">Inspección</t>
  </si>
  <si>
    <t xml:space="preserve">PALETIZADO MANUAL 25 kg (crítica)</t>
  </si>
  <si>
    <t xml:space="preserve">OEE (bottom-up, por línea) y TEEP con calendario de Bogotá</t>
  </si>
  <si>
    <t xml:space="preserve">Métrica</t>
  </si>
  <si>
    <t xml:space="preserve">L1</t>
  </si>
  <si>
    <t xml:space="preserve">L2</t>
  </si>
  <si>
    <t xml:space="preserve">L3</t>
  </si>
  <si>
    <t xml:space="preserve">A = Ter/Tep</t>
  </si>
  <si>
    <t xml:space="preserve">Disponibilidad desde tiempos del sistema (Tip=70 min visita; Tnp por línea).</t>
  </si>
  <si>
    <t xml:space="preserve">SE = Rp real/Rp diseño</t>
  </si>
  <si>
    <t xml:space="preserve">Del sistema: L1 42,5k/45k (usada bajo placa); L2 12k/13k; L3 480/520 (ritmo manual real vs estándar).</t>
  </si>
  <si>
    <t xml:space="preserve">RE (microparos medidos)</t>
  </si>
  <si>
    <t xml:space="preserve">Pérdidas de ritmo dentro de Ter: 30/25/30 min por turno (protocolo de visita; en L3, recuperación del operario).</t>
  </si>
  <si>
    <t xml:space="preserve">PE = RE×SE</t>
  </si>
  <si>
    <t xml:space="preserve">Eficiencia de desempeño resultante.</t>
  </si>
  <si>
    <t xml:space="preserve">Q calidad</t>
  </si>
  <si>
    <t xml:space="preserve">Rechazo 0,068 % (archivo original).</t>
  </si>
  <si>
    <t xml:space="preserve">OEE = A×PE×Q (resultado)</t>
  </si>
  <si>
    <t xml:space="preserve">RESULTA en 75–78 % — coincide con la visita SIN calibración. Clasificación de los apuntes: 'Buena/Aceptable'.</t>
  </si>
  <si>
    <t xml:space="preserve">Validación vs visita 75–78 %</t>
  </si>
  <si>
    <t xml:space="preserve">Chequeo explícito: el rango observado valida el modelo del sistema.</t>
  </si>
  <si>
    <t xml:space="preserve">Carga = S·H·días/(24·365)</t>
  </si>
  <si>
    <t xml:space="preserve">Calendario laboral Bogotá (286 días; L3 120 en contraciclo).</t>
  </si>
  <si>
    <t xml:space="preserve">TEEP = OEE×Carga</t>
  </si>
  <si>
    <t xml:space="preserve">Eficacia sobre el calendario TOTAL (definición estándar, declarada). La brecha OEE→TEEP = turnos no programados.</t>
  </si>
  <si>
    <t xml:space="preserve">CAPACIDAD EFECTIVA vs DEMANDA — 2025 (estado actual) y 2026 (pronóstico)</t>
  </si>
  <si>
    <t xml:space="preserve">Lectura</t>
  </si>
  <si>
    <t xml:space="preserve">Demanda 2025 — actual (und)</t>
  </si>
  <si>
    <t xml:space="preserve">Serie real reconstruida 2025.</t>
  </si>
  <si>
    <t xml:space="preserve">Demanda 2026 — pronóstico (und)</t>
  </si>
  <si>
    <t xml:space="preserve">abr-26→mar-27 (HW).</t>
  </si>
  <si>
    <t xml:space="preserve">Capacidad efectiva anual (und)</t>
  </si>
  <si>
    <t xml:space="preserve">Turnos 2/2/1, calendario Bogotá, OEE por línea; L3 con 2 operarios de paletizado (cuello 480 gfn/h).</t>
  </si>
  <si>
    <t xml:space="preserve">U 2025 — estado actual</t>
  </si>
  <si>
    <t xml:space="preserve">L1 y L2 ya por encima de 2 turnos HOY; L3 factible gracias al 2.º operario.</t>
  </si>
  <si>
    <t xml:space="preserve">U 2026 — futuro</t>
  </si>
  <si>
    <t xml:space="preserve">La brecha crece con el pronóstico.</t>
  </si>
  <si>
    <t xml:space="preserve">Escenario 3 turnos (L1/L2)</t>
  </si>
  <si>
    <t xml:space="preserve">Capacidad si pasan a 3×8 h.</t>
  </si>
  <si>
    <t xml:space="preserve">U 2026 con 3 turnos</t>
  </si>
  <si>
    <t xml:space="preserve">Vuelven a rango factible.</t>
  </si>
  <si>
    <t xml:space="preserve">L3 con 1 solo operario (sensibilidad)</t>
  </si>
  <si>
    <t xml:space="preserve">Si el paletizado queda con 1 operario, el cuello cae a 240 gfn/h y U≈161 %: INFACTIBLE. El 2.º operario (o rotación) es obligatorio.</t>
  </si>
  <si>
    <t xml:space="preserve">DICTAMEN: tras reasignar inspectoras (HEUFT→L1, Linatronic→L2, capex cero) el cuello de L1 vuelve a la llenadora (42.500) y aun así, con calendario real de Bogotá y 2 turnos, L1 y L2 están sobre-utilizadas hoy (U2025≈117 %/122 %) y más en el pronóstico (U2026≈125 %/130 %): se requiere 3.er turno (U2026≈83 %/86 %) o recalibrar la captura S3. En L3 la estación crítica es el PALETIZADO MANUAL (25 kg/gfn): con 2 operarios la línea rinde 480 gfn/h y U≈81 %; con 1 operario es infactible (161 %) — prioridad ergonómica y candidata natural a semiautomatización en fases futuras.</t>
  </si>
  <si>
    <t xml:space="preserve">MÁQUINAS POR ETAPA — referencias comerciales realistas (equipos usados, planta de 15+ años)</t>
  </si>
  <si>
    <t xml:space="preserve">Tasas de catálogo/mercado de usados por marca (columna Ref → hoja Referencias). Tc = 3600/tasa. La estación con MENOR tasa define la línea (cuello = llenadora en L1/L2/L3).</t>
  </si>
  <si>
    <t xml:space="preserve">Etapa / máquina</t>
  </si>
  <si>
    <t xml:space="preserve">Referencia comercial (marca · modelo · condición)</t>
  </si>
  <si>
    <t xml:space="preserve">Tasa (und/h)</t>
  </si>
  <si>
    <t xml:space="preserve">Tc (s/und)</t>
  </si>
  <si>
    <t xml:space="preserve">Ref</t>
  </si>
  <si>
    <t xml:space="preserve">¿Cuello?  ·  Nota</t>
  </si>
  <si>
    <t xml:space="preserve">L1 · Coca-Cola 350 ml vidrio retornable  (2 turnos × 8 h)</t>
  </si>
  <si>
    <t xml:space="preserve">Despaletizado / desencajonado</t>
  </si>
  <si>
    <t xml:space="preserve">MANUAL por cuadrillas (sin celdas robóticas en planta)</t>
  </si>
  <si>
    <t xml:space="preserve">manual</t>
  </si>
  <si>
    <t xml:space="preserve">—</t>
  </si>
  <si>
    <t xml:space="preserve">No limita tasa (paralelo); suma Tno al MLT.</t>
  </si>
  <si>
    <t xml:space="preserve">Lavadora de botellas</t>
  </si>
  <si>
    <t xml:space="preserve">KRONES Lavatec (usada; clase 50–60k bph en vidrio retornable)</t>
  </si>
  <si>
    <t xml:space="preserve">[2]</t>
  </si>
  <si>
    <t xml:space="preserve">Sobredimensionada vs llenadora: absorbe paradas cortas.</t>
  </si>
  <si>
    <t xml:space="preserve">Inspección (vacía/llena)</t>
  </si>
  <si>
    <t xml:space="preserve">HEUFT PRIME reasignada DESDE L2 (72.000 cph): estaba sobredimensionada allí</t>
  </si>
  <si>
    <t xml:space="preserve">[9]</t>
  </si>
  <si>
    <t xml:space="preserve">Intercambio capex-cero propuesto: libera el cuello de 40k que imponía la Linatronic.</t>
  </si>
  <si>
    <t xml:space="preserve">Llenadora + tapadora (corona)</t>
  </si>
  <si>
    <t xml:space="preserve">KRONES Mecafill/Modulfill vidrio usada — 40–45k bph (visita)</t>
  </si>
  <si>
    <t xml:space="preserve">SÍ — con la HEUFT en L1, la llenadora vuelve a ser la crítica.</t>
  </si>
  <si>
    <t xml:space="preserve">Inspección botella llena</t>
  </si>
  <si>
    <t xml:space="preserve">KRONES Checkmat usada (nivel/tapa; ≥ línea)</t>
  </si>
  <si>
    <t xml:space="preserve">No limita.</t>
  </si>
  <si>
    <t xml:space="preserve">Encajonado</t>
  </si>
  <si>
    <t xml:space="preserve">Empacadora de cajones usada (clase ≥50k bph)</t>
  </si>
  <si>
    <t xml:space="preserve">Paletizado</t>
  </si>
  <si>
    <t xml:space="preserve">MANUAL por cuadrillas</t>
  </si>
  <si>
    <t xml:space="preserve">Suma Tno al MLT (90 s declarados).</t>
  </si>
  <si>
    <t xml:space="preserve">Cuello de la línea (mín. tasa)</t>
  </si>
  <si>
    <t xml:space="preserve">Debe coincidir con la Rp de Parametros (misma llenadora).</t>
  </si>
  <si>
    <t xml:space="preserve">L2 · QuAtro 1.5 L PET NR  (2 turnos × 8 h)</t>
  </si>
  <si>
    <t xml:space="preserve">Bloc soplado-llenado-tapado</t>
  </si>
  <si>
    <t xml:space="preserve">KRONES Contiform Bloc usado 2004 (CSD): 12.000 bph @1,5 L</t>
  </si>
  <si>
    <t xml:space="preserve">[3]</t>
  </si>
  <si>
    <t xml:space="preserve">SÍ — el bloc integra la crítica; 14.000 @0,5 L.</t>
  </si>
  <si>
    <t xml:space="preserve">KRONES Linatronic 713 reasignada DESDE L1 (40.000 bph)</t>
  </si>
  <si>
    <t xml:space="preserve">[1]</t>
  </si>
  <si>
    <t xml:space="preserve">Sobra ampliamente vs bloc de 12k; no limita.</t>
  </si>
  <si>
    <t xml:space="preserve">Etiquetadora</t>
  </si>
  <si>
    <t xml:space="preserve">KRONES Contiroll usada (2004)</t>
  </si>
  <si>
    <t xml:space="preserve">[4]</t>
  </si>
  <si>
    <t xml:space="preserve">Empaque packs ×6</t>
  </si>
  <si>
    <t xml:space="preserve">KRONES Variopac usada: 28–30 cajas/min (6×4) ≈ 40k bph</t>
  </si>
  <si>
    <t xml:space="preserve">Suma Tno al MLT.</t>
  </si>
  <si>
    <t xml:space="preserve">L3 · Garrafón 25 L retornable  (1 turno × 8 h, contraciclo)</t>
  </si>
  <si>
    <t xml:space="preserve">Descapsulado + lavado ext/int</t>
  </si>
  <si>
    <t xml:space="preserve">Lavadora garrafón usada (clase 200–900 gph)</t>
  </si>
  <si>
    <t xml:space="preserve">[7]</t>
  </si>
  <si>
    <t xml:space="preserve">Llenadora-tapadora 3-en-1</t>
  </si>
  <si>
    <t xml:space="preserve">Monoblock garrafón 11–25 L usado (clase QGF-600)</t>
  </si>
  <si>
    <t xml:space="preserve">[6][7][8]</t>
  </si>
  <si>
    <t xml:space="preserve">Capacidad propia 600; queda por ENCIMA del paletizado manual.</t>
  </si>
  <si>
    <t xml:space="preserve">Inspección / lámpara</t>
  </si>
  <si>
    <t xml:space="preserve">Visión + inspección manual asistida</t>
  </si>
  <si>
    <t xml:space="preserve">PALETIZADO MANUAL (crítica)</t>
  </si>
  <si>
    <t xml:space="preserve">2 operarios cargando garrafones de 25 kg uno a uno al pallet (5 capas)</t>
  </si>
  <si>
    <t xml:space="preserve">[10b]</t>
  </si>
  <si>
    <t xml:space="preserve">SÍ — cuello REAL de L3: 240 gfn/h por operario (ciclo ~15 s, límite ergonómico de levantamiento repetitivo tipo NIOSH). Con 1 operario: 240 → infactible.</t>
  </si>
  <si>
    <t xml:space="preserve">REFERENCIAS</t>
  </si>
  <si>
    <t xml:space="preserve">KRONES Linatronic 713 — inspector de botella vacía de vidrio, usado (2013), salida máx. 40.000 bph en el formato menor. MachinePoint, inventario de usados KRONES: https://www.machinepoint.com/machinepoint/inventory.nsf/bybrand?openform=&amp;cat_brand=krones</t>
  </si>
  <si>
    <t xml:space="preserve">Visita técnica planta KOF Fontibón (apuntes propios): línea vidrio 350 ml a 40.000–45.000 bph, 2 turnos de 8 h; alistamiento 1 h + saneamiento 10 min; paneles cada 1 h; sin celdas robóticas (paletizado manual). Clases Lavatec/Checkmat/encajonadora tomadas como no-limitantes por diseño de línea (sobredimensionadas vs. llenadora).</t>
  </si>
  <si>
    <t xml:space="preserve">Línea PET KRONES usada, año 2004, para agua carbonatada y refrescos (CSD): 12.000 bph @1,5 L; 14.000 bph @0,5 L (equivalente comercial de los enlaces Truck1 suministrados). Machineseeker: https://www.machineseeker.com/mss/pet — 'COMPLETE BOTTLING LINE PET KRONES', NP 684 y ficha CSD 2004.</t>
  </si>
  <si>
    <t xml:space="preserve">Referencias KRONES usadas de apoyo: Contiform S8 + Mecafill triblock (2004) 12.800 bph; Contiroll (2004); Variopac 459 (2005) 28–30 cajas/min; línea aséptica 2002: 17.000 bph @1,5 L. Machineseeker/Resale/UsedBottlingLines (ver [3] y https://www.resale.info/en/filling-line-krones/).</t>
  </si>
  <si>
    <t xml:space="preserve">[5]</t>
  </si>
  <si>
    <t xml:space="preserve">KRONES ErgoBloc PET 1,5 L: 32.000 bph (referencia de tope de gama, NO usada aquí; acota el rango). Resale: https://www.resale.info/en/krones-filling-line/</t>
  </si>
  <si>
    <t xml:space="preserve">[6]</t>
  </si>
  <si>
    <t xml:space="preserve">Línea de llenado garrafón retornable clase 11–25 L (5 gal/19 L, incluye 25 L): comercial hasta 3.000 bph, hasta 12 válvulas. iBottling: https://ibottling.com/filling/5-gallon-water-filling-machine/</t>
  </si>
  <si>
    <t xml:space="preserve">Monoblock garrafón QGF-600 (600 gfn/h) y QGF-900 (900 gfn/h, 6 válvulas, barril ф276×490 mm): fichas técnicas comerciales. FESTA: https://www.festamachine.com/300bph-5-gallon-20l-water-bottling-line/ · Made-in-China (QGF-900): https://cnkingmachine.en.made-in-china.com/product/JjMnDgTcgiWX/China-Water-Jar-20-Litre-Liter-Mineral-Water-Filling-Plant-Machine-Line.html · TINGS 600 BPH 18,9/20 L: https://www.jmtings.com/product/600bph-5-gallon-20l-18-9l-bottle-water-filling-machine/</t>
  </si>
  <si>
    <t xml:space="preserve">[8]</t>
  </si>
  <si>
    <t xml:space="preserve">Lavadora 18,9 L usada: 200–300 bph por unidad (se instalan en paralelo). Machineseeker UK: https://www.machineseeker.co.uk/mss/bottle+filling+machine</t>
  </si>
  <si>
    <t xml:space="preserve">HEUFT PRIME — inspector de botella llena, plataforma para líneas de alta velocidad (clase hasta ~72.000 env/h según formato). HEUFT Systemtechnik: https://heuft.com</t>
  </si>
  <si>
    <t xml:space="preserve">[10]</t>
  </si>
  <si>
    <t xml:space="preserve">Calendario laboral Colombia: 18 días festivos/año (Ley 51 de 1983, 'Ley Emiliani': traslado de festivos a lunes). Días operativos L-S Bogotá ≈ 365 − 52 domingos − 17 festivos entre semana ≈ 296; menos 10 días de overhaul anual → 286.</t>
  </si>
  <si>
    <t xml:space="preserve">Estación manual de paletizado de garrafón: ciclo sostenible ~15 s por levantamiento de 25 kg del transportador al pallet (≈240 gfn/h·operario), acotado por criterios de levantamiento repetitivo (ecuación de levantamiento NIOSH, límite recomendado ~23 kg en condiciones ideales → exige relevos y pausas). Indicación del proyecto: estación crítica de L3.</t>
  </si>
  <si>
    <t xml:space="preserve">[13]</t>
  </si>
  <si>
    <t xml:space="preserve">VSM Línea 2 (330 mL), Línea 3 (1L-2L) y Línea 7 (20L) — elaboración propia del proyecto (diagramas adjuntos): TC y disponibilidad por estación, esperas de inventario, LT y VA usados en la hoja MLT_VSM.</t>
  </si>
  <si>
    <t xml:space="preserve">[11]</t>
  </si>
  <si>
    <t xml:space="preserve">OEE 75–78 % de planta y tiempos (Tsu=1 h, saneamiento 10 min, Tnp≈0,75 h/turno, monitoreo horario): visita técnica [2]. Tabla de clasificación OEE y fórmulas Takt/Tc/Tb/Rp/PC/U/MLT/OEE: apuntes del curso APM (C. J. Cortés-Rodríguez, UNAL).</t>
  </si>
  <si>
    <t xml:space="preserve">[12]</t>
  </si>
  <si>
    <t xml:space="preserve">Demandas: 2025 = serie reconstruida con datos trimestrales reales KOF Colombia × participación de planta; 2026 = pronóstico Holt-Winters abr-2026→mar-2027 (repositorio del proyecto, data/).</t>
  </si>
  <si>
    <t xml:space="preserve">GLOSARIO</t>
  </si>
  <si>
    <t xml:space="preserve">Rp</t>
  </si>
  <si>
    <t xml:space="preserve">Tasa de producción (und/h). 'Nominal/diseño' = placa de la máquina; 'real' = velocidad sostenida del equipo usado o del cuello.</t>
  </si>
  <si>
    <t xml:space="preserve">Tc</t>
  </si>
  <si>
    <t xml:space="preserve">Tiempo de ciclo (s/und) = 3600/Rp. El de la estación crítica marca el pulso de la línea.</t>
  </si>
  <si>
    <t xml:space="preserve">Takt</t>
  </si>
  <si>
    <t xml:space="preserve">Ritmo de la demanda = tiempo neto disponible / unidades demandadas. Takt&lt;Tc ⇒ el sistema no alcanza.</t>
  </si>
  <si>
    <t xml:space="preserve">Tt, Tip, Tnp, Tep, Ter</t>
  </si>
  <si>
    <t xml:space="preserve">Turno total; inactividad planeada (alistamiento+saneamiento); no planeada (fallas); Tep=Tt−Tip; Ter=Tep−Tnp (tiempo real de ejecución).</t>
  </si>
  <si>
    <t xml:space="preserve">Tsu</t>
  </si>
  <si>
    <t xml:space="preserve">Tiempo de alistamiento por corrida (70 min: 1 h + 10 min de saneamiento, visita).</t>
  </si>
  <si>
    <t xml:space="preserve">Q (lote)</t>
  </si>
  <si>
    <t xml:space="preserve">Definición del proyecto: producción de UN TURNO de 8 h = Rp_real×8×OEE, redondeado a pallets completos.</t>
  </si>
  <si>
    <t xml:space="preserve">Tb, Tp</t>
  </si>
  <si>
    <t xml:space="preserve">Tb=Tsu+Q·Tc (duración del lote); Tp=Tb/Q (tiempo por unidad con alistamiento prorrateado).</t>
  </si>
  <si>
    <t xml:space="preserve">PC, U</t>
  </si>
  <si>
    <t xml:space="preserve">Capacidad de producción (n·S·H·Rp) y utilización U=Demanda/PC. U&gt;100 % = infactible.</t>
  </si>
  <si>
    <t xml:space="preserve">MLT</t>
  </si>
  <si>
    <t xml:space="preserve">Manufacturing Lead Time: Tsu(max)+Σ(Tc_i+Tno_i)+(Q−1)·Tc del cuello. Aquí con estaciones y esperas de los VSM.</t>
  </si>
  <si>
    <t xml:space="preserve">Tno_i</t>
  </si>
  <si>
    <t xml:space="preserve">Tiempo de no operación tras la estación i (esperas de inventario del VSM, en h→s).</t>
  </si>
  <si>
    <t xml:space="preserve">A, RE, SE, PE, Q(calidad)</t>
  </si>
  <si>
    <t xml:space="preserve">Disponibilidad=Ter/Tep; RE=pérdidas de ritmo dentro de Ter; SE=Rp real/Rp diseño; PE=RE×SE; Q=1−rechazo.</t>
  </si>
  <si>
    <t xml:space="preserve">OEE</t>
  </si>
  <si>
    <t xml:space="preserve">A×PE×Q. Construido bottom-up desde el sistema; el 75–78 % de la visita es VALIDACIÓN, no objetivo.</t>
  </si>
  <si>
    <t xml:space="preserve">TEEP</t>
  </si>
  <si>
    <t xml:space="preserve">OEE × Carga calendario (S·H·días operativos / 24·365). Eficacia sobre el calendario total; brecha = turnos no programados.</t>
  </si>
  <si>
    <t xml:space="preserve">MTBF, MTTR</t>
  </si>
  <si>
    <t xml:space="preserve">Tiempo medio entre fallas y de reparación; A=MTBF/(MTBF+MTTR).</t>
  </si>
  <si>
    <t xml:space="preserve">VSM, LT, VA</t>
  </si>
  <si>
    <t xml:space="preserve">Value Stream Map; Lead Time total del flujo; tiempo de Valor Agregado (suma de Tc). Base: VSM Líneas 2, 3 y 7 del proyecto [13].</t>
  </si>
  <si>
    <t xml:space="preserve">Cuello de botella</t>
  </si>
  <si>
    <t xml:space="preserve">Estación de menor tasa. L1: llenadora (42,5k, tras reasignar la HEUFT); L2: bloc (12k); L3: PALETIZADO MANUAL (480 con 2 operarios).</t>
  </si>
  <si>
    <t xml:space="preserve">Estación crítica L3</t>
  </si>
  <si>
    <t xml:space="preserve">Paletizado manual de garrafones: operario levanta 25 kg uno a uno (≈15 s/gfn, ~240/h·operario, límite ergonómico tipo NIOSH [10b]).</t>
  </si>
  <si>
    <t xml:space="preserve">Calendario Bogotá</t>
  </si>
  <si>
    <t xml:space="preserve">365 − 52 domingos − 17 festivos entre semana (Ley Emiliani) − 10 días de overhaul = 286 días; L3 opera 120 en contraciclo.</t>
  </si>
  <si>
    <t xml:space="preserve">Intercambio de inspectoras</t>
  </si>
  <si>
    <t xml:space="preserve">Propuesta capex-cero: HEUFT PRIME (72k) pasa de L2 a L1; Linatronic (40k) pasa a L2, donde sobra frente al bloc de 12k.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</si>
</sst>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"/>
    <numFmt numFmtId="167" formatCode="0.0"/>
    <numFmt numFmtId="168" formatCode="0.000"/>
    <numFmt numFmtId="169" formatCode="0.00"/>
    <numFmt numFmtId="170" formatCode="0.0%"/>
    <numFmt numFmtId="171" formatCode="0.000%"/>
    <numFmt numFmtId="172" formatCode="0.00%"/>
    <numFmt numFmtId="173" formatCode="@"/>
    <numFmt numFmtId="174" formatCode="0.0000"/>
    <numFmt numFmtId="175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Times New Roman"/>
      <family val="0"/>
      <charset val="1"/>
    </font>
    <font>
      <sz val="10.5"/>
      <name val="Times New Roman"/>
      <family val="0"/>
      <charset val="1"/>
    </font>
    <font>
      <b val="true"/>
      <sz val="10.5"/>
      <color rgb="FF1F3864"/>
      <name val="Times New Roman"/>
      <family val="0"/>
      <charset val="1"/>
    </font>
    <font>
      <sz val="9.5"/>
      <name val="Times New Roman"/>
      <family val="0"/>
      <charset val="1"/>
    </font>
    <font>
      <b val="true"/>
      <sz val="13"/>
      <color rgb="FF1F3864"/>
      <name val="Times New Roman"/>
      <family val="0"/>
      <charset val="1"/>
    </font>
    <font>
      <b val="true"/>
      <sz val="10"/>
      <color rgb="FFFFFFFF"/>
      <name val="Times New Roman"/>
      <family val="0"/>
      <charset val="1"/>
    </font>
    <font>
      <b val="true"/>
      <sz val="10"/>
      <name val="Times New Roman"/>
      <family val="0"/>
      <charset val="1"/>
    </font>
    <font>
      <sz val="10"/>
      <name val="Times New Roman"/>
      <family val="0"/>
      <charset val="1"/>
    </font>
    <font>
      <b val="true"/>
      <sz val="11"/>
      <name val="Times New Roman"/>
      <family val="0"/>
      <charset val="1"/>
    </font>
    <font>
      <sz val="10"/>
      <color rgb="FF0000FF"/>
      <name val="Times New Roman"/>
      <family val="0"/>
      <charset val="1"/>
    </font>
    <font>
      <sz val="10"/>
      <color rgb="FF008000"/>
      <name val="Times New Roman"/>
      <family val="0"/>
      <charset val="1"/>
    </font>
    <font>
      <sz val="10"/>
      <name val="Arial"/>
      <family val="2"/>
    </font>
    <font>
      <i val="true"/>
      <sz val="9"/>
      <name val="Times New Roman"/>
      <family val="0"/>
      <charset val="1"/>
    </font>
    <font>
      <b val="true"/>
      <sz val="11"/>
      <color rgb="FF1F3864"/>
      <name val="Times New Roman"/>
      <family val="0"/>
      <charset val="1"/>
    </font>
    <font>
      <b val="true"/>
      <sz val="9.5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7F9FC"/>
        <bgColor rgb="FFFFFFFF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7F9F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8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54" hidden="false" customHeight="true" outlineLevel="0" collapsed="false">
      <c r="B6" s="4" t="s">
        <v>3</v>
      </c>
    </row>
    <row r="8" customFormat="false" ht="15" hidden="false" customHeight="false" outlineLevel="0" collapsed="false">
      <c r="B8" s="3" t="s">
        <v>4</v>
      </c>
    </row>
    <row r="9" customFormat="false" ht="54" hidden="false" customHeight="true" outlineLevel="0" collapsed="false">
      <c r="B9" s="4" t="s">
        <v>5</v>
      </c>
    </row>
    <row r="11" customFormat="false" ht="15" hidden="false" customHeight="false" outlineLevel="0" collapsed="false">
      <c r="B11" s="3" t="s">
        <v>6</v>
      </c>
    </row>
    <row r="12" customFormat="false" ht="54" hidden="false" customHeight="true" outlineLevel="0" collapsed="false">
      <c r="B12" s="4" t="s">
        <v>7</v>
      </c>
    </row>
    <row r="14" customFormat="false" ht="15" hidden="false" customHeight="false" outlineLevel="0" collapsed="false">
      <c r="B14" s="3" t="s">
        <v>8</v>
      </c>
    </row>
    <row r="15" customFormat="false" ht="54" hidden="false" customHeight="true" outlineLevel="0" collapsed="false">
      <c r="B15" s="4" t="s">
        <v>9</v>
      </c>
    </row>
    <row r="17" customFormat="false" ht="15" hidden="false" customHeight="false" outlineLevel="0" collapsed="false">
      <c r="B17" s="3" t="s">
        <v>10</v>
      </c>
    </row>
    <row r="18" customFormat="false" ht="54" hidden="false" customHeight="true" outlineLevel="0" collapsed="false">
      <c r="B18" s="4" t="s">
        <v>11</v>
      </c>
    </row>
    <row r="20" customFormat="false" ht="15" hidden="false" customHeight="false" outlineLevel="0" collapsed="false">
      <c r="B20" s="3" t="s">
        <v>12</v>
      </c>
    </row>
    <row r="21" customFormat="false" ht="54" hidden="false" customHeight="true" outlineLevel="0" collapsed="false">
      <c r="B21" s="4" t="s">
        <v>13</v>
      </c>
    </row>
    <row r="23" customFormat="false" ht="15" hidden="false" customHeight="false" outlineLevel="0" collapsed="false">
      <c r="B23" s="3" t="s">
        <v>14</v>
      </c>
    </row>
    <row r="24" customFormat="false" ht="54" hidden="false" customHeight="true" outlineLevel="0" collapsed="false">
      <c r="B24" s="4" t="s">
        <v>15</v>
      </c>
    </row>
    <row r="26" customFormat="false" ht="15" hidden="false" customHeight="false" outlineLevel="0" collapsed="false">
      <c r="B26" s="3" t="s">
        <v>16</v>
      </c>
    </row>
    <row r="27" customFormat="false" ht="54" hidden="false" customHeight="true" outlineLevel="0" collapsed="false">
      <c r="B27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44"/>
  </cols>
  <sheetData>
    <row r="2" customFormat="false" ht="16.15" hidden="false" customHeight="false" outlineLevel="0" collapsed="false">
      <c r="B2" s="5" t="s">
        <v>18</v>
      </c>
    </row>
    <row r="4" customFormat="false" ht="15" hidden="false" customHeight="false" outlineLevel="0" collapsed="false">
      <c r="B4" s="6" t="s">
        <v>19</v>
      </c>
      <c r="C4" s="6" t="s">
        <v>20</v>
      </c>
      <c r="D4" s="6" t="s">
        <v>21</v>
      </c>
    </row>
    <row r="5" customFormat="false" ht="43.5" hidden="false" customHeight="true" outlineLevel="0" collapsed="false">
      <c r="B5" s="7" t="s">
        <v>22</v>
      </c>
      <c r="C5" s="8" t="s">
        <v>23</v>
      </c>
      <c r="D5" s="8" t="s">
        <v>24</v>
      </c>
    </row>
    <row r="6" customFormat="false" ht="43.5" hidden="false" customHeight="true" outlineLevel="0" collapsed="false">
      <c r="B6" s="9" t="s">
        <v>25</v>
      </c>
      <c r="C6" s="10" t="s">
        <v>26</v>
      </c>
      <c r="D6" s="10" t="s">
        <v>27</v>
      </c>
    </row>
    <row r="7" customFormat="false" ht="43.5" hidden="false" customHeight="true" outlineLevel="0" collapsed="false">
      <c r="B7" s="7" t="s">
        <v>28</v>
      </c>
      <c r="C7" s="8" t="s">
        <v>29</v>
      </c>
      <c r="D7" s="8" t="s">
        <v>30</v>
      </c>
    </row>
    <row r="8" customFormat="false" ht="43.5" hidden="false" customHeight="true" outlineLevel="0" collapsed="false">
      <c r="B8" s="9" t="s">
        <v>31</v>
      </c>
      <c r="C8" s="10" t="s">
        <v>32</v>
      </c>
      <c r="D8" s="10" t="s">
        <v>33</v>
      </c>
    </row>
    <row r="9" customFormat="false" ht="43.5" hidden="false" customHeight="true" outlineLevel="0" collapsed="false">
      <c r="B9" s="7" t="s">
        <v>34</v>
      </c>
      <c r="C9" s="8" t="s">
        <v>35</v>
      </c>
      <c r="D9" s="8" t="s">
        <v>36</v>
      </c>
    </row>
    <row r="10" customFormat="false" ht="43.5" hidden="false" customHeight="true" outlineLevel="0" collapsed="false">
      <c r="B10" s="9" t="s">
        <v>37</v>
      </c>
      <c r="C10" s="10" t="s">
        <v>38</v>
      </c>
      <c r="D10" s="10" t="s">
        <v>39</v>
      </c>
    </row>
    <row r="11" customFormat="false" ht="43.5" hidden="false" customHeight="true" outlineLevel="0" collapsed="false">
      <c r="B11" s="7" t="s">
        <v>40</v>
      </c>
      <c r="C11" s="8" t="s">
        <v>41</v>
      </c>
      <c r="D11" s="8" t="s">
        <v>42</v>
      </c>
    </row>
    <row r="12" customFormat="false" ht="43.5" hidden="false" customHeight="true" outlineLevel="0" collapsed="false">
      <c r="B12" s="9" t="s">
        <v>43</v>
      </c>
      <c r="C12" s="10" t="s">
        <v>44</v>
      </c>
      <c r="D12" s="10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6" min="3" style="0" width="15"/>
  </cols>
  <sheetData>
    <row r="2" customFormat="false" ht="16.15" hidden="false" customHeight="false" outlineLevel="0" collapsed="false">
      <c r="B2" s="5" t="s">
        <v>46</v>
      </c>
    </row>
    <row r="4" customFormat="false" ht="15" hidden="false" customHeight="false" outlineLevel="0" collapsed="false">
      <c r="B4" s="11" t="s">
        <v>47</v>
      </c>
      <c r="C4" s="12"/>
      <c r="D4" s="12"/>
      <c r="E4" s="12"/>
      <c r="F4" s="12"/>
    </row>
    <row r="5" customFormat="false" ht="23.85" hidden="false" customHeight="false" outlineLevel="0" collapsed="false">
      <c r="B5" s="6" t="s">
        <v>48</v>
      </c>
      <c r="C5" s="6" t="s">
        <v>49</v>
      </c>
      <c r="D5" s="6" t="s">
        <v>50</v>
      </c>
      <c r="E5" s="6" t="s">
        <v>51</v>
      </c>
    </row>
    <row r="6" customFormat="false" ht="15" hidden="false" customHeight="false" outlineLevel="0" collapsed="false">
      <c r="B6" s="9" t="s">
        <v>52</v>
      </c>
      <c r="C6" s="13" t="n">
        <v>42500</v>
      </c>
      <c r="D6" s="13" t="n">
        <v>12000</v>
      </c>
      <c r="E6" s="14" t="n">
        <f aca="false">MIN(E7,E8*E9)</f>
        <v>480</v>
      </c>
    </row>
    <row r="7" customFormat="false" ht="15" hidden="false" customHeight="false" outlineLevel="0" collapsed="false">
      <c r="B7" s="10" t="s">
        <v>53</v>
      </c>
      <c r="E7" s="13" t="n">
        <v>600</v>
      </c>
    </row>
    <row r="8" customFormat="false" ht="15" hidden="false" customHeight="false" outlineLevel="0" collapsed="false">
      <c r="B8" s="9" t="s">
        <v>54</v>
      </c>
      <c r="E8" s="15" t="n">
        <v>2</v>
      </c>
    </row>
    <row r="9" customFormat="false" ht="15" hidden="false" customHeight="false" outlineLevel="0" collapsed="false">
      <c r="B9" s="10" t="s">
        <v>55</v>
      </c>
      <c r="E9" s="13" t="n">
        <v>240</v>
      </c>
    </row>
    <row r="10" customFormat="false" ht="15" hidden="false" customHeight="false" outlineLevel="0" collapsed="false">
      <c r="B10" s="10" t="s">
        <v>56</v>
      </c>
      <c r="C10" s="15" t="n">
        <v>2</v>
      </c>
      <c r="D10" s="15" t="n">
        <v>2</v>
      </c>
      <c r="E10" s="15" t="n">
        <v>1</v>
      </c>
    </row>
    <row r="11" customFormat="false" ht="15" hidden="false" customHeight="false" outlineLevel="0" collapsed="false">
      <c r="B11" s="10" t="s">
        <v>57</v>
      </c>
      <c r="C11" s="15" t="n">
        <v>8</v>
      </c>
      <c r="D11" s="15" t="n">
        <v>8</v>
      </c>
      <c r="E11" s="15" t="n">
        <v>8</v>
      </c>
    </row>
    <row r="12" customFormat="false" ht="15" hidden="false" customHeight="false" outlineLevel="0" collapsed="false">
      <c r="B12" s="9" t="s">
        <v>58</v>
      </c>
      <c r="C12" s="15" t="n">
        <v>286</v>
      </c>
      <c r="D12" s="15" t="n">
        <v>286</v>
      </c>
      <c r="E12" s="15" t="n">
        <v>120</v>
      </c>
    </row>
    <row r="13" customFormat="false" ht="15" hidden="false" customHeight="false" outlineLevel="0" collapsed="false">
      <c r="B13" s="10" t="s">
        <v>59</v>
      </c>
      <c r="C13" s="15" t="n">
        <v>10</v>
      </c>
      <c r="D13" s="15" t="n">
        <v>10</v>
      </c>
      <c r="E13" s="15" t="n">
        <v>10</v>
      </c>
    </row>
    <row r="14" customFormat="false" ht="15" hidden="false" customHeight="false" outlineLevel="0" collapsed="false">
      <c r="B14" s="10" t="s">
        <v>60</v>
      </c>
      <c r="C14" s="13" t="n">
        <v>1620</v>
      </c>
      <c r="D14" s="13" t="n">
        <v>840</v>
      </c>
      <c r="E14" s="13" t="n">
        <v>30</v>
      </c>
    </row>
    <row r="15" customFormat="false" ht="23.85" hidden="false" customHeight="false" outlineLevel="0" collapsed="false">
      <c r="B15" s="9" t="s">
        <v>61</v>
      </c>
      <c r="C15" s="14" t="n">
        <f aca="false">ROUND(C6*8*C$33/C14,0)*C14</f>
        <v>262440</v>
      </c>
      <c r="D15" s="14" t="n">
        <f aca="false">ROUND(D6*8*D$33/D14,0)*D14</f>
        <v>73080</v>
      </c>
      <c r="E15" s="14" t="n">
        <f aca="false">ROUND(E6*8*E$33/E14,0)*E14</f>
        <v>2880</v>
      </c>
    </row>
    <row r="16" customFormat="false" ht="15" hidden="false" customHeight="false" outlineLevel="0" collapsed="false">
      <c r="B16" s="10" t="s">
        <v>62</v>
      </c>
      <c r="C16" s="15" t="n">
        <v>70</v>
      </c>
      <c r="D16" s="15" t="n">
        <v>70</v>
      </c>
      <c r="E16" s="15" t="n">
        <v>70</v>
      </c>
    </row>
    <row r="18" customFormat="false" ht="15" hidden="false" customHeight="false" outlineLevel="0" collapsed="false">
      <c r="B18" s="11" t="s">
        <v>63</v>
      </c>
      <c r="C18" s="12"/>
      <c r="D18" s="12"/>
      <c r="E18" s="12"/>
      <c r="F18" s="12"/>
    </row>
    <row r="19" customFormat="false" ht="15" hidden="false" customHeight="false" outlineLevel="0" collapsed="false">
      <c r="B19" s="6" t="s">
        <v>48</v>
      </c>
      <c r="C19" s="6" t="s">
        <v>64</v>
      </c>
      <c r="D19" s="6" t="s">
        <v>65</v>
      </c>
      <c r="E19" s="6" t="s">
        <v>66</v>
      </c>
    </row>
    <row r="20" customFormat="false" ht="15" hidden="false" customHeight="false" outlineLevel="0" collapsed="false">
      <c r="B20" s="10" t="s">
        <v>67</v>
      </c>
      <c r="C20" s="16" t="n">
        <v>8</v>
      </c>
      <c r="D20" s="16" t="n">
        <v>8</v>
      </c>
      <c r="E20" s="16" t="n">
        <v>8</v>
      </c>
    </row>
    <row r="21" customFormat="false" ht="15" hidden="false" customHeight="false" outlineLevel="0" collapsed="false">
      <c r="B21" s="10" t="s">
        <v>68</v>
      </c>
      <c r="C21" s="17" t="n">
        <v>1.1667</v>
      </c>
      <c r="D21" s="17" t="n">
        <v>1.1667</v>
      </c>
      <c r="E21" s="17" t="n">
        <v>1.1667</v>
      </c>
    </row>
    <row r="22" customFormat="false" ht="15" hidden="false" customHeight="false" outlineLevel="0" collapsed="false">
      <c r="B22" s="10" t="s">
        <v>69</v>
      </c>
      <c r="C22" s="18" t="n">
        <v>0.75</v>
      </c>
      <c r="D22" s="18" t="n">
        <v>0.75</v>
      </c>
      <c r="E22" s="18" t="n">
        <v>0.75</v>
      </c>
    </row>
    <row r="23" customFormat="false" ht="15" hidden="false" customHeight="false" outlineLevel="0" collapsed="false">
      <c r="B23" s="9" t="s">
        <v>70</v>
      </c>
      <c r="C23" s="19" t="n">
        <f aca="false">C20-C21</f>
        <v>6.8333</v>
      </c>
      <c r="D23" s="19" t="n">
        <f aca="false">D20-D21</f>
        <v>6.8333</v>
      </c>
      <c r="E23" s="19" t="n">
        <f aca="false">E20-E21</f>
        <v>6.8333</v>
      </c>
    </row>
    <row r="24" customFormat="false" ht="15" hidden="false" customHeight="false" outlineLevel="0" collapsed="false">
      <c r="B24" s="9" t="s">
        <v>71</v>
      </c>
      <c r="C24" s="19" t="n">
        <f aca="false">C23-C22</f>
        <v>6.0833</v>
      </c>
      <c r="D24" s="19" t="n">
        <f aca="false">D23-D22</f>
        <v>6.0833</v>
      </c>
      <c r="E24" s="19" t="n">
        <f aca="false">E23-E22</f>
        <v>6.0833</v>
      </c>
    </row>
    <row r="25" customFormat="false" ht="15" hidden="false" customHeight="false" outlineLevel="0" collapsed="false">
      <c r="B25" s="9" t="s">
        <v>72</v>
      </c>
      <c r="C25" s="20" t="n">
        <f aca="false">C24/C23</f>
        <v>0.890243367040815</v>
      </c>
      <c r="D25" s="20" t="n">
        <f aca="false">D24/D23</f>
        <v>0.890243367040815</v>
      </c>
      <c r="E25" s="20" t="n">
        <f aca="false">E24/E23</f>
        <v>0.890243367040815</v>
      </c>
    </row>
    <row r="26" customFormat="false" ht="15" hidden="false" customHeight="false" outlineLevel="0" collapsed="false">
      <c r="B26" s="10" t="s">
        <v>73</v>
      </c>
      <c r="C26" s="13" t="n">
        <v>45000</v>
      </c>
      <c r="D26" s="13" t="n">
        <v>13000</v>
      </c>
      <c r="E26" s="13" t="n">
        <v>520</v>
      </c>
    </row>
    <row r="27" customFormat="false" ht="15" hidden="false" customHeight="false" outlineLevel="0" collapsed="false">
      <c r="B27" s="9" t="s">
        <v>74</v>
      </c>
      <c r="C27" s="20" t="n">
        <f aca="false">Parametros!C6/C26</f>
        <v>0.944444444444444</v>
      </c>
      <c r="D27" s="20" t="n">
        <f aca="false">Parametros!D6/D26</f>
        <v>0.923076923076923</v>
      </c>
      <c r="E27" s="20" t="n">
        <f aca="false">Parametros!E6/E26</f>
        <v>0.923076923076923</v>
      </c>
    </row>
    <row r="28" customFormat="false" ht="15" hidden="false" customHeight="false" outlineLevel="0" collapsed="false">
      <c r="B28" s="10" t="s">
        <v>75</v>
      </c>
      <c r="C28" s="15" t="n">
        <v>30</v>
      </c>
      <c r="D28" s="15" t="n">
        <v>25</v>
      </c>
      <c r="E28" s="15" t="n">
        <v>30</v>
      </c>
    </row>
    <row r="29" customFormat="false" ht="15" hidden="false" customHeight="false" outlineLevel="0" collapsed="false">
      <c r="B29" s="9" t="s">
        <v>76</v>
      </c>
      <c r="C29" s="20" t="n">
        <f aca="false">(C24-C28/60)/C24</f>
        <v>0.917807768809692</v>
      </c>
      <c r="D29" s="20" t="n">
        <f aca="false">(D24-D28/60)/D24</f>
        <v>0.931506474008077</v>
      </c>
      <c r="E29" s="20" t="n">
        <f aca="false">(E24-E28/60)/E24</f>
        <v>0.917807768809692</v>
      </c>
    </row>
    <row r="30" customFormat="false" ht="15" hidden="false" customHeight="false" outlineLevel="0" collapsed="false">
      <c r="B30" s="9" t="s">
        <v>77</v>
      </c>
      <c r="C30" s="20" t="n">
        <f aca="false">C29*C27</f>
        <v>0.866818448320265</v>
      </c>
      <c r="D30" s="20" t="n">
        <f aca="false">D29*D27</f>
        <v>0.859852129853609</v>
      </c>
      <c r="E30" s="20" t="n">
        <f aca="false">E29*E27</f>
        <v>0.847207171208947</v>
      </c>
    </row>
    <row r="31" customFormat="false" ht="15" hidden="false" customHeight="false" outlineLevel="0" collapsed="false">
      <c r="B31" s="10" t="s">
        <v>78</v>
      </c>
      <c r="C31" s="21" t="n">
        <v>0.00068</v>
      </c>
      <c r="D31" s="21" t="n">
        <v>0.00068</v>
      </c>
      <c r="E31" s="21" t="n">
        <v>0.00068</v>
      </c>
    </row>
    <row r="32" customFormat="false" ht="15" hidden="false" customHeight="false" outlineLevel="0" collapsed="false">
      <c r="B32" s="9" t="s">
        <v>79</v>
      </c>
      <c r="C32" s="22" t="n">
        <f aca="false">1-C31</f>
        <v>0.99932</v>
      </c>
      <c r="D32" s="22" t="n">
        <f aca="false">1-D31</f>
        <v>0.99932</v>
      </c>
      <c r="E32" s="22" t="n">
        <f aca="false">1-E31</f>
        <v>0.99932</v>
      </c>
    </row>
    <row r="33" customFormat="false" ht="15" hidden="false" customHeight="false" outlineLevel="0" collapsed="false">
      <c r="B33" s="9" t="s">
        <v>80</v>
      </c>
      <c r="C33" s="23" t="n">
        <f aca="false">C25*C30*C32</f>
        <v>0.771154632071376</v>
      </c>
      <c r="D33" s="23" t="n">
        <f aca="false">D25*D30*D32</f>
        <v>0.764957130432531</v>
      </c>
      <c r="E33" s="23" t="n">
        <f aca="false">E25*E30*E32</f>
        <v>0.753707694694196</v>
      </c>
    </row>
    <row r="34" customFormat="false" ht="15" hidden="false" customHeight="false" outlineLevel="0" collapsed="false">
      <c r="B34" s="9" t="s">
        <v>81</v>
      </c>
      <c r="C34" s="24" t="str">
        <f aca="false">IF(AND(C33&gt;=0.75,C33&lt;=0.78),"SÍ","REVISAR")</f>
        <v>SÍ</v>
      </c>
      <c r="D34" s="24" t="str">
        <f aca="false">IF(AND(D33&gt;=0.75,D33&lt;=0.78),"SÍ","REVISAR")</f>
        <v>SÍ</v>
      </c>
      <c r="E34" s="24" t="str">
        <f aca="false">IF(AND(E33&gt;=0.75,E33&lt;=0.78),"SÍ","REVISAR")</f>
        <v>SÍ</v>
      </c>
    </row>
    <row r="35" customFormat="false" ht="15" hidden="false" customHeight="false" outlineLevel="0" collapsed="false">
      <c r="B35" s="11" t="s">
        <v>82</v>
      </c>
      <c r="C35" s="12"/>
      <c r="D35" s="12"/>
      <c r="E35" s="12"/>
      <c r="F35" s="12"/>
    </row>
    <row r="36" customFormat="false" ht="15" hidden="false" customHeight="false" outlineLevel="0" collapsed="false">
      <c r="B36" s="6" t="s">
        <v>48</v>
      </c>
      <c r="C36" s="6" t="s">
        <v>83</v>
      </c>
      <c r="D36" s="6" t="s">
        <v>84</v>
      </c>
      <c r="E36" s="6" t="s">
        <v>85</v>
      </c>
    </row>
    <row r="37" customFormat="false" ht="15" hidden="false" customHeight="false" outlineLevel="0" collapsed="false">
      <c r="B37" s="9" t="s">
        <v>86</v>
      </c>
      <c r="C37" s="13" t="n">
        <v>186953224</v>
      </c>
      <c r="D37" s="13" t="n">
        <v>54436369</v>
      </c>
      <c r="E37" s="13" t="n">
        <v>277477</v>
      </c>
    </row>
    <row r="38" customFormat="false" ht="15" hidden="false" customHeight="false" outlineLevel="0" collapsed="false">
      <c r="B38" s="10" t="s">
        <v>87</v>
      </c>
      <c r="C38" s="13" t="n">
        <v>15579435</v>
      </c>
      <c r="D38" s="13" t="n">
        <v>4536364</v>
      </c>
      <c r="E38" s="13" t="n">
        <v>23123</v>
      </c>
    </row>
    <row r="39" customFormat="false" ht="15" hidden="false" customHeight="false" outlineLevel="0" collapsed="false">
      <c r="B39" s="9" t="s">
        <v>88</v>
      </c>
      <c r="C39" s="13" t="n">
        <v>18310511</v>
      </c>
      <c r="D39" s="13" t="n">
        <v>5331587</v>
      </c>
      <c r="E39" s="13" t="n">
        <v>25516</v>
      </c>
    </row>
    <row r="40" customFormat="false" ht="15" hidden="false" customHeight="false" outlineLevel="0" collapsed="false">
      <c r="B40" s="9" t="s">
        <v>89</v>
      </c>
      <c r="C40" s="13" t="n">
        <v>175912451</v>
      </c>
      <c r="D40" s="13" t="n">
        <v>51221567</v>
      </c>
      <c r="E40" s="13" t="n">
        <v>279931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5" min="3" style="0" width="14"/>
    <col collapsed="false" customWidth="true" hidden="false" outlineLevel="0" max="6" min="6" style="0" width="52"/>
  </cols>
  <sheetData>
    <row r="2" customFormat="false" ht="16.15" hidden="false" customHeight="false" outlineLevel="0" collapsed="false">
      <c r="B2" s="5" t="s">
        <v>90</v>
      </c>
    </row>
    <row r="4" customFormat="false" ht="15" hidden="false" customHeight="false" outlineLevel="0" collapsed="false">
      <c r="B4" s="6" t="s">
        <v>91</v>
      </c>
      <c r="C4" s="6" t="s">
        <v>64</v>
      </c>
      <c r="D4" s="6" t="s">
        <v>65</v>
      </c>
      <c r="E4" s="6" t="s">
        <v>66</v>
      </c>
      <c r="F4" s="6" t="s">
        <v>92</v>
      </c>
    </row>
    <row r="5" customFormat="false" ht="33.75" hidden="false" customHeight="true" outlineLevel="0" collapsed="false">
      <c r="B5" s="7" t="s">
        <v>93</v>
      </c>
      <c r="C5" s="25" t="n">
        <f aca="false">3600/Parametros!C6</f>
        <v>0.0847058823529412</v>
      </c>
      <c r="D5" s="25" t="n">
        <f aca="false">3600/Parametros!D6</f>
        <v>0.3</v>
      </c>
      <c r="E5" s="25" t="n">
        <f aca="false">3600/Parametros!E6</f>
        <v>7.5</v>
      </c>
      <c r="F5" s="8" t="s">
        <v>94</v>
      </c>
    </row>
    <row r="6" customFormat="false" ht="33.75" hidden="false" customHeight="true" outlineLevel="0" collapsed="false">
      <c r="B6" s="9" t="s">
        <v>95</v>
      </c>
      <c r="C6" s="14" t="n">
        <f aca="false">Parametros!C10*Parametros!C24*3600</f>
        <v>43799.76</v>
      </c>
      <c r="D6" s="14" t="n">
        <f aca="false">Parametros!D10*Parametros!D24*3600</f>
        <v>43799.76</v>
      </c>
      <c r="E6" s="14" t="n">
        <f aca="false">Parametros!E10*Parametros!E24*3600</f>
        <v>21899.88</v>
      </c>
      <c r="F6" s="10" t="s">
        <v>96</v>
      </c>
    </row>
    <row r="7" customFormat="false" ht="33.75" hidden="false" customHeight="true" outlineLevel="0" collapsed="false">
      <c r="B7" s="7" t="s">
        <v>97</v>
      </c>
      <c r="C7" s="26" t="n">
        <f aca="false">Parametros!C38/(Parametros!C12/12)</f>
        <v>653682.587412588</v>
      </c>
      <c r="D7" s="26" t="n">
        <f aca="false">Parametros!D38/(Parametros!D12/12)</f>
        <v>190336.951048951</v>
      </c>
      <c r="E7" s="26" t="n">
        <f aca="false">Parametros!E38/(Parametros!E12/12)</f>
        <v>2312.3</v>
      </c>
      <c r="F7" s="8" t="s">
        <v>98</v>
      </c>
    </row>
    <row r="8" customFormat="false" ht="33.75" hidden="false" customHeight="true" outlineLevel="0" collapsed="false">
      <c r="B8" s="9" t="s">
        <v>99</v>
      </c>
      <c r="C8" s="14" t="n">
        <f aca="false">Parametros!C39/(Parametros!C12/12)</f>
        <v>768273.188811189</v>
      </c>
      <c r="D8" s="14" t="n">
        <f aca="false">Parametros!D39/(Parametros!D12/12)</f>
        <v>223702.951048951</v>
      </c>
      <c r="E8" s="14" t="n">
        <f aca="false">Parametros!E39/(Parametros!E12/12)</f>
        <v>2551.6</v>
      </c>
      <c r="F8" s="10" t="s">
        <v>100</v>
      </c>
    </row>
    <row r="9" customFormat="false" ht="33.75" hidden="false" customHeight="true" outlineLevel="0" collapsed="false">
      <c r="B9" s="7" t="s">
        <v>101</v>
      </c>
      <c r="C9" s="25" t="n">
        <f aca="false">C6/C7</f>
        <v>0.0670046301422356</v>
      </c>
      <c r="D9" s="25" t="n">
        <f aca="false">D6/D7</f>
        <v>0.230116957104853</v>
      </c>
      <c r="E9" s="25" t="n">
        <f aca="false">E6/E7</f>
        <v>9.47103749513471</v>
      </c>
      <c r="F9" s="8" t="s">
        <v>102</v>
      </c>
    </row>
    <row r="10" customFormat="false" ht="33.75" hidden="false" customHeight="true" outlineLevel="0" collapsed="false">
      <c r="B10" s="9" t="s">
        <v>103</v>
      </c>
      <c r="C10" s="27" t="n">
        <f aca="false">C6/C8</f>
        <v>0.0570106579767217</v>
      </c>
      <c r="D10" s="27" t="n">
        <f aca="false">D6/D8</f>
        <v>0.195794287892142</v>
      </c>
      <c r="E10" s="27" t="n">
        <f aca="false">E6/E8</f>
        <v>8.5828029471704</v>
      </c>
      <c r="F10" s="10" t="s">
        <v>104</v>
      </c>
    </row>
    <row r="11" customFormat="false" ht="33.75" hidden="false" customHeight="true" outlineLevel="0" collapsed="false">
      <c r="B11" s="7" t="s">
        <v>105</v>
      </c>
      <c r="C11" s="28" t="n">
        <f aca="false">(C5/Parametros!C33)/C10</f>
        <v>1.9267086438322</v>
      </c>
      <c r="D11" s="28" t="n">
        <f aca="false">(D5/Parametros!D33)/D10</f>
        <v>2.00301471580213</v>
      </c>
      <c r="E11" s="28" t="n">
        <f aca="false">(E5/Parametros!E33)/E10</f>
        <v>1.15938899225316</v>
      </c>
      <c r="F11" s="8" t="s">
        <v>106</v>
      </c>
    </row>
    <row r="12" customFormat="false" ht="33.75" hidden="false" customHeight="true" outlineLevel="0" collapsed="false">
      <c r="B12" s="9" t="s">
        <v>107</v>
      </c>
      <c r="C12" s="14" t="n">
        <f aca="false">Parametros!C15</f>
        <v>262440</v>
      </c>
      <c r="D12" s="14" t="n">
        <f aca="false">Parametros!D15</f>
        <v>73080</v>
      </c>
      <c r="E12" s="14" t="n">
        <f aca="false">Parametros!E15</f>
        <v>2880</v>
      </c>
      <c r="F12" s="10" t="s">
        <v>108</v>
      </c>
    </row>
    <row r="13" customFormat="false" ht="33.75" hidden="false" customHeight="true" outlineLevel="0" collapsed="false">
      <c r="B13" s="7" t="s">
        <v>109</v>
      </c>
      <c r="C13" s="26" t="n">
        <f aca="false">Parametros!C15/Parametros!C14</f>
        <v>162</v>
      </c>
      <c r="D13" s="26" t="n">
        <f aca="false">Parametros!D15/Parametros!D14</f>
        <v>87</v>
      </c>
      <c r="E13" s="26" t="n">
        <f aca="false">Parametros!E15/Parametros!E14</f>
        <v>96</v>
      </c>
      <c r="F13" s="8" t="s">
        <v>110</v>
      </c>
    </row>
    <row r="14" customFormat="false" ht="33.75" hidden="false" customHeight="true" outlineLevel="0" collapsed="false">
      <c r="B14" s="9" t="s">
        <v>111</v>
      </c>
      <c r="C14" s="29" t="n">
        <f aca="false">(Parametros!C16+Parametros!C15*C5/60)/60</f>
        <v>7.34172549019608</v>
      </c>
      <c r="D14" s="29" t="n">
        <f aca="false">(Parametros!D16+Parametros!D15*D5/60)/60</f>
        <v>7.25666666666667</v>
      </c>
      <c r="E14" s="29" t="n">
        <f aca="false">(Parametros!E16+Parametros!E15*E5/60)/60</f>
        <v>7.16666666666667</v>
      </c>
      <c r="F14" s="10" t="s">
        <v>112</v>
      </c>
    </row>
    <row r="15" customFormat="false" ht="33.75" hidden="false" customHeight="true" outlineLevel="0" collapsed="false">
      <c r="B15" s="7" t="s">
        <v>113</v>
      </c>
      <c r="C15" s="25" t="n">
        <f aca="false">C14*3600/Parametros!C15</f>
        <v>0.100709540331908</v>
      </c>
      <c r="D15" s="25" t="n">
        <f aca="false">D14*3600/Parametros!D15</f>
        <v>0.357471264367816</v>
      </c>
      <c r="E15" s="25" t="n">
        <f aca="false">E14*3600/Parametros!E15</f>
        <v>8.95833333333333</v>
      </c>
      <c r="F15" s="8" t="s">
        <v>114</v>
      </c>
    </row>
    <row r="16" customFormat="false" ht="33.75" hidden="false" customHeight="true" outlineLevel="0" collapsed="false">
      <c r="B16" s="9" t="s">
        <v>115</v>
      </c>
      <c r="C16" s="14" t="n">
        <f aca="false">3600/C15</f>
        <v>35746.3651222665</v>
      </c>
      <c r="D16" s="14" t="n">
        <f aca="false">3600/D15</f>
        <v>10070.7395498392</v>
      </c>
      <c r="E16" s="14" t="n">
        <f aca="false">3600/E15</f>
        <v>401.860465116279</v>
      </c>
      <c r="F16" s="10" t="s">
        <v>116</v>
      </c>
    </row>
    <row r="17" customFormat="false" ht="33.75" hidden="false" customHeight="true" outlineLevel="0" collapsed="false">
      <c r="B17" s="7" t="s">
        <v>117</v>
      </c>
      <c r="C17" s="26" t="n">
        <f aca="false">1*Parametros!C10*Parametros!C11*Parametros!C6</f>
        <v>680000</v>
      </c>
      <c r="D17" s="26" t="n">
        <f aca="false">1*Parametros!D10*Parametros!D11*Parametros!D6</f>
        <v>192000</v>
      </c>
      <c r="E17" s="26" t="n">
        <f aca="false">1*Parametros!E10*Parametros!E11*Parametros!E6</f>
        <v>3840</v>
      </c>
      <c r="F17" s="8" t="s">
        <v>118</v>
      </c>
    </row>
    <row r="18" customFormat="false" ht="33.75" hidden="false" customHeight="true" outlineLevel="0" collapsed="false">
      <c r="B18" s="9" t="s">
        <v>119</v>
      </c>
      <c r="C18" s="14" t="n">
        <f aca="false">C17*Parametros!C12*Parametros!C33</f>
        <v>149974152.845241</v>
      </c>
      <c r="D18" s="14" t="n">
        <f aca="false">D17*Parametros!D12*Parametros!D33</f>
        <v>42005325.9463112</v>
      </c>
      <c r="E18" s="14" t="n">
        <f aca="false">E17*Parametros!E12*Parametros!E33</f>
        <v>347308.505715085</v>
      </c>
      <c r="F18" s="10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5" min="3" style="0" width="12"/>
    <col collapsed="false" customWidth="true" hidden="false" outlineLevel="0" max="6" min="6" style="0" width="14"/>
    <col collapsed="false" customWidth="true" hidden="false" outlineLevel="0" max="7" min="7" style="0" width="44"/>
  </cols>
  <sheetData>
    <row r="2" customFormat="false" ht="16.15" hidden="false" customHeight="false" outlineLevel="0" collapsed="false">
      <c r="B2" s="5" t="s">
        <v>121</v>
      </c>
    </row>
    <row r="3" customFormat="false" ht="15" hidden="false" customHeight="false" outlineLevel="0" collapsed="false">
      <c r="B3" s="30" t="s">
        <v>122</v>
      </c>
    </row>
    <row r="5" customFormat="false" ht="15" hidden="false" customHeight="false" outlineLevel="0" collapsed="false">
      <c r="B5" s="31" t="s">
        <v>123</v>
      </c>
    </row>
    <row r="6" customFormat="false" ht="15" hidden="false" customHeight="false" outlineLevel="0" collapsed="false">
      <c r="B6" s="6" t="s">
        <v>124</v>
      </c>
      <c r="C6" s="6" t="s">
        <v>125</v>
      </c>
      <c r="D6" s="6" t="s">
        <v>126</v>
      </c>
      <c r="E6" s="6" t="s">
        <v>127</v>
      </c>
      <c r="F6" s="6" t="s">
        <v>128</v>
      </c>
    </row>
    <row r="7" customFormat="false" ht="15" hidden="false" customHeight="false" outlineLevel="0" collapsed="false">
      <c r="B7" s="10" t="s">
        <v>129</v>
      </c>
      <c r="C7" s="17" t="n">
        <v>0.7</v>
      </c>
      <c r="D7" s="32" t="n">
        <v>0.97</v>
      </c>
      <c r="E7" s="18" t="n">
        <v>1.6</v>
      </c>
      <c r="F7" s="14" t="n">
        <f aca="false">E7*3600</f>
        <v>5760</v>
      </c>
    </row>
    <row r="8" customFormat="false" ht="15" hidden="false" customHeight="false" outlineLevel="0" collapsed="false">
      <c r="B8" s="10" t="s">
        <v>130</v>
      </c>
      <c r="C8" s="17" t="n">
        <v>0.8</v>
      </c>
      <c r="D8" s="32" t="n">
        <v>0.9</v>
      </c>
      <c r="E8" s="18" t="n">
        <v>1.28</v>
      </c>
      <c r="F8" s="14" t="n">
        <f aca="false">E8*3600</f>
        <v>4608</v>
      </c>
    </row>
    <row r="9" customFormat="false" ht="15" hidden="false" customHeight="false" outlineLevel="0" collapsed="false">
      <c r="B9" s="10" t="s">
        <v>131</v>
      </c>
      <c r="C9" s="17" t="n">
        <v>0.6</v>
      </c>
      <c r="D9" s="32" t="n">
        <v>0.95</v>
      </c>
      <c r="E9" s="18" t="n">
        <v>0.96</v>
      </c>
      <c r="F9" s="14" t="n">
        <f aca="false">E9*3600</f>
        <v>3456</v>
      </c>
    </row>
    <row r="10" customFormat="false" ht="15" hidden="false" customHeight="false" outlineLevel="0" collapsed="false">
      <c r="B10" s="10" t="s">
        <v>132</v>
      </c>
      <c r="C10" s="17" t="n">
        <v>0.576</v>
      </c>
      <c r="D10" s="32" t="n">
        <v>0.92</v>
      </c>
      <c r="E10" s="18" t="n">
        <v>0.64</v>
      </c>
      <c r="F10" s="14" t="n">
        <f aca="false">E10*3600</f>
        <v>2304</v>
      </c>
    </row>
    <row r="11" customFormat="false" ht="15" hidden="false" customHeight="false" outlineLevel="0" collapsed="false">
      <c r="B11" s="10" t="s">
        <v>133</v>
      </c>
      <c r="C11" s="17" t="n">
        <v>0.576</v>
      </c>
      <c r="D11" s="32" t="n">
        <v>0.94</v>
      </c>
      <c r="E11" s="18" t="n">
        <v>0.64</v>
      </c>
      <c r="F11" s="14" t="n">
        <f aca="false">E11*3600</f>
        <v>2304</v>
      </c>
    </row>
    <row r="12" customFormat="false" ht="15" hidden="false" customHeight="false" outlineLevel="0" collapsed="false">
      <c r="B12" s="10" t="s">
        <v>134</v>
      </c>
      <c r="C12" s="17" t="n">
        <v>0.65</v>
      </c>
      <c r="D12" s="32" t="n">
        <v>0.95</v>
      </c>
      <c r="E12" s="18" t="n">
        <v>0.96</v>
      </c>
      <c r="F12" s="14" t="n">
        <f aca="false">E12*3600</f>
        <v>3456</v>
      </c>
    </row>
    <row r="13" customFormat="false" ht="23.85" hidden="false" customHeight="false" outlineLevel="0" collapsed="false">
      <c r="B13" s="10" t="s">
        <v>135</v>
      </c>
      <c r="C13" s="17" t="n">
        <v>0.6</v>
      </c>
      <c r="D13" s="32" t="n">
        <v>0.93</v>
      </c>
      <c r="E13" s="18" t="n">
        <v>0.96</v>
      </c>
      <c r="F13" s="14" t="n">
        <f aca="false">E13*3600</f>
        <v>3456</v>
      </c>
    </row>
    <row r="14" customFormat="false" ht="15" hidden="false" customHeight="false" outlineLevel="0" collapsed="false">
      <c r="B14" s="10" t="s">
        <v>136</v>
      </c>
      <c r="C14" s="17" t="n">
        <v>1.2</v>
      </c>
      <c r="D14" s="32" t="n">
        <v>0.93</v>
      </c>
      <c r="E14" s="18" t="n">
        <v>1</v>
      </c>
      <c r="F14" s="14" t="n">
        <f aca="false">E14*3600</f>
        <v>3600</v>
      </c>
    </row>
    <row r="15" customFormat="false" ht="15" hidden="false" customHeight="false" outlineLevel="0" collapsed="false">
      <c r="B15" s="10" t="s">
        <v>137</v>
      </c>
      <c r="C15" s="17" t="n">
        <v>0.9</v>
      </c>
      <c r="D15" s="32" t="n">
        <v>0.98</v>
      </c>
      <c r="E15" s="18" t="n">
        <v>1.6</v>
      </c>
      <c r="F15" s="14" t="n">
        <f aca="false">E15*3600</f>
        <v>5760</v>
      </c>
    </row>
    <row r="16" customFormat="false" ht="46.25" hidden="false" customHeight="false" outlineLevel="0" collapsed="false">
      <c r="B16" s="9" t="s">
        <v>138</v>
      </c>
      <c r="C16" s="29" t="n">
        <f aca="false">(Parametros!C16*60+SUM(C7:C15)+SUM(F7:F15)+(Parametros!C15-1)*Tiempos_Lineas!C5)/3600</f>
        <v>16.9835358496732</v>
      </c>
      <c r="G16" s="10" t="s">
        <v>139</v>
      </c>
    </row>
    <row r="18" customFormat="false" ht="15" hidden="false" customHeight="false" outlineLevel="0" collapsed="false">
      <c r="B18" s="31" t="s">
        <v>140</v>
      </c>
    </row>
    <row r="19" customFormat="false" ht="15" hidden="false" customHeight="false" outlineLevel="0" collapsed="false">
      <c r="B19" s="6" t="s">
        <v>124</v>
      </c>
      <c r="C19" s="6" t="s">
        <v>125</v>
      </c>
      <c r="D19" s="6" t="s">
        <v>126</v>
      </c>
      <c r="E19" s="6" t="s">
        <v>127</v>
      </c>
      <c r="F19" s="6" t="s">
        <v>128</v>
      </c>
    </row>
    <row r="20" customFormat="false" ht="15" hidden="false" customHeight="false" outlineLevel="0" collapsed="false">
      <c r="B20" s="10" t="s">
        <v>141</v>
      </c>
      <c r="C20" s="17" t="n">
        <v>0.7</v>
      </c>
      <c r="D20" s="32" t="n">
        <v>0.97</v>
      </c>
      <c r="E20" s="18" t="n">
        <v>2</v>
      </c>
      <c r="F20" s="14" t="n">
        <f aca="false">E20*3600</f>
        <v>7200</v>
      </c>
    </row>
    <row r="21" customFormat="false" ht="15" hidden="false" customHeight="false" outlineLevel="0" collapsed="false">
      <c r="B21" s="10" t="s">
        <v>142</v>
      </c>
      <c r="C21" s="17" t="n">
        <v>0.5</v>
      </c>
      <c r="D21" s="32" t="n">
        <v>0.93</v>
      </c>
      <c r="E21" s="18" t="n">
        <v>1.33</v>
      </c>
      <c r="F21" s="14" t="n">
        <f aca="false">E21*3600</f>
        <v>4788</v>
      </c>
    </row>
    <row r="22" customFormat="false" ht="15" hidden="false" customHeight="false" outlineLevel="0" collapsed="false">
      <c r="B22" s="10" t="s">
        <v>143</v>
      </c>
      <c r="C22" s="17" t="n">
        <v>0.5</v>
      </c>
      <c r="D22" s="32" t="n">
        <v>0.95</v>
      </c>
      <c r="E22" s="18" t="n">
        <v>1.2</v>
      </c>
      <c r="F22" s="14" t="n">
        <f aca="false">E22*3600</f>
        <v>4320</v>
      </c>
    </row>
    <row r="23" customFormat="false" ht="15" hidden="false" customHeight="false" outlineLevel="0" collapsed="false">
      <c r="B23" s="10" t="s">
        <v>131</v>
      </c>
      <c r="C23" s="17" t="n">
        <v>0.5</v>
      </c>
      <c r="D23" s="32" t="n">
        <v>0.95</v>
      </c>
      <c r="E23" s="18" t="n">
        <v>1.07</v>
      </c>
      <c r="F23" s="14" t="n">
        <f aca="false">E23*3600</f>
        <v>3852</v>
      </c>
    </row>
    <row r="24" customFormat="false" ht="15" hidden="false" customHeight="false" outlineLevel="0" collapsed="false">
      <c r="B24" s="10" t="s">
        <v>132</v>
      </c>
      <c r="C24" s="17" t="n">
        <v>0.48</v>
      </c>
      <c r="D24" s="32" t="n">
        <v>0.92</v>
      </c>
      <c r="E24" s="18" t="n">
        <v>0.8</v>
      </c>
      <c r="F24" s="14" t="n">
        <f aca="false">E24*3600</f>
        <v>2880</v>
      </c>
    </row>
    <row r="25" customFormat="false" ht="15" hidden="false" customHeight="false" outlineLevel="0" collapsed="false">
      <c r="B25" s="10" t="s">
        <v>133</v>
      </c>
      <c r="C25" s="17" t="n">
        <v>0.48</v>
      </c>
      <c r="D25" s="32" t="n">
        <v>0.94</v>
      </c>
      <c r="E25" s="18" t="n">
        <v>0.8</v>
      </c>
      <c r="F25" s="14" t="n">
        <f aca="false">E25*3600</f>
        <v>2880</v>
      </c>
    </row>
    <row r="26" customFormat="false" ht="15" hidden="false" customHeight="false" outlineLevel="0" collapsed="false">
      <c r="B26" s="10" t="s">
        <v>134</v>
      </c>
      <c r="C26" s="17" t="n">
        <v>0.65</v>
      </c>
      <c r="D26" s="32" t="n">
        <v>0.96</v>
      </c>
      <c r="E26" s="18" t="n">
        <v>0.8</v>
      </c>
      <c r="F26" s="14" t="n">
        <f aca="false">E26*3600</f>
        <v>2880</v>
      </c>
    </row>
    <row r="27" customFormat="false" ht="15" hidden="false" customHeight="false" outlineLevel="0" collapsed="false">
      <c r="B27" s="10" t="s">
        <v>144</v>
      </c>
      <c r="C27" s="17" t="n">
        <v>0.6</v>
      </c>
      <c r="D27" s="32" t="n">
        <v>0.96</v>
      </c>
      <c r="E27" s="18" t="n">
        <v>1.07</v>
      </c>
      <c r="F27" s="14" t="n">
        <f aca="false">E27*3600</f>
        <v>3852</v>
      </c>
    </row>
    <row r="28" customFormat="false" ht="15" hidden="false" customHeight="false" outlineLevel="0" collapsed="false">
      <c r="B28" s="10" t="s">
        <v>136</v>
      </c>
      <c r="C28" s="17" t="n">
        <v>1</v>
      </c>
      <c r="D28" s="32" t="n">
        <v>0.93</v>
      </c>
      <c r="E28" s="18" t="n">
        <v>1.33</v>
      </c>
      <c r="F28" s="14" t="n">
        <f aca="false">E28*3600</f>
        <v>4788</v>
      </c>
    </row>
    <row r="29" customFormat="false" ht="15" hidden="false" customHeight="false" outlineLevel="0" collapsed="false">
      <c r="B29" s="10" t="s">
        <v>137</v>
      </c>
      <c r="C29" s="17" t="n">
        <v>0.2</v>
      </c>
      <c r="D29" s="32" t="n">
        <v>0.98</v>
      </c>
      <c r="E29" s="18" t="n">
        <v>1.6</v>
      </c>
      <c r="F29" s="14" t="n">
        <f aca="false">E29*3600</f>
        <v>5760</v>
      </c>
    </row>
    <row r="30" customFormat="false" ht="46.25" hidden="false" customHeight="false" outlineLevel="0" collapsed="false">
      <c r="B30" s="9" t="s">
        <v>138</v>
      </c>
      <c r="C30" s="29" t="n">
        <f aca="false">(Parametros!D16*60+SUM(C20:C29)+SUM(F20:F29)+(Parametros!D15-1)*Tiempos_Lineas!D5)/3600</f>
        <v>19.2581416666667</v>
      </c>
      <c r="G30" s="10" t="s">
        <v>139</v>
      </c>
    </row>
    <row r="32" customFormat="false" ht="15" hidden="false" customHeight="false" outlineLevel="0" collapsed="false">
      <c r="B32" s="31" t="s">
        <v>145</v>
      </c>
    </row>
    <row r="33" customFormat="false" ht="15" hidden="false" customHeight="false" outlineLevel="0" collapsed="false">
      <c r="B33" s="6" t="s">
        <v>124</v>
      </c>
      <c r="C33" s="6" t="s">
        <v>125</v>
      </c>
      <c r="D33" s="6" t="s">
        <v>126</v>
      </c>
      <c r="E33" s="6" t="s">
        <v>127</v>
      </c>
      <c r="F33" s="6" t="s">
        <v>128</v>
      </c>
    </row>
    <row r="34" customFormat="false" ht="15" hidden="false" customHeight="false" outlineLevel="0" collapsed="false">
      <c r="B34" s="10" t="s">
        <v>129</v>
      </c>
      <c r="C34" s="17" t="n">
        <v>3.5</v>
      </c>
      <c r="D34" s="32" t="n">
        <v>0.97</v>
      </c>
      <c r="E34" s="18" t="n">
        <v>1.6</v>
      </c>
      <c r="F34" s="14" t="n">
        <f aca="false">E34*3600</f>
        <v>5760</v>
      </c>
    </row>
    <row r="35" customFormat="false" ht="15" hidden="false" customHeight="false" outlineLevel="0" collapsed="false">
      <c r="B35" s="10" t="s">
        <v>130</v>
      </c>
      <c r="C35" s="17" t="n">
        <v>3.2</v>
      </c>
      <c r="D35" s="32" t="n">
        <v>0.93</v>
      </c>
      <c r="E35" s="18" t="n">
        <v>1.2</v>
      </c>
      <c r="F35" s="14" t="n">
        <f aca="false">E35*3600</f>
        <v>4320</v>
      </c>
    </row>
    <row r="36" customFormat="false" ht="15" hidden="false" customHeight="false" outlineLevel="0" collapsed="false">
      <c r="B36" s="10" t="s">
        <v>132</v>
      </c>
      <c r="C36" s="17" t="n">
        <v>2.88</v>
      </c>
      <c r="D36" s="32" t="n">
        <v>0.92</v>
      </c>
      <c r="E36" s="18" t="n">
        <v>0.8</v>
      </c>
      <c r="F36" s="14" t="n">
        <f aca="false">E36*3600</f>
        <v>2880</v>
      </c>
    </row>
    <row r="37" customFormat="false" ht="15" hidden="false" customHeight="false" outlineLevel="0" collapsed="false">
      <c r="B37" s="10" t="s">
        <v>133</v>
      </c>
      <c r="C37" s="17" t="n">
        <v>2.88</v>
      </c>
      <c r="D37" s="32" t="n">
        <v>0.94</v>
      </c>
      <c r="E37" s="18" t="n">
        <v>0.8</v>
      </c>
      <c r="F37" s="14" t="n">
        <f aca="false">E37*3600</f>
        <v>2880</v>
      </c>
    </row>
    <row r="38" customFormat="false" ht="15" hidden="false" customHeight="false" outlineLevel="0" collapsed="false">
      <c r="B38" s="10" t="s">
        <v>146</v>
      </c>
      <c r="C38" s="17" t="n">
        <v>3.1</v>
      </c>
      <c r="D38" s="32" t="n">
        <v>0.96</v>
      </c>
      <c r="E38" s="18" t="n">
        <v>1.2</v>
      </c>
      <c r="F38" s="14" t="n">
        <f aca="false">E38*3600</f>
        <v>4320</v>
      </c>
    </row>
    <row r="39" customFormat="false" ht="23.85" hidden="false" customHeight="false" outlineLevel="0" collapsed="false">
      <c r="B39" s="9" t="s">
        <v>147</v>
      </c>
      <c r="C39" s="17" t="n">
        <v>15</v>
      </c>
      <c r="D39" s="32" t="n">
        <v>0.93</v>
      </c>
      <c r="E39" s="18" t="n">
        <v>1.2</v>
      </c>
      <c r="F39" s="14" t="n">
        <f aca="false">E39*3600</f>
        <v>4320</v>
      </c>
    </row>
    <row r="40" customFormat="false" ht="15" hidden="false" customHeight="false" outlineLevel="0" collapsed="false">
      <c r="B40" s="10" t="s">
        <v>137</v>
      </c>
      <c r="C40" s="17" t="n">
        <v>3</v>
      </c>
      <c r="D40" s="32" t="n">
        <v>0.98</v>
      </c>
      <c r="E40" s="18" t="n">
        <v>1.6</v>
      </c>
      <c r="F40" s="14" t="n">
        <f aca="false">E40*3600</f>
        <v>5760</v>
      </c>
    </row>
    <row r="41" customFormat="false" ht="46.25" hidden="false" customHeight="false" outlineLevel="0" collapsed="false">
      <c r="B41" s="9" t="s">
        <v>138</v>
      </c>
      <c r="C41" s="29" t="n">
        <f aca="false">(Parametros!E16*60+SUM(C34:C40)+SUM(F34:F40)+(Parametros!E15-1)*Tiempos_Lineas!E5)/3600</f>
        <v>15.5739055555556</v>
      </c>
      <c r="G41" s="10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5" min="3" style="0" width="13"/>
    <col collapsed="false" customWidth="true" hidden="false" outlineLevel="0" max="6" min="6" style="0" width="50"/>
  </cols>
  <sheetData>
    <row r="2" customFormat="false" ht="16.15" hidden="false" customHeight="false" outlineLevel="0" collapsed="false">
      <c r="B2" s="5" t="s">
        <v>148</v>
      </c>
    </row>
    <row r="4" customFormat="false" ht="15" hidden="false" customHeight="false" outlineLevel="0" collapsed="false">
      <c r="B4" s="6" t="s">
        <v>149</v>
      </c>
      <c r="C4" s="6" t="s">
        <v>150</v>
      </c>
      <c r="D4" s="6" t="s">
        <v>151</v>
      </c>
      <c r="E4" s="6" t="s">
        <v>152</v>
      </c>
      <c r="F4" s="6" t="s">
        <v>92</v>
      </c>
    </row>
    <row r="5" customFormat="false" ht="33.75" hidden="false" customHeight="true" outlineLevel="0" collapsed="false">
      <c r="B5" s="7" t="s">
        <v>153</v>
      </c>
      <c r="C5" s="33" t="n">
        <f aca="false">Parametros!C25</f>
        <v>0.890243367040815</v>
      </c>
      <c r="D5" s="33" t="n">
        <f aca="false">Parametros!D25</f>
        <v>0.890243367040815</v>
      </c>
      <c r="E5" s="33" t="n">
        <f aca="false">Parametros!E25</f>
        <v>0.890243367040815</v>
      </c>
      <c r="F5" s="8" t="s">
        <v>154</v>
      </c>
    </row>
    <row r="6" customFormat="false" ht="33.75" hidden="false" customHeight="true" outlineLevel="0" collapsed="false">
      <c r="B6" s="9" t="s">
        <v>155</v>
      </c>
      <c r="C6" s="20" t="n">
        <f aca="false">Parametros!C27</f>
        <v>0.944444444444444</v>
      </c>
      <c r="D6" s="20" t="n">
        <f aca="false">Parametros!D27</f>
        <v>0.923076923076923</v>
      </c>
      <c r="E6" s="20" t="n">
        <f aca="false">Parametros!E27</f>
        <v>0.923076923076923</v>
      </c>
      <c r="F6" s="10" t="s">
        <v>156</v>
      </c>
    </row>
    <row r="7" customFormat="false" ht="33.75" hidden="false" customHeight="true" outlineLevel="0" collapsed="false">
      <c r="B7" s="7" t="s">
        <v>157</v>
      </c>
      <c r="C7" s="33" t="n">
        <f aca="false">Parametros!C29</f>
        <v>0.917807768809692</v>
      </c>
      <c r="D7" s="33" t="n">
        <f aca="false">Parametros!D29</f>
        <v>0.931506474008077</v>
      </c>
      <c r="E7" s="33" t="n">
        <f aca="false">Parametros!E29</f>
        <v>0.917807768809692</v>
      </c>
      <c r="F7" s="8" t="s">
        <v>158</v>
      </c>
    </row>
    <row r="8" customFormat="false" ht="33.75" hidden="false" customHeight="true" outlineLevel="0" collapsed="false">
      <c r="B8" s="9" t="s">
        <v>159</v>
      </c>
      <c r="C8" s="20" t="n">
        <f aca="false">Parametros!C30</f>
        <v>0.866818448320265</v>
      </c>
      <c r="D8" s="20" t="n">
        <f aca="false">Parametros!D30</f>
        <v>0.859852129853609</v>
      </c>
      <c r="E8" s="20" t="n">
        <f aca="false">Parametros!E30</f>
        <v>0.847207171208947</v>
      </c>
      <c r="F8" s="10" t="s">
        <v>160</v>
      </c>
    </row>
    <row r="9" customFormat="false" ht="33.75" hidden="false" customHeight="true" outlineLevel="0" collapsed="false">
      <c r="B9" s="7" t="s">
        <v>161</v>
      </c>
      <c r="C9" s="34" t="n">
        <f aca="false">Parametros!C32</f>
        <v>0.99932</v>
      </c>
      <c r="D9" s="34" t="n">
        <f aca="false">Parametros!D32</f>
        <v>0.99932</v>
      </c>
      <c r="E9" s="34" t="n">
        <f aca="false">Parametros!E32</f>
        <v>0.99932</v>
      </c>
      <c r="F9" s="8" t="s">
        <v>162</v>
      </c>
    </row>
    <row r="10" customFormat="false" ht="33.75" hidden="false" customHeight="true" outlineLevel="0" collapsed="false">
      <c r="B10" s="9" t="s">
        <v>163</v>
      </c>
      <c r="C10" s="20" t="n">
        <f aca="false">Parametros!C33</f>
        <v>0.771154632071376</v>
      </c>
      <c r="D10" s="20" t="n">
        <f aca="false">Parametros!D33</f>
        <v>0.764957130432531</v>
      </c>
      <c r="E10" s="20" t="n">
        <f aca="false">Parametros!E33</f>
        <v>0.753707694694196</v>
      </c>
      <c r="F10" s="10" t="s">
        <v>164</v>
      </c>
    </row>
    <row r="11" customFormat="false" ht="33.75" hidden="false" customHeight="true" outlineLevel="0" collapsed="false">
      <c r="B11" s="7" t="s">
        <v>165</v>
      </c>
      <c r="C11" s="35" t="str">
        <f aca="false">IF(AND(Parametros!C33&gt;=0.75,Parametros!C33&lt;=0.78),"SÍ","REVISAR")</f>
        <v>SÍ</v>
      </c>
      <c r="D11" s="35" t="str">
        <f aca="false">IF(AND(Parametros!D33&gt;=0.75,Parametros!D33&lt;=0.78),"SÍ","REVISAR")</f>
        <v>SÍ</v>
      </c>
      <c r="E11" s="35" t="str">
        <f aca="false">IF(AND(Parametros!E33&gt;=0.75,Parametros!E33&lt;=0.78),"SÍ","REVISAR")</f>
        <v>SÍ</v>
      </c>
      <c r="F11" s="8" t="s">
        <v>166</v>
      </c>
    </row>
    <row r="12" customFormat="false" ht="33.75" hidden="false" customHeight="true" outlineLevel="0" collapsed="false">
      <c r="B12" s="9" t="s">
        <v>167</v>
      </c>
      <c r="C12" s="20" t="n">
        <f aca="false">Parametros!C10*Parametros!C11*Parametros!C12/(24*365)</f>
        <v>0.522374429223744</v>
      </c>
      <c r="D12" s="20" t="n">
        <f aca="false">Parametros!D10*Parametros!D11*Parametros!D12/(24*365)</f>
        <v>0.522374429223744</v>
      </c>
      <c r="E12" s="20" t="n">
        <f aca="false">Parametros!E10*Parametros!E11*Parametros!E12/(24*365)</f>
        <v>0.10958904109589</v>
      </c>
      <c r="F12" s="10" t="s">
        <v>168</v>
      </c>
    </row>
    <row r="13" customFormat="false" ht="33.75" hidden="false" customHeight="true" outlineLevel="0" collapsed="false">
      <c r="B13" s="7" t="s">
        <v>169</v>
      </c>
      <c r="C13" s="33" t="n">
        <f aca="false">Parametros!C33*C12</f>
        <v>0.402831460771532</v>
      </c>
      <c r="D13" s="33" t="n">
        <f aca="false">Parametros!D33*D12</f>
        <v>0.399594044390327</v>
      </c>
      <c r="E13" s="33" t="n">
        <f aca="false">Parametros!E33*E12</f>
        <v>0.082598103528131</v>
      </c>
      <c r="F13" s="8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5" min="3" style="0" width="15"/>
    <col collapsed="false" customWidth="true" hidden="false" outlineLevel="0" max="6" min="6" style="0" width="50"/>
  </cols>
  <sheetData>
    <row r="2" customFormat="false" ht="16.15" hidden="false" customHeight="false" outlineLevel="0" collapsed="false">
      <c r="B2" s="5" t="s">
        <v>171</v>
      </c>
    </row>
    <row r="4" customFormat="false" ht="15" hidden="false" customHeight="false" outlineLevel="0" collapsed="false">
      <c r="B4" s="6" t="s">
        <v>48</v>
      </c>
      <c r="C4" s="6" t="s">
        <v>64</v>
      </c>
      <c r="D4" s="6" t="s">
        <v>65</v>
      </c>
      <c r="E4" s="6" t="s">
        <v>66</v>
      </c>
      <c r="F4" s="6" t="s">
        <v>172</v>
      </c>
    </row>
    <row r="5" customFormat="false" ht="33.75" hidden="false" customHeight="true" outlineLevel="0" collapsed="false">
      <c r="B5" s="7" t="s">
        <v>173</v>
      </c>
      <c r="C5" s="26" t="n">
        <f aca="false">Parametros!C40</f>
        <v>175912451</v>
      </c>
      <c r="D5" s="26" t="n">
        <f aca="false">Parametros!D40</f>
        <v>51221567</v>
      </c>
      <c r="E5" s="26" t="n">
        <f aca="false">Parametros!E40</f>
        <v>279931</v>
      </c>
      <c r="F5" s="8" t="s">
        <v>174</v>
      </c>
    </row>
    <row r="6" customFormat="false" ht="33.75" hidden="false" customHeight="true" outlineLevel="0" collapsed="false">
      <c r="B6" s="9" t="s">
        <v>175</v>
      </c>
      <c r="C6" s="14" t="n">
        <f aca="false">Parametros!C37</f>
        <v>186953224</v>
      </c>
      <c r="D6" s="14" t="n">
        <f aca="false">Parametros!D37</f>
        <v>54436369</v>
      </c>
      <c r="E6" s="14" t="n">
        <f aca="false">Parametros!E37</f>
        <v>277477</v>
      </c>
      <c r="F6" s="10" t="s">
        <v>176</v>
      </c>
    </row>
    <row r="7" customFormat="false" ht="33.75" hidden="false" customHeight="true" outlineLevel="0" collapsed="false">
      <c r="B7" s="7" t="s">
        <v>177</v>
      </c>
      <c r="C7" s="26" t="n">
        <f aca="false">Tiempos_Lineas!C18</f>
        <v>149974152.845241</v>
      </c>
      <c r="D7" s="26" t="n">
        <f aca="false">Tiempos_Lineas!D18</f>
        <v>42005325.9463112</v>
      </c>
      <c r="E7" s="26" t="n">
        <f aca="false">Tiempos_Lineas!E18</f>
        <v>347308.505715085</v>
      </c>
      <c r="F7" s="8" t="s">
        <v>178</v>
      </c>
    </row>
    <row r="8" customFormat="false" ht="33.75" hidden="false" customHeight="true" outlineLevel="0" collapsed="false">
      <c r="B8" s="9" t="s">
        <v>179</v>
      </c>
      <c r="C8" s="20" t="n">
        <f aca="false">Parametros!C40/C7</f>
        <v>1.17295178977623</v>
      </c>
      <c r="D8" s="20" t="n">
        <f aca="false">Parametros!D40/D7</f>
        <v>1.21940648825029</v>
      </c>
      <c r="E8" s="20" t="n">
        <f aca="false">Parametros!E40/E7</f>
        <v>0.806000991607276</v>
      </c>
      <c r="F8" s="10" t="s">
        <v>180</v>
      </c>
    </row>
    <row r="9" customFormat="false" ht="33.75" hidden="false" customHeight="true" outlineLevel="0" collapsed="false">
      <c r="B9" s="7" t="s">
        <v>181</v>
      </c>
      <c r="C9" s="33" t="n">
        <f aca="false">Parametros!C37/C7</f>
        <v>1.24656962852071</v>
      </c>
      <c r="D9" s="33" t="n">
        <f aca="false">Parametros!D37/D7</f>
        <v>1.29593968797141</v>
      </c>
      <c r="E9" s="33" t="n">
        <f aca="false">Parametros!E37/E7</f>
        <v>0.798935227424658</v>
      </c>
      <c r="F9" s="8" t="s">
        <v>182</v>
      </c>
    </row>
    <row r="10" customFormat="false" ht="33.75" hidden="false" customHeight="true" outlineLevel="0" collapsed="false">
      <c r="B10" s="9" t="s">
        <v>183</v>
      </c>
      <c r="C10" s="14" t="n">
        <f aca="false">C7*3/Parametros!C10</f>
        <v>224961229.267862</v>
      </c>
      <c r="D10" s="14" t="n">
        <f aca="false">D7*3/Parametros!D10</f>
        <v>63007988.9194667</v>
      </c>
      <c r="E10" s="14" t="n">
        <f aca="false">E7*3/Parametros!E10</f>
        <v>1041925.51714526</v>
      </c>
      <c r="F10" s="10" t="s">
        <v>184</v>
      </c>
    </row>
    <row r="11" customFormat="false" ht="33.75" hidden="false" customHeight="true" outlineLevel="0" collapsed="false">
      <c r="B11" s="7" t="s">
        <v>185</v>
      </c>
      <c r="C11" s="33" t="n">
        <f aca="false">Parametros!C37/(C7*3/Parametros!C10)</f>
        <v>0.831046419013805</v>
      </c>
      <c r="D11" s="33" t="n">
        <f aca="false">Parametros!D37/(D7*3/Parametros!D10)</f>
        <v>0.863959791980942</v>
      </c>
      <c r="E11" s="33" t="n">
        <f aca="false">Parametros!E37/(E7*3/Parametros!E10)</f>
        <v>0.266311742474886</v>
      </c>
      <c r="F11" s="8" t="s">
        <v>186</v>
      </c>
    </row>
    <row r="12" customFormat="false" ht="33.75" hidden="false" customHeight="true" outlineLevel="0" collapsed="false">
      <c r="B12" s="9" t="s">
        <v>187</v>
      </c>
      <c r="C12" s="20" t="str">
        <f aca="false">"—"</f>
        <v>—</v>
      </c>
      <c r="D12" s="20" t="str">
        <f aca="false">"—"</f>
        <v>—</v>
      </c>
      <c r="E12" s="20" t="n">
        <f aca="false">Parametros!E40/(E7/2)</f>
        <v>1.61200198321455</v>
      </c>
      <c r="F12" s="10" t="s">
        <v>188</v>
      </c>
    </row>
    <row r="14" customFormat="false" ht="96" hidden="false" customHeight="true" outlineLevel="0" collapsed="false">
      <c r="B14" s="36" t="s">
        <v>189</v>
      </c>
      <c r="C14" s="36"/>
      <c r="D14" s="36"/>
      <c r="E14" s="36"/>
      <c r="F14" s="36"/>
    </row>
  </sheetData>
  <mergeCells count="1">
    <mergeCell ref="B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40"/>
  </cols>
  <sheetData>
    <row r="2" customFormat="false" ht="16.15" hidden="false" customHeight="false" outlineLevel="0" collapsed="false">
      <c r="B2" s="5" t="s">
        <v>190</v>
      </c>
    </row>
    <row r="3" customFormat="false" ht="15" hidden="false" customHeight="false" outlineLevel="0" collapsed="false">
      <c r="B3" s="30" t="s">
        <v>191</v>
      </c>
    </row>
    <row r="5" customFormat="false" ht="23.85" hidden="false" customHeight="false" outlineLevel="0" collapsed="false">
      <c r="B5" s="6" t="s">
        <v>192</v>
      </c>
      <c r="C5" s="6" t="s">
        <v>193</v>
      </c>
      <c r="D5" s="6" t="s">
        <v>194</v>
      </c>
      <c r="E5" s="6" t="s">
        <v>195</v>
      </c>
      <c r="F5" s="6" t="s">
        <v>196</v>
      </c>
      <c r="G5" s="6" t="s">
        <v>197</v>
      </c>
    </row>
    <row r="6" customFormat="false" ht="15" hidden="false" customHeight="false" outlineLevel="0" collapsed="false">
      <c r="B6" s="31" t="s">
        <v>198</v>
      </c>
    </row>
    <row r="7" customFormat="false" ht="30" hidden="false" customHeight="true" outlineLevel="0" collapsed="false">
      <c r="B7" s="37" t="s">
        <v>199</v>
      </c>
      <c r="C7" s="37" t="s">
        <v>200</v>
      </c>
      <c r="D7" s="37" t="s">
        <v>201</v>
      </c>
      <c r="E7" s="37" t="s">
        <v>202</v>
      </c>
      <c r="F7" s="37" t="s">
        <v>202</v>
      </c>
      <c r="G7" s="37" t="s">
        <v>203</v>
      </c>
    </row>
    <row r="8" customFormat="false" ht="30" hidden="false" customHeight="true" outlineLevel="0" collapsed="false">
      <c r="B8" s="38" t="s">
        <v>204</v>
      </c>
      <c r="C8" s="38" t="s">
        <v>205</v>
      </c>
      <c r="D8" s="39" t="n">
        <v>55000</v>
      </c>
      <c r="E8" s="27" t="n">
        <f aca="false">3600/D8</f>
        <v>0.0654545454545455</v>
      </c>
      <c r="F8" s="38" t="s">
        <v>206</v>
      </c>
      <c r="G8" s="38" t="s">
        <v>207</v>
      </c>
    </row>
    <row r="9" customFormat="false" ht="30" hidden="false" customHeight="true" outlineLevel="0" collapsed="false">
      <c r="B9" s="37" t="s">
        <v>208</v>
      </c>
      <c r="C9" s="37" t="s">
        <v>209</v>
      </c>
      <c r="D9" s="40" t="n">
        <v>72000</v>
      </c>
      <c r="E9" s="25" t="n">
        <f aca="false">3600/D9</f>
        <v>0.05</v>
      </c>
      <c r="F9" s="37" t="s">
        <v>210</v>
      </c>
      <c r="G9" s="37" t="s">
        <v>211</v>
      </c>
    </row>
    <row r="10" customFormat="false" ht="30" hidden="false" customHeight="true" outlineLevel="0" collapsed="false">
      <c r="B10" s="41" t="s">
        <v>212</v>
      </c>
      <c r="C10" s="38" t="s">
        <v>213</v>
      </c>
      <c r="D10" s="39" t="n">
        <v>42500</v>
      </c>
      <c r="E10" s="27" t="n">
        <f aca="false">3600/D10</f>
        <v>0.0847058823529412</v>
      </c>
      <c r="F10" s="38" t="s">
        <v>206</v>
      </c>
      <c r="G10" s="38" t="s">
        <v>214</v>
      </c>
    </row>
    <row r="11" customFormat="false" ht="30" hidden="false" customHeight="true" outlineLevel="0" collapsed="false">
      <c r="B11" s="37" t="s">
        <v>215</v>
      </c>
      <c r="C11" s="37" t="s">
        <v>216</v>
      </c>
      <c r="D11" s="40" t="n">
        <v>60000</v>
      </c>
      <c r="E11" s="25" t="n">
        <f aca="false">3600/D11</f>
        <v>0.06</v>
      </c>
      <c r="F11" s="37" t="s">
        <v>206</v>
      </c>
      <c r="G11" s="37" t="s">
        <v>217</v>
      </c>
    </row>
    <row r="12" customFormat="false" ht="30" hidden="false" customHeight="true" outlineLevel="0" collapsed="false">
      <c r="B12" s="38" t="s">
        <v>218</v>
      </c>
      <c r="C12" s="38" t="s">
        <v>219</v>
      </c>
      <c r="D12" s="39" t="n">
        <v>50000</v>
      </c>
      <c r="E12" s="27" t="n">
        <f aca="false">3600/D12</f>
        <v>0.072</v>
      </c>
      <c r="F12" s="38" t="s">
        <v>206</v>
      </c>
      <c r="G12" s="38" t="s">
        <v>217</v>
      </c>
    </row>
    <row r="13" customFormat="false" ht="30" hidden="false" customHeight="true" outlineLevel="0" collapsed="false">
      <c r="B13" s="37" t="s">
        <v>220</v>
      </c>
      <c r="C13" s="37" t="s">
        <v>221</v>
      </c>
      <c r="D13" s="37" t="s">
        <v>201</v>
      </c>
      <c r="E13" s="37" t="s">
        <v>202</v>
      </c>
      <c r="F13" s="37" t="s">
        <v>202</v>
      </c>
      <c r="G13" s="37" t="s">
        <v>222</v>
      </c>
    </row>
    <row r="14" customFormat="false" ht="23.85" hidden="false" customHeight="false" outlineLevel="0" collapsed="false">
      <c r="B14" s="41" t="s">
        <v>223</v>
      </c>
      <c r="D14" s="14" t="n">
        <f aca="false">MIN(D8,D9,D10,D11,D12)</f>
        <v>42500</v>
      </c>
      <c r="E14" s="27" t="n">
        <f aca="false">3600/D14</f>
        <v>0.0847058823529412</v>
      </c>
      <c r="G14" s="38" t="s">
        <v>224</v>
      </c>
    </row>
    <row r="16" customFormat="false" ht="15" hidden="false" customHeight="false" outlineLevel="0" collapsed="false">
      <c r="B16" s="31" t="s">
        <v>225</v>
      </c>
    </row>
    <row r="17" customFormat="false" ht="30" hidden="false" customHeight="true" outlineLevel="0" collapsed="false">
      <c r="B17" s="37" t="s">
        <v>226</v>
      </c>
      <c r="C17" s="37" t="s">
        <v>227</v>
      </c>
      <c r="D17" s="40" t="n">
        <v>12000</v>
      </c>
      <c r="E17" s="25" t="n">
        <f aca="false">3600/D17</f>
        <v>0.3</v>
      </c>
      <c r="F17" s="37" t="s">
        <v>228</v>
      </c>
      <c r="G17" s="37" t="s">
        <v>229</v>
      </c>
    </row>
    <row r="18" customFormat="false" ht="30" hidden="false" customHeight="true" outlineLevel="0" collapsed="false">
      <c r="B18" s="38" t="s">
        <v>215</v>
      </c>
      <c r="C18" s="38" t="s">
        <v>230</v>
      </c>
      <c r="D18" s="39" t="n">
        <v>40000</v>
      </c>
      <c r="E18" s="27" t="n">
        <f aca="false">3600/D18</f>
        <v>0.09</v>
      </c>
      <c r="F18" s="38" t="s">
        <v>231</v>
      </c>
      <c r="G18" s="38" t="s">
        <v>232</v>
      </c>
    </row>
    <row r="19" customFormat="false" ht="30" hidden="false" customHeight="true" outlineLevel="0" collapsed="false">
      <c r="B19" s="37" t="s">
        <v>233</v>
      </c>
      <c r="C19" s="37" t="s">
        <v>234</v>
      </c>
      <c r="D19" s="40" t="n">
        <v>30000</v>
      </c>
      <c r="E19" s="25" t="n">
        <f aca="false">3600/D19</f>
        <v>0.12</v>
      </c>
      <c r="F19" s="37" t="s">
        <v>235</v>
      </c>
      <c r="G19" s="37" t="s">
        <v>217</v>
      </c>
    </row>
    <row r="20" customFormat="false" ht="30" hidden="false" customHeight="true" outlineLevel="0" collapsed="false">
      <c r="B20" s="38" t="s">
        <v>236</v>
      </c>
      <c r="C20" s="38" t="s">
        <v>237</v>
      </c>
      <c r="D20" s="39" t="n">
        <v>40000</v>
      </c>
      <c r="E20" s="27" t="n">
        <f aca="false">3600/D20</f>
        <v>0.09</v>
      </c>
      <c r="F20" s="38" t="s">
        <v>235</v>
      </c>
      <c r="G20" s="38" t="s">
        <v>217</v>
      </c>
    </row>
    <row r="21" customFormat="false" ht="30" hidden="false" customHeight="true" outlineLevel="0" collapsed="false">
      <c r="B21" s="37" t="s">
        <v>220</v>
      </c>
      <c r="C21" s="37" t="s">
        <v>221</v>
      </c>
      <c r="D21" s="37" t="s">
        <v>201</v>
      </c>
      <c r="E21" s="37" t="s">
        <v>202</v>
      </c>
      <c r="F21" s="37" t="s">
        <v>202</v>
      </c>
      <c r="G21" s="37" t="s">
        <v>238</v>
      </c>
    </row>
    <row r="22" customFormat="false" ht="23.85" hidden="false" customHeight="false" outlineLevel="0" collapsed="false">
      <c r="B22" s="41" t="s">
        <v>223</v>
      </c>
      <c r="D22" s="14" t="n">
        <f aca="false">MIN(D17,D18,D19,D20)</f>
        <v>12000</v>
      </c>
      <c r="E22" s="27" t="n">
        <f aca="false">3600/D22</f>
        <v>0.3</v>
      </c>
      <c r="G22" s="38" t="s">
        <v>224</v>
      </c>
    </row>
    <row r="24" customFormat="false" ht="15" hidden="false" customHeight="false" outlineLevel="0" collapsed="false">
      <c r="B24" s="31" t="s">
        <v>239</v>
      </c>
    </row>
    <row r="25" customFormat="false" ht="30" hidden="false" customHeight="true" outlineLevel="0" collapsed="false">
      <c r="B25" s="37" t="s">
        <v>240</v>
      </c>
      <c r="C25" s="37" t="s">
        <v>241</v>
      </c>
      <c r="D25" s="40" t="n">
        <v>700</v>
      </c>
      <c r="E25" s="25" t="n">
        <f aca="false">3600/D25</f>
        <v>5.14285714285714</v>
      </c>
      <c r="F25" s="37" t="s">
        <v>242</v>
      </c>
      <c r="G25" s="37" t="s">
        <v>217</v>
      </c>
    </row>
    <row r="26" customFormat="false" ht="30" hidden="false" customHeight="true" outlineLevel="0" collapsed="false">
      <c r="B26" s="41" t="s">
        <v>243</v>
      </c>
      <c r="C26" s="38" t="s">
        <v>244</v>
      </c>
      <c r="D26" s="39" t="n">
        <v>600</v>
      </c>
      <c r="E26" s="27" t="n">
        <f aca="false">3600/D26</f>
        <v>6</v>
      </c>
      <c r="F26" s="38" t="s">
        <v>245</v>
      </c>
      <c r="G26" s="38" t="s">
        <v>246</v>
      </c>
    </row>
    <row r="27" customFormat="false" ht="30" hidden="false" customHeight="true" outlineLevel="0" collapsed="false">
      <c r="B27" s="37" t="s">
        <v>247</v>
      </c>
      <c r="C27" s="37" t="s">
        <v>248</v>
      </c>
      <c r="D27" s="40" t="n">
        <v>900</v>
      </c>
      <c r="E27" s="25" t="n">
        <f aca="false">3600/D27</f>
        <v>4</v>
      </c>
      <c r="F27" s="37" t="s">
        <v>242</v>
      </c>
      <c r="G27" s="37" t="s">
        <v>217</v>
      </c>
    </row>
    <row r="28" customFormat="false" ht="30" hidden="false" customHeight="true" outlineLevel="0" collapsed="false">
      <c r="B28" s="38" t="s">
        <v>249</v>
      </c>
      <c r="C28" s="38" t="s">
        <v>250</v>
      </c>
      <c r="D28" s="39" t="n">
        <v>480</v>
      </c>
      <c r="E28" s="27" t="n">
        <f aca="false">3600/D28</f>
        <v>7.5</v>
      </c>
      <c r="F28" s="38" t="s">
        <v>251</v>
      </c>
      <c r="G28" s="38" t="s">
        <v>252</v>
      </c>
    </row>
    <row r="29" customFormat="false" ht="23.85" hidden="false" customHeight="false" outlineLevel="0" collapsed="false">
      <c r="B29" s="41" t="s">
        <v>223</v>
      </c>
      <c r="D29" s="14" t="n">
        <f aca="false">MIN(D25,D26,D27,D28)</f>
        <v>480</v>
      </c>
      <c r="E29" s="27" t="n">
        <f aca="false">3600/D29</f>
        <v>7.5</v>
      </c>
      <c r="G29" s="38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18"/>
  </cols>
  <sheetData>
    <row r="2" customFormat="false" ht="16.15" hidden="false" customHeight="false" outlineLevel="0" collapsed="false">
      <c r="B2" s="5" t="s">
        <v>253</v>
      </c>
    </row>
    <row r="4" customFormat="false" ht="39.75" hidden="false" customHeight="true" outlineLevel="0" collapsed="false">
      <c r="B4" s="42" t="s">
        <v>231</v>
      </c>
      <c r="C4" s="4" t="s">
        <v>254</v>
      </c>
    </row>
    <row r="5" customFormat="false" ht="39.75" hidden="false" customHeight="true" outlineLevel="0" collapsed="false">
      <c r="B5" s="42" t="s">
        <v>206</v>
      </c>
      <c r="C5" s="4" t="s">
        <v>255</v>
      </c>
    </row>
    <row r="6" customFormat="false" ht="39.75" hidden="false" customHeight="true" outlineLevel="0" collapsed="false">
      <c r="B6" s="42" t="s">
        <v>228</v>
      </c>
      <c r="C6" s="4" t="s">
        <v>256</v>
      </c>
    </row>
    <row r="7" customFormat="false" ht="39.75" hidden="false" customHeight="true" outlineLevel="0" collapsed="false">
      <c r="B7" s="42" t="s">
        <v>235</v>
      </c>
      <c r="C7" s="4" t="s">
        <v>257</v>
      </c>
    </row>
    <row r="8" customFormat="false" ht="39.75" hidden="false" customHeight="true" outlineLevel="0" collapsed="false">
      <c r="B8" s="42" t="s">
        <v>258</v>
      </c>
      <c r="C8" s="4" t="s">
        <v>259</v>
      </c>
    </row>
    <row r="9" customFormat="false" ht="39.75" hidden="false" customHeight="true" outlineLevel="0" collapsed="false">
      <c r="B9" s="42" t="s">
        <v>260</v>
      </c>
      <c r="C9" s="4" t="s">
        <v>261</v>
      </c>
    </row>
    <row r="10" customFormat="false" ht="39.75" hidden="false" customHeight="true" outlineLevel="0" collapsed="false">
      <c r="B10" s="42" t="s">
        <v>242</v>
      </c>
      <c r="C10" s="4" t="s">
        <v>262</v>
      </c>
    </row>
    <row r="11" customFormat="false" ht="39.75" hidden="false" customHeight="true" outlineLevel="0" collapsed="false">
      <c r="B11" s="42" t="s">
        <v>263</v>
      </c>
      <c r="C11" s="4" t="s">
        <v>264</v>
      </c>
    </row>
    <row r="12" customFormat="false" ht="39.75" hidden="false" customHeight="true" outlineLevel="0" collapsed="false">
      <c r="B12" s="42" t="s">
        <v>210</v>
      </c>
      <c r="C12" s="4" t="s">
        <v>265</v>
      </c>
    </row>
    <row r="13" customFormat="false" ht="39.75" hidden="false" customHeight="true" outlineLevel="0" collapsed="false">
      <c r="B13" s="42" t="s">
        <v>266</v>
      </c>
      <c r="C13" s="4" t="s">
        <v>267</v>
      </c>
    </row>
    <row r="14" customFormat="false" ht="39.75" hidden="false" customHeight="true" outlineLevel="0" collapsed="false">
      <c r="B14" s="42" t="s">
        <v>251</v>
      </c>
      <c r="C14" s="4" t="s">
        <v>268</v>
      </c>
    </row>
    <row r="15" customFormat="false" ht="39.75" hidden="false" customHeight="true" outlineLevel="0" collapsed="false">
      <c r="B15" s="42" t="s">
        <v>269</v>
      </c>
      <c r="C15" s="4" t="s">
        <v>270</v>
      </c>
    </row>
    <row r="16" customFormat="false" ht="39.75" hidden="false" customHeight="true" outlineLevel="0" collapsed="false">
      <c r="B16" s="42" t="s">
        <v>271</v>
      </c>
      <c r="C16" s="4" t="s">
        <v>272</v>
      </c>
    </row>
    <row r="17" customFormat="false" ht="39.75" hidden="false" customHeight="true" outlineLevel="0" collapsed="false">
      <c r="B17" s="42" t="s">
        <v>273</v>
      </c>
      <c r="C17" s="4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00"/>
  </cols>
  <sheetData>
    <row r="2" customFormat="false" ht="16.15" hidden="false" customHeight="false" outlineLevel="0" collapsed="false">
      <c r="B2" s="5" t="s">
        <v>275</v>
      </c>
    </row>
    <row r="4" customFormat="false" ht="30" hidden="false" customHeight="true" outlineLevel="0" collapsed="false">
      <c r="B4" s="41" t="s">
        <v>276</v>
      </c>
      <c r="C4" s="43" t="s">
        <v>277</v>
      </c>
    </row>
    <row r="5" customFormat="false" ht="30" hidden="false" customHeight="true" outlineLevel="0" collapsed="false">
      <c r="B5" s="44" t="s">
        <v>278</v>
      </c>
      <c r="C5" s="45" t="s">
        <v>279</v>
      </c>
    </row>
    <row r="6" customFormat="false" ht="30" hidden="false" customHeight="true" outlineLevel="0" collapsed="false">
      <c r="B6" s="41" t="s">
        <v>280</v>
      </c>
      <c r="C6" s="43" t="s">
        <v>281</v>
      </c>
    </row>
    <row r="7" customFormat="false" ht="30" hidden="false" customHeight="true" outlineLevel="0" collapsed="false">
      <c r="B7" s="44" t="s">
        <v>282</v>
      </c>
      <c r="C7" s="45" t="s">
        <v>283</v>
      </c>
    </row>
    <row r="8" customFormat="false" ht="30" hidden="false" customHeight="true" outlineLevel="0" collapsed="false">
      <c r="B8" s="41" t="s">
        <v>284</v>
      </c>
      <c r="C8" s="43" t="s">
        <v>285</v>
      </c>
    </row>
    <row r="9" customFormat="false" ht="30" hidden="false" customHeight="true" outlineLevel="0" collapsed="false">
      <c r="B9" s="44" t="s">
        <v>286</v>
      </c>
      <c r="C9" s="45" t="s">
        <v>287</v>
      </c>
    </row>
    <row r="10" customFormat="false" ht="30" hidden="false" customHeight="true" outlineLevel="0" collapsed="false">
      <c r="B10" s="41" t="s">
        <v>288</v>
      </c>
      <c r="C10" s="43" t="s">
        <v>289</v>
      </c>
    </row>
    <row r="11" customFormat="false" ht="30" hidden="false" customHeight="true" outlineLevel="0" collapsed="false">
      <c r="B11" s="44" t="s">
        <v>290</v>
      </c>
      <c r="C11" s="45" t="s">
        <v>291</v>
      </c>
    </row>
    <row r="12" customFormat="false" ht="30" hidden="false" customHeight="true" outlineLevel="0" collapsed="false">
      <c r="B12" s="41" t="s">
        <v>292</v>
      </c>
      <c r="C12" s="43" t="s">
        <v>293</v>
      </c>
    </row>
    <row r="13" customFormat="false" ht="30" hidden="false" customHeight="true" outlineLevel="0" collapsed="false">
      <c r="B13" s="44" t="s">
        <v>294</v>
      </c>
      <c r="C13" s="45" t="s">
        <v>295</v>
      </c>
    </row>
    <row r="14" customFormat="false" ht="30" hidden="false" customHeight="true" outlineLevel="0" collapsed="false">
      <c r="B14" s="41" t="s">
        <v>296</v>
      </c>
      <c r="C14" s="43" t="s">
        <v>297</v>
      </c>
    </row>
    <row r="15" customFormat="false" ht="30" hidden="false" customHeight="true" outlineLevel="0" collapsed="false">
      <c r="B15" s="44" t="s">
        <v>298</v>
      </c>
      <c r="C15" s="45" t="s">
        <v>299</v>
      </c>
    </row>
    <row r="16" customFormat="false" ht="30" hidden="false" customHeight="true" outlineLevel="0" collapsed="false">
      <c r="B16" s="41" t="s">
        <v>300</v>
      </c>
      <c r="C16" s="43" t="s">
        <v>301</v>
      </c>
    </row>
    <row r="17" customFormat="false" ht="30" hidden="false" customHeight="true" outlineLevel="0" collapsed="false">
      <c r="B17" s="44" t="s">
        <v>302</v>
      </c>
      <c r="C17" s="45" t="s">
        <v>303</v>
      </c>
    </row>
    <row r="18" customFormat="false" ht="30" hidden="false" customHeight="true" outlineLevel="0" collapsed="false">
      <c r="B18" s="41" t="s">
        <v>304</v>
      </c>
      <c r="C18" s="43" t="s">
        <v>305</v>
      </c>
    </row>
    <row r="19" customFormat="false" ht="30" hidden="false" customHeight="true" outlineLevel="0" collapsed="false">
      <c r="B19" s="44" t="s">
        <v>306</v>
      </c>
      <c r="C19" s="45" t="s">
        <v>307</v>
      </c>
    </row>
    <row r="20" customFormat="false" ht="30" hidden="false" customHeight="true" outlineLevel="0" collapsed="false">
      <c r="B20" s="41" t="s">
        <v>308</v>
      </c>
      <c r="C20" s="43" t="s">
        <v>309</v>
      </c>
    </row>
    <row r="21" customFormat="false" ht="30" hidden="false" customHeight="true" outlineLevel="0" collapsed="false">
      <c r="B21" s="44" t="s">
        <v>310</v>
      </c>
      <c r="C21" s="45" t="s">
        <v>311</v>
      </c>
    </row>
    <row r="22" customFormat="false" ht="30" hidden="false" customHeight="true" outlineLevel="0" collapsed="false">
      <c r="B22" s="41" t="s">
        <v>312</v>
      </c>
      <c r="C22" s="43" t="s">
        <v>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2026-07-06T00:49:34Z</dcterms:created>
  <dc:creator>openpyxl</dc:creator>
  <dc:description/>
  <dc:language>en-US</dc:language>
  <cp:lastModifiedBy/>
  <dcterms:modified xsi:type="dcterms:W3CDTF">2026-07-06T00:49:34Z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