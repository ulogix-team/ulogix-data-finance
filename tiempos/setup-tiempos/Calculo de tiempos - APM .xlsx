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tricas" sheetId="1" r:id="rId5"/>
    <sheet state="visible" name="Métrica final " sheetId="2" r:id="rId6"/>
    <sheet state="visible" name="Calculos por linea" sheetId="3" r:id="rId7"/>
    <sheet state="visible" name="Estacion" sheetId="4" r:id="rId8"/>
  </sheets>
  <definedNames/>
  <calcPr/>
</workbook>
</file>

<file path=xl/sharedStrings.xml><?xml version="1.0" encoding="utf-8"?>
<sst xmlns="http://schemas.openxmlformats.org/spreadsheetml/2006/main" count="265" uniqueCount="125">
  <si>
    <t>Tabla 2.1: Disponibilidad</t>
  </si>
  <si>
    <t xml:space="preserve">Tabla 2.1: Disponibilidad </t>
  </si>
  <si>
    <t xml:space="preserve">Tabla 2.3: Eficiencia </t>
  </si>
  <si>
    <t xml:space="preserve">T total planta </t>
  </si>
  <si>
    <t>horas</t>
  </si>
  <si>
    <t>Porcentaje de rechazo</t>
  </si>
  <si>
    <t xml:space="preserve">Volumen real </t>
  </si>
  <si>
    <t>T inactividad planeada</t>
  </si>
  <si>
    <t xml:space="preserve">Calidad </t>
  </si>
  <si>
    <t>Tc</t>
  </si>
  <si>
    <t xml:space="preserve">Real </t>
  </si>
  <si>
    <t>T ejecucion planeada</t>
  </si>
  <si>
    <t>Ter</t>
  </si>
  <si>
    <t>T inactividad no planeada</t>
  </si>
  <si>
    <t>RE</t>
  </si>
  <si>
    <t xml:space="preserve">Ejecucion real </t>
  </si>
  <si>
    <t>SE</t>
  </si>
  <si>
    <t xml:space="preserve">Porque si </t>
  </si>
  <si>
    <t xml:space="preserve">Disponibilidad </t>
  </si>
  <si>
    <t>Eficiencia</t>
  </si>
  <si>
    <t xml:space="preserve">Botellas hora por turno </t>
  </si>
  <si>
    <t>To</t>
  </si>
  <si>
    <t xml:space="preserve">330 Retornable </t>
  </si>
  <si>
    <t xml:space="preserve">1L </t>
  </si>
  <si>
    <t xml:space="preserve">Garrafones </t>
  </si>
  <si>
    <t xml:space="preserve">60L/hora </t>
  </si>
  <si>
    <t xml:space="preserve">Tiempo de ciclo hipotesis </t>
  </si>
  <si>
    <t>OEE</t>
  </si>
  <si>
    <t xml:space="preserve">L/hora </t>
  </si>
  <si>
    <t xml:space="preserve">Botella hora </t>
  </si>
  <si>
    <t xml:space="preserve">Propuesta inicial </t>
  </si>
  <si>
    <t>Suposición</t>
  </si>
  <si>
    <t>B/min</t>
  </si>
  <si>
    <t xml:space="preserve">* No hay cambios de sabor </t>
  </si>
  <si>
    <t xml:space="preserve">botella / hora </t>
  </si>
  <si>
    <t xml:space="preserve">segundos </t>
  </si>
  <si>
    <t>Tabla 1: Tiempos por proceso</t>
  </si>
  <si>
    <t>1L</t>
  </si>
  <si>
    <t>Garrafon</t>
  </si>
  <si>
    <t>Tasas</t>
  </si>
  <si>
    <t xml:space="preserve">Horas por turno </t>
  </si>
  <si>
    <t xml:space="preserve">Botellas por turno </t>
  </si>
  <si>
    <t xml:space="preserve">Rp Por hora </t>
  </si>
  <si>
    <t xml:space="preserve">Por minuto </t>
  </si>
  <si>
    <t xml:space="preserve">Por segundo </t>
  </si>
  <si>
    <t>Métricas</t>
  </si>
  <si>
    <t>Tack Time = Tiempo ciclo</t>
  </si>
  <si>
    <t>Rp</t>
  </si>
  <si>
    <t>Etapas por proceso</t>
  </si>
  <si>
    <t>Tsu</t>
  </si>
  <si>
    <t xml:space="preserve">MLT </t>
  </si>
  <si>
    <t xml:space="preserve">PC </t>
  </si>
  <si>
    <t xml:space="preserve">Rp </t>
  </si>
  <si>
    <t>Tabla 2.2: Calidad</t>
  </si>
  <si>
    <t>Tabla 2.3: Eficacia</t>
  </si>
  <si>
    <t xml:space="preserve">Preguntas </t>
  </si>
  <si>
    <t xml:space="preserve">OEE -&gt; La justificacion puede existir, pero se ve compleja. Podemos tener informacion adicional con los de FEMSA a nombre de ustedes como intermediarios ? Como mantenemos la metrica de que es un buen alcance de mejora </t>
  </si>
  <si>
    <t>Linea 1 (330ml)</t>
  </si>
  <si>
    <t>Linea 2 (1L retornable)</t>
  </si>
  <si>
    <t>Linea 3 (Garrafon 25L)</t>
  </si>
  <si>
    <t>Horas por turno</t>
  </si>
  <si>
    <t>Horas útiles por turno</t>
  </si>
  <si>
    <t>turnos por dia</t>
  </si>
  <si>
    <t>Botellas por turno</t>
  </si>
  <si>
    <t>RP por hora</t>
  </si>
  <si>
    <t>Por minuto</t>
  </si>
  <si>
    <t>Por segundo</t>
  </si>
  <si>
    <t>tackt time (s)</t>
  </si>
  <si>
    <t xml:space="preserve">tackt time (s) </t>
  </si>
  <si>
    <t>Disponibilidad L1</t>
  </si>
  <si>
    <t xml:space="preserve">Tiempo (horas) </t>
  </si>
  <si>
    <t>Disponibilidad L2</t>
  </si>
  <si>
    <t>Disponibilidad L3</t>
  </si>
  <si>
    <t xml:space="preserve">Tabla 2.1: Calidad (General) </t>
  </si>
  <si>
    <t>Eficiencia L1</t>
  </si>
  <si>
    <t>Eficiencia L2</t>
  </si>
  <si>
    <t>Eficiencia L3</t>
  </si>
  <si>
    <t>El valor de producción real debe ser menor a la producción objetivo</t>
  </si>
  <si>
    <t>como suponemos produccion real igual a produccion objetivo y los calculos se hacen con el mismo takt, es como decir que la planta funciona 7 horas seguidas</t>
  </si>
  <si>
    <t>a la velocidad ideal. No se tiene en cuenta el tiempo de inactividad no planeado ni un Tc &gt; takt que sería lo normal</t>
  </si>
  <si>
    <t>Por eso da mayor a 100%</t>
  </si>
  <si>
    <t>OEE L1</t>
  </si>
  <si>
    <t>OEE L2</t>
  </si>
  <si>
    <t>OEE L3</t>
  </si>
  <si>
    <t>OEE promedio de las 3 lineas</t>
  </si>
  <si>
    <t>OEEp</t>
  </si>
  <si>
    <t>MLT L1</t>
  </si>
  <si>
    <t>MLT L2</t>
  </si>
  <si>
    <t>MLT L3</t>
  </si>
  <si>
    <t>Tsu(max)</t>
  </si>
  <si>
    <t>No. Estaciones</t>
  </si>
  <si>
    <t>segundos</t>
  </si>
  <si>
    <t>Tiempo de ciclo igual para todas las estaciones</t>
  </si>
  <si>
    <t>Tno</t>
  </si>
  <si>
    <t>Tiempo no operativo despreciable debido a suminstro constante de botellas a las estaciones</t>
  </si>
  <si>
    <t>Q (Tamaño lote)</t>
  </si>
  <si>
    <t>Provisional</t>
  </si>
  <si>
    <t>MLT en segundos</t>
  </si>
  <si>
    <t>MLT en horas</t>
  </si>
  <si>
    <t>MLT</t>
  </si>
  <si>
    <t>L1</t>
  </si>
  <si>
    <t>L2</t>
  </si>
  <si>
    <t>L3</t>
  </si>
  <si>
    <t>Linea1</t>
  </si>
  <si>
    <t>Proceso</t>
  </si>
  <si>
    <t xml:space="preserve">FOTO </t>
  </si>
  <si>
    <t>Velocidad de operacion</t>
  </si>
  <si>
    <t xml:space="preserve">Velocidad Maxima </t>
  </si>
  <si>
    <t>Soplado</t>
  </si>
  <si>
    <t>Llenado</t>
  </si>
  <si>
    <t>Inspección</t>
  </si>
  <si>
    <t>Empaquetado</t>
  </si>
  <si>
    <t>???</t>
  </si>
  <si>
    <t>Linea2</t>
  </si>
  <si>
    <t>Lavado</t>
  </si>
  <si>
    <t>Linea3</t>
  </si>
  <si>
    <t>Botellas por S</t>
  </si>
  <si>
    <t>Tb</t>
  </si>
  <si>
    <t>Inspección (PET)</t>
  </si>
  <si>
    <t>Inspección (retornables)</t>
  </si>
  <si>
    <t>Soplado PET</t>
  </si>
  <si>
    <t>Llenadora</t>
  </si>
  <si>
    <t xml:space="preserve">Lavadora </t>
  </si>
  <si>
    <t>Inspeccion despues de llenado</t>
  </si>
  <si>
    <t>Soplado de garrafones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</si>
</sst>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0.0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FFFFFF"/>
      <name val="Arial"/>
      <scheme val="minor"/>
    </font>
    <font>
      <color rgb="FFFFFFFF"/>
      <name val="Arial"/>
      <scheme val="minor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</fills>
  <borders count="14">
    <border/>
    <border>
      <bottom style="thick">
        <color rgb="FF000000"/>
      </bottom>
    </border>
    <border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2" fillId="0" fontId="1" numFmtId="0" xfId="0" applyAlignment="1" applyBorder="1" applyFont="1">
      <alignment readingOrder="0"/>
    </xf>
    <xf borderId="2" fillId="0" fontId="3" numFmtId="0" xfId="0" applyBorder="1" applyFont="1"/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10" xfId="0" applyBorder="1" applyFont="1" applyNumberFormat="1"/>
    <xf borderId="0" fillId="0" fontId="2" numFmtId="0" xfId="0" applyFont="1"/>
    <xf borderId="0" fillId="2" fontId="2" numFmtId="0" xfId="0" applyFont="1"/>
    <xf borderId="3" fillId="0" fontId="1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10" xfId="0" applyBorder="1" applyFont="1" applyNumberFormat="1"/>
    <xf borderId="7" fillId="0" fontId="1" numFmtId="0" xfId="0" applyAlignment="1" applyBorder="1" applyFont="1">
      <alignment readingOrder="0"/>
    </xf>
    <xf borderId="7" fillId="0" fontId="2" numFmtId="0" xfId="0" applyBorder="1" applyFont="1"/>
    <xf borderId="8" fillId="0" fontId="1" numFmtId="0" xfId="0" applyAlignment="1" applyBorder="1" applyFont="1">
      <alignment readingOrder="0"/>
    </xf>
    <xf borderId="0" fillId="0" fontId="2" numFmtId="9" xfId="0" applyFont="1" applyNumberFormat="1"/>
    <xf borderId="0" fillId="0" fontId="2" numFmtId="2" xfId="0" applyFont="1" applyNumberFormat="1"/>
    <xf borderId="0" fillId="0" fontId="1" numFmtId="0" xfId="0" applyAlignment="1" applyFont="1">
      <alignment horizontal="center" readingOrder="0" vertical="center"/>
    </xf>
    <xf borderId="9" fillId="3" fontId="1" numFmtId="0" xfId="0" applyAlignment="1" applyBorder="1" applyFill="1" applyFont="1">
      <alignment horizontal="right" readingOrder="0"/>
    </xf>
    <xf borderId="0" fillId="2" fontId="2" numFmtId="0" xfId="0" applyAlignment="1" applyFont="1">
      <alignment horizontal="right" readingOrder="0"/>
    </xf>
    <xf borderId="8" fillId="2" fontId="2" numFmtId="0" xfId="0" applyAlignment="1" applyBorder="1" applyFont="1">
      <alignment horizontal="right" readingOrder="0"/>
    </xf>
    <xf borderId="9" fillId="0" fontId="1" numFmtId="0" xfId="0" applyAlignment="1" applyBorder="1" applyFont="1">
      <alignment horizontal="right" readingOrder="0"/>
    </xf>
    <xf borderId="0" fillId="0" fontId="2" numFmtId="1" xfId="0" applyAlignment="1" applyFont="1" applyNumberFormat="1">
      <alignment horizontal="right"/>
    </xf>
    <xf borderId="0" fillId="0" fontId="1" numFmtId="0" xfId="0" applyAlignment="1" applyFont="1">
      <alignment horizontal="center" readingOrder="0"/>
    </xf>
    <xf borderId="10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/>
    </xf>
    <xf borderId="1" fillId="4" fontId="4" numFmtId="0" xfId="0" applyAlignment="1" applyBorder="1" applyFill="1" applyFont="1">
      <alignment readingOrder="0"/>
    </xf>
    <xf borderId="1" fillId="4" fontId="5" numFmtId="0" xfId="0" applyBorder="1" applyFont="1"/>
    <xf borderId="0" fillId="2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2" numFmtId="10" xfId="0" applyFont="1" applyNumberFormat="1"/>
    <xf borderId="0" fillId="5" fontId="2" numFmtId="0" xfId="0" applyAlignment="1" applyFont="1">
      <alignment readingOrder="0"/>
    </xf>
    <xf borderId="6" fillId="0" fontId="2" numFmtId="9" xfId="0" applyBorder="1" applyFont="1" applyNumberFormat="1"/>
    <xf borderId="11" fillId="0" fontId="1" numFmtId="0" xfId="0" applyAlignment="1" applyBorder="1" applyFont="1">
      <alignment readingOrder="0"/>
    </xf>
    <xf borderId="11" fillId="0" fontId="2" numFmtId="0" xfId="0" applyBorder="1" applyFont="1"/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4" fillId="0" fontId="2" numFmtId="164" xfId="0" applyBorder="1" applyFont="1" applyNumberFormat="1"/>
    <xf borderId="0" fillId="2" fontId="2" numFmtId="1" xfId="0" applyAlignment="1" applyFont="1" applyNumberFormat="1">
      <alignment readingOrder="0"/>
    </xf>
    <xf borderId="4" fillId="0" fontId="6" numFmtId="9" xfId="0" applyBorder="1" applyFont="1" applyNumberFormat="1"/>
    <xf borderId="0" fillId="2" fontId="2" numFmtId="4" xfId="0" applyAlignment="1" applyFont="1" applyNumberFormat="1">
      <alignment readingOrder="0"/>
    </xf>
    <xf borderId="13" fillId="0" fontId="1" numFmtId="0" xfId="0" applyAlignment="1" applyBorder="1" applyFont="1">
      <alignment readingOrder="0"/>
    </xf>
    <xf borderId="13" fillId="0" fontId="2" numFmtId="0" xfId="0" applyBorder="1" applyFont="1"/>
    <xf borderId="0" fillId="0" fontId="2" numFmtId="10" xfId="0" applyFont="1" applyNumberForma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Comparativa de factores OEE por linea de producción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Disponibilidad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'Calculos por linea'!$B$65:$B$67</c:f>
            </c:strRef>
          </c:cat>
          <c:val>
            <c:numRef>
              <c:f>'Calculos por linea'!$C$65:$C$67</c:f>
              <c:numCache/>
            </c:numRef>
          </c:val>
        </c:ser>
        <c:ser>
          <c:idx val="1"/>
          <c:order val="1"/>
          <c:tx>
            <c:v>Calidad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'Calculos por linea'!$B$65:$B$67</c:f>
            </c:strRef>
          </c:cat>
          <c:val>
            <c:numRef>
              <c:f>'Calculos por linea'!$D$65:$D$67</c:f>
              <c:numCache/>
            </c:numRef>
          </c:val>
        </c:ser>
        <c:ser>
          <c:idx val="2"/>
          <c:order val="2"/>
          <c:tx>
            <c:v>Eficiencia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'Calculos por linea'!$B$65:$B$67</c:f>
            </c:strRef>
          </c:cat>
          <c:val>
            <c:numRef>
              <c:f>'Calculos por linea'!$E$65:$E$67</c:f>
              <c:numCache/>
            </c:numRef>
          </c:val>
        </c:ser>
        <c:axId val="1667649954"/>
        <c:axId val="454437096"/>
      </c:barChart>
      <c:catAx>
        <c:axId val="1667649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Lineas de producción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437096"/>
      </c:catAx>
      <c:valAx>
        <c:axId val="454437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Porcentaje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649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Manufacturing Lead Time por Línea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'Calculos por linea'!$B$61:$B$63</c:f>
            </c:strRef>
          </c:cat>
          <c:val>
            <c:numRef>
              <c:f>'Calculos por linea'!$C$61:$C$63</c:f>
              <c:numCache/>
            </c:numRef>
          </c:val>
        </c:ser>
        <c:axId val="63704511"/>
        <c:axId val="38252759"/>
      </c:barChart>
      <c:catAx>
        <c:axId val="63704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Líneas de producción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52759"/>
      </c:catAx>
      <c:valAx>
        <c:axId val="38252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MLT (horas)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04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OEE por línea con total de 83%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'Calculos por linea'!$B$69:$B$71</c:f>
            </c:strRef>
          </c:cat>
          <c:val>
            <c:numRef>
              <c:f>'Calculos por linea'!$C$69:$C$71</c:f>
              <c:numCache/>
            </c:numRef>
          </c:val>
        </c:ser>
        <c:axId val="532215828"/>
        <c:axId val="693774635"/>
      </c:barChart>
      <c:catAx>
        <c:axId val="532215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Líneas de producción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774635"/>
      </c:catAx>
      <c:valAx>
        <c:axId val="693774635"/>
        <c:scaling>
          <c:orientation val="minMax"/>
          <c:max val="0.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OEE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215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733425</xdr:colOff>
      <xdr:row>53</xdr:row>
      <xdr:rowOff>76200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685800</xdr:colOff>
      <xdr:row>71</xdr:row>
      <xdr:rowOff>152400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1419225</xdr:colOff>
      <xdr:row>64</xdr:row>
      <xdr:rowOff>38100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762000</xdr:colOff>
      <xdr:row>0</xdr:row>
      <xdr:rowOff>0</xdr:rowOff>
    </xdr:from>
    <xdr:ext cx="4876800" cy="328612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742950</xdr:colOff>
      <xdr:row>1</xdr:row>
      <xdr:rowOff>171450</xdr:rowOff>
    </xdr:from>
    <xdr:ext cx="4876800" cy="3286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742950</xdr:colOff>
      <xdr:row>31</xdr:row>
      <xdr:rowOff>19050</xdr:rowOff>
    </xdr:from>
    <xdr:ext cx="8610600" cy="16764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4876800" cy="37719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25.0"/>
    <col customWidth="1" min="4" max="4" width="23.38"/>
    <col customWidth="1" min="6" max="6" width="19.88"/>
    <col customWidth="1" min="8" max="8" width="33.13"/>
    <col customWidth="1" min="9" max="9" width="24.88"/>
  </cols>
  <sheetData>
    <row r="2">
      <c r="B2" s="1"/>
    </row>
    <row r="3">
      <c r="B3" s="2" t="s">
        <v>0</v>
      </c>
      <c r="C3" s="3"/>
      <c r="D3" s="3"/>
      <c r="F3" s="1" t="s">
        <v>1</v>
      </c>
      <c r="I3" s="4" t="s">
        <v>2</v>
      </c>
      <c r="J3" s="5"/>
    </row>
    <row r="4">
      <c r="B4" s="1" t="s">
        <v>3</v>
      </c>
      <c r="C4" s="6">
        <v>8.0</v>
      </c>
      <c r="D4" s="6" t="s">
        <v>4</v>
      </c>
      <c r="F4" s="6" t="s">
        <v>5</v>
      </c>
      <c r="G4" s="7">
        <v>6.8E-4</v>
      </c>
      <c r="I4" s="8" t="s">
        <v>6</v>
      </c>
      <c r="J4" s="8">
        <v>41000.0</v>
      </c>
    </row>
    <row r="5">
      <c r="B5" s="1" t="s">
        <v>7</v>
      </c>
      <c r="C5" s="6">
        <v>1.0</v>
      </c>
      <c r="D5" s="6" t="s">
        <v>4</v>
      </c>
      <c r="F5" s="9" t="s">
        <v>8</v>
      </c>
      <c r="G5" s="10">
        <f>1-G4</f>
        <v>0.99932</v>
      </c>
      <c r="I5" s="6" t="s">
        <v>9</v>
      </c>
      <c r="J5" s="6">
        <f>D31*1.2/3600</f>
        <v>0.000024</v>
      </c>
      <c r="K5" s="6" t="s">
        <v>10</v>
      </c>
    </row>
    <row r="6">
      <c r="B6" s="1" t="s">
        <v>11</v>
      </c>
      <c r="C6" s="11">
        <f>C4-C5</f>
        <v>7</v>
      </c>
      <c r="D6" s="6" t="s">
        <v>4</v>
      </c>
      <c r="I6" s="8" t="s">
        <v>12</v>
      </c>
      <c r="J6" s="12">
        <f>C8</f>
        <v>6.25</v>
      </c>
    </row>
    <row r="7">
      <c r="B7" s="1" t="s">
        <v>13</v>
      </c>
      <c r="C7" s="6">
        <v>0.75</v>
      </c>
      <c r="D7" s="6" t="s">
        <v>4</v>
      </c>
      <c r="I7" s="6" t="s">
        <v>14</v>
      </c>
      <c r="J7" s="11">
        <f>(J4*J5)/J6</f>
        <v>0.15744</v>
      </c>
    </row>
    <row r="8">
      <c r="B8" s="1" t="s">
        <v>15</v>
      </c>
      <c r="C8" s="11">
        <f>C6-C7</f>
        <v>6.25</v>
      </c>
      <c r="D8" s="6" t="s">
        <v>4</v>
      </c>
      <c r="I8" s="6" t="s">
        <v>16</v>
      </c>
      <c r="J8" s="6">
        <v>0.8</v>
      </c>
      <c r="K8" s="6" t="s">
        <v>17</v>
      </c>
    </row>
    <row r="9">
      <c r="B9" s="13" t="s">
        <v>18</v>
      </c>
      <c r="C9" s="10">
        <f>C8/C6</f>
        <v>0.8928571429</v>
      </c>
      <c r="I9" s="14" t="s">
        <v>19</v>
      </c>
      <c r="J9" s="15">
        <f>J7*J8</f>
        <v>0.125952</v>
      </c>
    </row>
    <row r="10">
      <c r="B10" s="1"/>
    </row>
    <row r="11">
      <c r="C11" s="16" t="s">
        <v>20</v>
      </c>
      <c r="D11" s="17"/>
      <c r="E11" s="6" t="s">
        <v>21</v>
      </c>
    </row>
    <row r="12">
      <c r="B12" s="18" t="s">
        <v>22</v>
      </c>
      <c r="C12" s="6">
        <v>50000.0</v>
      </c>
      <c r="D12" s="11">
        <f t="shared" ref="D12:D13" si="1">C12/3600</f>
        <v>13.88888889</v>
      </c>
    </row>
    <row r="13">
      <c r="B13" s="18" t="s">
        <v>23</v>
      </c>
      <c r="C13" s="6">
        <v>40000.0</v>
      </c>
      <c r="D13" s="11">
        <f t="shared" si="1"/>
        <v>11.11111111</v>
      </c>
    </row>
    <row r="14">
      <c r="B14" s="18" t="s">
        <v>24</v>
      </c>
      <c r="G14" s="6" t="s">
        <v>25</v>
      </c>
    </row>
    <row r="15">
      <c r="C15" s="6" t="s">
        <v>26</v>
      </c>
      <c r="I15" s="6" t="s">
        <v>27</v>
      </c>
      <c r="J15" s="19">
        <f>G5*C9*J9</f>
        <v>0.112380672</v>
      </c>
    </row>
    <row r="16">
      <c r="C16" s="6">
        <v>5.0</v>
      </c>
      <c r="D16" s="11">
        <f>C16*3600</f>
        <v>18000</v>
      </c>
      <c r="G16" s="6">
        <v>60.0</v>
      </c>
      <c r="H16" s="6" t="s">
        <v>28</v>
      </c>
    </row>
    <row r="17">
      <c r="G17" s="11">
        <f>60 / 0.33</f>
        <v>181.8181818</v>
      </c>
      <c r="H17" s="6" t="s">
        <v>29</v>
      </c>
    </row>
    <row r="20">
      <c r="C20" s="6" t="s">
        <v>30</v>
      </c>
      <c r="H20" s="6" t="s">
        <v>31</v>
      </c>
    </row>
    <row r="21">
      <c r="C21" s="6">
        <v>850.0</v>
      </c>
      <c r="D21" s="6" t="s">
        <v>32</v>
      </c>
      <c r="H21" s="6" t="s">
        <v>33</v>
      </c>
    </row>
    <row r="22">
      <c r="C22" s="11">
        <f>C21*60</f>
        <v>51000</v>
      </c>
      <c r="D22" s="6" t="s">
        <v>34</v>
      </c>
      <c r="H22" s="6" t="s">
        <v>33</v>
      </c>
    </row>
    <row r="23">
      <c r="C23" s="20">
        <f>1/C22 * 3600</f>
        <v>0.07058823529</v>
      </c>
      <c r="D23" s="6" t="s">
        <v>35</v>
      </c>
    </row>
    <row r="24">
      <c r="B24" s="1" t="s">
        <v>36</v>
      </c>
    </row>
    <row r="25">
      <c r="C25" s="6"/>
      <c r="D25" s="2">
        <v>330.0</v>
      </c>
      <c r="E25" s="2" t="s">
        <v>37</v>
      </c>
      <c r="F25" s="2" t="s">
        <v>38</v>
      </c>
    </row>
    <row r="26">
      <c r="B26" s="21" t="s">
        <v>39</v>
      </c>
      <c r="C26" s="22" t="s">
        <v>40</v>
      </c>
      <c r="D26" s="23">
        <v>1.0</v>
      </c>
      <c r="E26" s="24">
        <v>7.0</v>
      </c>
      <c r="F26" s="23">
        <v>7.0</v>
      </c>
    </row>
    <row r="27">
      <c r="C27" s="25" t="s">
        <v>41</v>
      </c>
      <c r="D27" s="26">
        <v>50000.0</v>
      </c>
      <c r="E27" s="26">
        <v>60000.0</v>
      </c>
      <c r="F27" s="26">
        <v>10000.0</v>
      </c>
      <c r="H27" s="11">
        <f>D31*1.2</f>
        <v>0.0864</v>
      </c>
      <c r="I27" s="11">
        <f>7*3600</f>
        <v>25200</v>
      </c>
    </row>
    <row r="28">
      <c r="C28" s="25" t="s">
        <v>42</v>
      </c>
      <c r="D28" s="23">
        <f t="shared" ref="D28:F28" si="2">D27/D26</f>
        <v>50000</v>
      </c>
      <c r="E28" s="24">
        <f t="shared" si="2"/>
        <v>8571.428571</v>
      </c>
      <c r="F28" s="23">
        <f t="shared" si="2"/>
        <v>1428.571429</v>
      </c>
      <c r="I28" s="11">
        <f>I27/H27</f>
        <v>291666.6667</v>
      </c>
    </row>
    <row r="29">
      <c r="C29" s="25" t="s">
        <v>43</v>
      </c>
      <c r="D29" s="26">
        <f t="shared" ref="D29:F29" si="3">D28/60</f>
        <v>833.3333333</v>
      </c>
      <c r="E29" s="26">
        <f t="shared" si="3"/>
        <v>142.8571429</v>
      </c>
      <c r="F29" s="26">
        <f t="shared" si="3"/>
        <v>23.80952381</v>
      </c>
    </row>
    <row r="30">
      <c r="C30" s="25" t="s">
        <v>44</v>
      </c>
      <c r="D30" s="23">
        <f t="shared" ref="D30:F30" si="4">D29/60</f>
        <v>13.88888889</v>
      </c>
      <c r="E30" s="24">
        <f t="shared" si="4"/>
        <v>2.380952381</v>
      </c>
      <c r="F30" s="23">
        <f t="shared" si="4"/>
        <v>0.3968253968</v>
      </c>
    </row>
    <row r="31">
      <c r="B31" s="27" t="s">
        <v>45</v>
      </c>
      <c r="C31" s="28" t="s">
        <v>46</v>
      </c>
      <c r="D31" s="29">
        <f t="shared" ref="D31:F31" si="5">1/D30</f>
        <v>0.072</v>
      </c>
      <c r="E31" s="29">
        <f t="shared" si="5"/>
        <v>0.42</v>
      </c>
      <c r="F31" s="29">
        <f t="shared" si="5"/>
        <v>2.52</v>
      </c>
    </row>
    <row r="32">
      <c r="G32" s="11">
        <f>55300/50000</f>
        <v>1.106</v>
      </c>
    </row>
    <row r="34">
      <c r="C34" s="6" t="s">
        <v>47</v>
      </c>
      <c r="D34" s="11">
        <f>60/D29</f>
        <v>0.072</v>
      </c>
    </row>
  </sheetData>
  <mergeCells count="5">
    <mergeCell ref="F3:G3"/>
    <mergeCell ref="I3:J3"/>
    <mergeCell ref="C20:D20"/>
    <mergeCell ref="B24:F24"/>
    <mergeCell ref="B26:B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5" max="5" width="18.88"/>
  </cols>
  <sheetData>
    <row r="2">
      <c r="B2" s="30" t="s">
        <v>0</v>
      </c>
      <c r="C2" s="31"/>
    </row>
    <row r="3">
      <c r="B3" s="1" t="s">
        <v>3</v>
      </c>
      <c r="C3" s="6">
        <v>8.0</v>
      </c>
      <c r="E3" s="6" t="s">
        <v>48</v>
      </c>
      <c r="F3" s="6">
        <v>8.0</v>
      </c>
    </row>
    <row r="4">
      <c r="B4" s="32" t="s">
        <v>7</v>
      </c>
      <c r="C4" s="8">
        <v>1.0</v>
      </c>
      <c r="E4" s="6" t="s">
        <v>9</v>
      </c>
    </row>
    <row r="5">
      <c r="B5" s="1" t="s">
        <v>11</v>
      </c>
      <c r="C5" s="11">
        <f>C3-C4</f>
        <v>7</v>
      </c>
      <c r="E5" s="6" t="s">
        <v>49</v>
      </c>
      <c r="F5" s="6">
        <v>0.5</v>
      </c>
    </row>
    <row r="6">
      <c r="B6" s="32" t="s">
        <v>13</v>
      </c>
      <c r="C6" s="8">
        <v>0.75</v>
      </c>
      <c r="E6" s="1" t="s">
        <v>50</v>
      </c>
    </row>
    <row r="7">
      <c r="B7" s="1" t="s">
        <v>15</v>
      </c>
      <c r="C7" s="11">
        <f>C5-C6</f>
        <v>6.25</v>
      </c>
      <c r="E7" s="1" t="s">
        <v>51</v>
      </c>
      <c r="F7" s="11">
        <f>F8*8*1</f>
        <v>57142.85714</v>
      </c>
    </row>
    <row r="8">
      <c r="B8" s="33" t="s">
        <v>18</v>
      </c>
      <c r="C8" s="34">
        <f>C7/C5</f>
        <v>0.8928571429</v>
      </c>
      <c r="E8" s="1" t="s">
        <v>52</v>
      </c>
      <c r="F8" s="6">
        <v>7142.857142857143</v>
      </c>
    </row>
    <row r="9">
      <c r="B9" s="30" t="s">
        <v>53</v>
      </c>
      <c r="C9" s="31"/>
    </row>
    <row r="10">
      <c r="B10" s="6" t="s">
        <v>5</v>
      </c>
      <c r="C10" s="7">
        <v>6.8E-4</v>
      </c>
    </row>
    <row r="11">
      <c r="B11" s="35" t="s">
        <v>8</v>
      </c>
      <c r="C11" s="34">
        <f>1-C10</f>
        <v>0.99932</v>
      </c>
    </row>
    <row r="12">
      <c r="B12" s="30" t="s">
        <v>54</v>
      </c>
      <c r="C12" s="30"/>
    </row>
    <row r="13">
      <c r="B13" s="8" t="s">
        <v>6</v>
      </c>
      <c r="C13" s="8">
        <v>41000.0</v>
      </c>
    </row>
    <row r="14">
      <c r="B14" s="6" t="s">
        <v>9</v>
      </c>
      <c r="C14" s="6">
        <v>1.68E-4</v>
      </c>
    </row>
    <row r="15">
      <c r="B15" s="8" t="s">
        <v>12</v>
      </c>
      <c r="C15" s="12">
        <v>6.25</v>
      </c>
    </row>
    <row r="16">
      <c r="B16" s="6" t="s">
        <v>14</v>
      </c>
      <c r="C16" s="11">
        <v>1.10208</v>
      </c>
    </row>
    <row r="17">
      <c r="B17" s="32" t="s">
        <v>16</v>
      </c>
      <c r="C17" s="8">
        <v>0.8</v>
      </c>
    </row>
    <row r="18">
      <c r="B18" s="35" t="s">
        <v>19</v>
      </c>
      <c r="C18" s="34">
        <v>0.881664</v>
      </c>
      <c r="E18" s="6" t="s">
        <v>55</v>
      </c>
      <c r="F18" s="6" t="s">
        <v>56</v>
      </c>
    </row>
    <row r="19">
      <c r="B19" s="14" t="s">
        <v>27</v>
      </c>
      <c r="C19" s="36">
        <f>C18*C11*C8</f>
        <v>0.786664704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3.75"/>
    <col customWidth="1" min="3" max="3" width="16.0"/>
    <col customWidth="1" min="4" max="4" width="18.88"/>
    <col customWidth="1" min="7" max="7" width="18.88"/>
    <col customWidth="1" min="11" max="11" width="24.5"/>
    <col customWidth="1" min="14" max="14" width="23.88"/>
    <col customWidth="1" min="15" max="15" width="22.38"/>
    <col customWidth="1" min="16" max="16" width="15.38"/>
  </cols>
  <sheetData>
    <row r="1">
      <c r="A1" s="37" t="s">
        <v>57</v>
      </c>
      <c r="B1" s="38"/>
      <c r="D1" s="37" t="s">
        <v>58</v>
      </c>
      <c r="E1" s="38"/>
      <c r="G1" s="37" t="s">
        <v>59</v>
      </c>
      <c r="H1" s="38"/>
    </row>
    <row r="2">
      <c r="A2" s="39" t="s">
        <v>60</v>
      </c>
      <c r="B2" s="39">
        <v>8.0</v>
      </c>
      <c r="D2" s="39" t="s">
        <v>60</v>
      </c>
      <c r="E2" s="39">
        <v>8.0</v>
      </c>
      <c r="G2" s="39" t="s">
        <v>60</v>
      </c>
      <c r="H2" s="39">
        <v>8.0</v>
      </c>
    </row>
    <row r="3">
      <c r="A3" s="39" t="s">
        <v>61</v>
      </c>
      <c r="B3" s="39">
        <v>7.0</v>
      </c>
      <c r="D3" s="39" t="s">
        <v>61</v>
      </c>
      <c r="E3" s="39">
        <v>7.0</v>
      </c>
      <c r="G3" s="39" t="s">
        <v>61</v>
      </c>
      <c r="H3" s="39">
        <v>7.0</v>
      </c>
    </row>
    <row r="4">
      <c r="A4" s="40" t="s">
        <v>62</v>
      </c>
      <c r="B4" s="40">
        <v>1.0</v>
      </c>
      <c r="D4" s="40" t="s">
        <v>62</v>
      </c>
      <c r="E4" s="40">
        <v>1.0</v>
      </c>
      <c r="G4" s="40" t="s">
        <v>62</v>
      </c>
      <c r="H4" s="40">
        <v>1.0</v>
      </c>
    </row>
    <row r="5">
      <c r="A5" s="40" t="s">
        <v>63</v>
      </c>
      <c r="B5" s="40">
        <v>350000.0</v>
      </c>
      <c r="D5" s="40" t="s">
        <v>63</v>
      </c>
      <c r="E5" s="40">
        <v>100000.0</v>
      </c>
      <c r="G5" s="40" t="s">
        <v>63</v>
      </c>
      <c r="H5" s="40">
        <v>5000.0</v>
      </c>
    </row>
    <row r="6">
      <c r="A6" s="40" t="s">
        <v>64</v>
      </c>
      <c r="B6" s="40">
        <f>B5/B3</f>
        <v>50000</v>
      </c>
      <c r="D6" s="40" t="s">
        <v>64</v>
      </c>
      <c r="E6" s="40">
        <f>E5/E3</f>
        <v>14285.71429</v>
      </c>
      <c r="G6" s="40" t="s">
        <v>64</v>
      </c>
      <c r="H6" s="40">
        <f>H5/H3</f>
        <v>714.2857143</v>
      </c>
    </row>
    <row r="7">
      <c r="A7" s="40" t="s">
        <v>65</v>
      </c>
      <c r="B7" s="40">
        <f t="shared" ref="B7:B8" si="1">B6/60</f>
        <v>833.3333333</v>
      </c>
      <c r="D7" s="40" t="s">
        <v>65</v>
      </c>
      <c r="E7" s="40">
        <f t="shared" ref="E7:E8" si="2">E6/60</f>
        <v>238.0952381</v>
      </c>
      <c r="G7" s="40" t="s">
        <v>65</v>
      </c>
      <c r="H7" s="40">
        <f t="shared" ref="H7:H8" si="3">H6/60</f>
        <v>11.9047619</v>
      </c>
    </row>
    <row r="8">
      <c r="A8" s="40" t="s">
        <v>66</v>
      </c>
      <c r="B8" s="40">
        <f t="shared" si="1"/>
        <v>13.88888889</v>
      </c>
      <c r="D8" s="40" t="s">
        <v>66</v>
      </c>
      <c r="E8" s="40">
        <f t="shared" si="2"/>
        <v>3.968253968</v>
      </c>
      <c r="G8" s="40" t="s">
        <v>66</v>
      </c>
      <c r="H8" s="40">
        <f t="shared" si="3"/>
        <v>0.1984126984</v>
      </c>
    </row>
    <row r="9">
      <c r="A9" s="40" t="s">
        <v>67</v>
      </c>
      <c r="B9" s="40">
        <f>1/$B$8</f>
        <v>0.072</v>
      </c>
      <c r="D9" s="40" t="s">
        <v>67</v>
      </c>
      <c r="E9" s="40">
        <f>1/$E$8</f>
        <v>0.252</v>
      </c>
      <c r="G9" s="40" t="s">
        <v>68</v>
      </c>
      <c r="H9" s="40">
        <f>1/$H$8</f>
        <v>5.04</v>
      </c>
    </row>
    <row r="11">
      <c r="A11" s="2" t="s">
        <v>69</v>
      </c>
      <c r="B11" s="41" t="s">
        <v>70</v>
      </c>
      <c r="D11" s="2" t="s">
        <v>71</v>
      </c>
      <c r="E11" s="3"/>
      <c r="G11" s="2" t="s">
        <v>72</v>
      </c>
      <c r="H11" s="3"/>
      <c r="O11" s="2" t="s">
        <v>69</v>
      </c>
      <c r="P11" s="41" t="s">
        <v>70</v>
      </c>
    </row>
    <row r="12">
      <c r="A12" s="1" t="s">
        <v>3</v>
      </c>
      <c r="B12" s="6">
        <f>B2*B4</f>
        <v>8</v>
      </c>
      <c r="D12" s="1" t="s">
        <v>3</v>
      </c>
      <c r="E12" s="6">
        <f>E2*E4</f>
        <v>8</v>
      </c>
      <c r="G12" s="1" t="s">
        <v>3</v>
      </c>
      <c r="H12" s="6">
        <f>H2*H4</f>
        <v>8</v>
      </c>
      <c r="O12" s="1" t="s">
        <v>3</v>
      </c>
      <c r="P12" s="6">
        <f>P2*P4</f>
        <v>0</v>
      </c>
    </row>
    <row r="13">
      <c r="A13" s="1" t="s">
        <v>7</v>
      </c>
      <c r="B13" s="6">
        <v>1.0</v>
      </c>
      <c r="D13" s="1" t="s">
        <v>7</v>
      </c>
      <c r="E13" s="6">
        <v>1.0</v>
      </c>
      <c r="G13" s="1" t="s">
        <v>7</v>
      </c>
      <c r="H13" s="6">
        <v>1.0</v>
      </c>
      <c r="O13" s="1" t="s">
        <v>7</v>
      </c>
      <c r="P13" s="6">
        <v>1.0</v>
      </c>
    </row>
    <row r="14">
      <c r="A14" s="1" t="s">
        <v>11</v>
      </c>
      <c r="B14" s="11">
        <f>B12-B13</f>
        <v>7</v>
      </c>
      <c r="D14" s="1" t="s">
        <v>11</v>
      </c>
      <c r="E14" s="11">
        <f>E12-E13</f>
        <v>7</v>
      </c>
      <c r="G14" s="1" t="s">
        <v>11</v>
      </c>
      <c r="H14" s="11">
        <f>H12-H13</f>
        <v>7</v>
      </c>
      <c r="O14" s="1" t="s">
        <v>11</v>
      </c>
      <c r="P14" s="11">
        <f>P12-P13</f>
        <v>-1</v>
      </c>
    </row>
    <row r="15">
      <c r="A15" s="1" t="s">
        <v>13</v>
      </c>
      <c r="B15" s="6">
        <v>0.75</v>
      </c>
      <c r="D15" s="1" t="s">
        <v>13</v>
      </c>
      <c r="E15" s="6">
        <v>0.65</v>
      </c>
      <c r="G15" s="1" t="s">
        <v>13</v>
      </c>
      <c r="H15" s="6">
        <v>0.55</v>
      </c>
      <c r="O15" s="1" t="s">
        <v>13</v>
      </c>
      <c r="P15" s="6">
        <v>0.75</v>
      </c>
    </row>
    <row r="16">
      <c r="A16" s="1" t="s">
        <v>15</v>
      </c>
      <c r="B16" s="11">
        <f>$B$12-$B$13-$B$15</f>
        <v>6.25</v>
      </c>
      <c r="D16" s="1" t="s">
        <v>15</v>
      </c>
      <c r="E16" s="11">
        <f>$E$12-$E$13-$E$15</f>
        <v>6.35</v>
      </c>
      <c r="G16" s="1" t="s">
        <v>15</v>
      </c>
      <c r="H16" s="11">
        <f>$H$12-$H$13-$H$15</f>
        <v>6.45</v>
      </c>
      <c r="O16" s="1" t="s">
        <v>15</v>
      </c>
      <c r="P16" s="11">
        <f>$B$12-$B$13-$B$15</f>
        <v>6.25</v>
      </c>
    </row>
    <row r="17">
      <c r="A17" s="13" t="s">
        <v>18</v>
      </c>
      <c r="B17" s="10">
        <f>B16/B14</f>
        <v>0.8928571429</v>
      </c>
      <c r="D17" s="13" t="s">
        <v>18</v>
      </c>
      <c r="E17" s="10">
        <f>E16/E14</f>
        <v>0.9071428571</v>
      </c>
      <c r="G17" s="13" t="s">
        <v>18</v>
      </c>
      <c r="H17" s="10">
        <f>H16/H14</f>
        <v>0.9214285714</v>
      </c>
      <c r="O17" s="13" t="s">
        <v>18</v>
      </c>
      <c r="P17" s="10">
        <f>P16/P14</f>
        <v>-6.25</v>
      </c>
    </row>
    <row r="21">
      <c r="D21" s="1" t="s">
        <v>73</v>
      </c>
    </row>
    <row r="22">
      <c r="D22" s="6" t="s">
        <v>5</v>
      </c>
      <c r="E22" s="42">
        <v>6.8E-4</v>
      </c>
      <c r="F22" s="11">
        <f>150000*E22</f>
        <v>102</v>
      </c>
    </row>
    <row r="23">
      <c r="D23" s="9" t="s">
        <v>8</v>
      </c>
      <c r="E23" s="43">
        <f>1-E22</f>
        <v>0.99932</v>
      </c>
    </row>
    <row r="25">
      <c r="A25" s="4" t="s">
        <v>74</v>
      </c>
      <c r="B25" s="5"/>
      <c r="D25" s="4" t="s">
        <v>75</v>
      </c>
      <c r="E25" s="5"/>
      <c r="G25" s="4" t="s">
        <v>76</v>
      </c>
      <c r="H25" s="5"/>
    </row>
    <row r="26">
      <c r="A26" s="8" t="s">
        <v>6</v>
      </c>
      <c r="B26" s="44">
        <f>B5*(1-$E$22) * B3/B2 * 0.95</f>
        <v>290739.6625</v>
      </c>
      <c r="C26" s="6" t="s">
        <v>63</v>
      </c>
      <c r="D26" s="8" t="s">
        <v>6</v>
      </c>
      <c r="E26" s="44">
        <f>E5*(1-$E$22) * E3/E2 * 0.94</f>
        <v>82194.07</v>
      </c>
      <c r="F26" s="6" t="s">
        <v>63</v>
      </c>
      <c r="G26" s="8" t="s">
        <v>6</v>
      </c>
      <c r="H26" s="44">
        <f>H5*(1-$E$22) * H3/H2 * 0.95</f>
        <v>4153.42375</v>
      </c>
      <c r="I26" s="6" t="s">
        <v>63</v>
      </c>
    </row>
    <row r="27">
      <c r="A27" s="6" t="s">
        <v>9</v>
      </c>
      <c r="B27" s="40">
        <f>1/$B$8 * 1.1</f>
        <v>0.0792</v>
      </c>
      <c r="D27" s="6" t="s">
        <v>9</v>
      </c>
      <c r="E27" s="40">
        <f>1/$E$8 * 1.1</f>
        <v>0.2772</v>
      </c>
      <c r="G27" s="6" t="s">
        <v>9</v>
      </c>
      <c r="H27" s="40">
        <f>1/$H$8 * 1.4</f>
        <v>7.056</v>
      </c>
    </row>
    <row r="28">
      <c r="A28" s="8" t="s">
        <v>12</v>
      </c>
      <c r="B28" s="12">
        <f>B16</f>
        <v>6.25</v>
      </c>
      <c r="D28" s="8" t="s">
        <v>12</v>
      </c>
      <c r="E28" s="11">
        <f>$E$12-$E$13-$E$15</f>
        <v>6.35</v>
      </c>
      <c r="G28" s="8" t="s">
        <v>12</v>
      </c>
      <c r="H28" s="11">
        <f>$H$12-$H$13-$H$15</f>
        <v>6.45</v>
      </c>
    </row>
    <row r="29">
      <c r="A29" s="6" t="s">
        <v>14</v>
      </c>
      <c r="B29" s="11">
        <f>(B26*B27)/(B28*3600)</f>
        <v>1.023403612</v>
      </c>
      <c r="D29" s="6" t="s">
        <v>14</v>
      </c>
      <c r="E29" s="11">
        <f>(E26*E27)/(E28*3600)</f>
        <v>0.9966839984</v>
      </c>
      <c r="G29" s="6" t="s">
        <v>14</v>
      </c>
      <c r="H29" s="11">
        <f>(H26*H27)/(H28*3600)</f>
        <v>1.262125667</v>
      </c>
    </row>
    <row r="30">
      <c r="A30" s="6" t="s">
        <v>16</v>
      </c>
      <c r="B30" s="6">
        <f>B9/B27</f>
        <v>0.9090909091</v>
      </c>
      <c r="D30" s="6" t="s">
        <v>16</v>
      </c>
      <c r="E30" s="6">
        <f>E9/E27</f>
        <v>0.9090909091</v>
      </c>
      <c r="G30" s="6" t="s">
        <v>16</v>
      </c>
      <c r="H30" s="6">
        <f>H9/H27</f>
        <v>0.7142857143</v>
      </c>
    </row>
    <row r="31">
      <c r="A31" s="14" t="s">
        <v>19</v>
      </c>
      <c r="B31" s="15">
        <f>B29*B30</f>
        <v>0.93036692</v>
      </c>
      <c r="D31" s="14" t="s">
        <v>19</v>
      </c>
      <c r="E31" s="15">
        <f>E29*E30</f>
        <v>0.9060763622</v>
      </c>
      <c r="G31" s="14" t="s">
        <v>19</v>
      </c>
      <c r="H31" s="15">
        <f>H29*H30</f>
        <v>0.9015183333</v>
      </c>
    </row>
    <row r="33">
      <c r="A33" s="6" t="s">
        <v>77</v>
      </c>
    </row>
    <row r="34">
      <c r="A34" s="6" t="s">
        <v>78</v>
      </c>
    </row>
    <row r="35">
      <c r="A35" s="6" t="s">
        <v>79</v>
      </c>
    </row>
    <row r="36">
      <c r="A36" s="6" t="s">
        <v>80</v>
      </c>
    </row>
    <row r="39">
      <c r="A39" s="1" t="s">
        <v>81</v>
      </c>
      <c r="D39" s="1" t="s">
        <v>82</v>
      </c>
      <c r="G39" s="1" t="s">
        <v>83</v>
      </c>
      <c r="J39" s="1" t="s">
        <v>84</v>
      </c>
    </row>
    <row r="40">
      <c r="A40" s="9" t="s">
        <v>27</v>
      </c>
      <c r="B40" s="10">
        <f>B31*$E$23*B17</f>
        <v>0.8301198844</v>
      </c>
      <c r="D40" s="9" t="s">
        <v>27</v>
      </c>
      <c r="E40" s="10">
        <f>E31*$E$23*E17</f>
        <v>0.8213817803</v>
      </c>
      <c r="G40" s="9" t="s">
        <v>27</v>
      </c>
      <c r="H40" s="10">
        <f>H31*$E$23*H17</f>
        <v>0.8301198844</v>
      </c>
      <c r="J40" s="13" t="s">
        <v>85</v>
      </c>
      <c r="K40" s="45">
        <f>_xlfn.FLOOR.MATH((H40+E40+B40)/3 * 100)/100</f>
        <v>0.82</v>
      </c>
    </row>
    <row r="43">
      <c r="A43" s="37" t="s">
        <v>86</v>
      </c>
      <c r="B43" s="38"/>
      <c r="D43" s="37" t="s">
        <v>87</v>
      </c>
      <c r="E43" s="38"/>
      <c r="G43" s="37" t="s">
        <v>88</v>
      </c>
      <c r="H43" s="38"/>
    </row>
    <row r="44">
      <c r="A44" s="39" t="s">
        <v>89</v>
      </c>
      <c r="B44" s="39">
        <v>1.0</v>
      </c>
      <c r="C44" s="6" t="s">
        <v>4</v>
      </c>
      <c r="D44" s="39" t="s">
        <v>89</v>
      </c>
      <c r="E44" s="39">
        <v>1.0</v>
      </c>
      <c r="F44" s="6" t="s">
        <v>4</v>
      </c>
      <c r="G44" s="39" t="s">
        <v>89</v>
      </c>
      <c r="H44" s="39">
        <v>1.0</v>
      </c>
      <c r="I44" s="6" t="s">
        <v>4</v>
      </c>
    </row>
    <row r="45">
      <c r="A45" s="40" t="s">
        <v>90</v>
      </c>
      <c r="B45" s="40">
        <v>9.0</v>
      </c>
      <c r="D45" s="40" t="s">
        <v>90</v>
      </c>
      <c r="E45" s="40">
        <v>9.0</v>
      </c>
      <c r="G45" s="40" t="s">
        <v>90</v>
      </c>
      <c r="H45" s="40">
        <v>8.0</v>
      </c>
    </row>
    <row r="46">
      <c r="A46" s="40" t="s">
        <v>9</v>
      </c>
      <c r="B46" s="40">
        <v>0.0792</v>
      </c>
      <c r="C46" s="6" t="s">
        <v>91</v>
      </c>
      <c r="D46" s="40" t="s">
        <v>9</v>
      </c>
      <c r="E46" s="40">
        <v>0.2772</v>
      </c>
      <c r="F46" s="6" t="s">
        <v>91</v>
      </c>
      <c r="G46" s="40" t="s">
        <v>9</v>
      </c>
      <c r="H46" s="40">
        <v>7.055999999999998</v>
      </c>
      <c r="I46" s="6" t="s">
        <v>91</v>
      </c>
      <c r="J46" s="6" t="s">
        <v>92</v>
      </c>
    </row>
    <row r="47">
      <c r="A47" s="40" t="s">
        <v>93</v>
      </c>
      <c r="B47" s="40">
        <v>0.0</v>
      </c>
      <c r="C47" s="6" t="s">
        <v>91</v>
      </c>
      <c r="D47" s="40" t="s">
        <v>93</v>
      </c>
      <c r="E47" s="40">
        <v>0.0</v>
      </c>
      <c r="F47" s="6" t="s">
        <v>91</v>
      </c>
      <c r="G47" s="40" t="s">
        <v>93</v>
      </c>
      <c r="H47" s="40">
        <v>0.0</v>
      </c>
      <c r="I47" s="6" t="s">
        <v>91</v>
      </c>
      <c r="J47" s="6" t="s">
        <v>94</v>
      </c>
    </row>
    <row r="48">
      <c r="A48" s="40" t="s">
        <v>95</v>
      </c>
      <c r="B48" s="46">
        <v>300000.0</v>
      </c>
      <c r="C48" s="6" t="s">
        <v>96</v>
      </c>
      <c r="D48" s="40" t="s">
        <v>95</v>
      </c>
      <c r="E48" s="46">
        <v>100000.0</v>
      </c>
      <c r="F48" s="6" t="s">
        <v>96</v>
      </c>
      <c r="G48" s="40" t="s">
        <v>95</v>
      </c>
      <c r="H48" s="46">
        <v>3500.0</v>
      </c>
      <c r="I48" s="6" t="s">
        <v>96</v>
      </c>
    </row>
    <row r="49">
      <c r="A49" s="47" t="s">
        <v>97</v>
      </c>
      <c r="B49" s="40">
        <f>B44*3600+(B46+B47)*B45+(B48-1)*B46</f>
        <v>27360.6336</v>
      </c>
      <c r="D49" s="47" t="s">
        <v>97</v>
      </c>
      <c r="E49" s="40">
        <f>E44*3600+(E46+E47)*E45+(E48-1)*E46</f>
        <v>31322.2176</v>
      </c>
      <c r="G49" s="47" t="s">
        <v>97</v>
      </c>
      <c r="H49" s="40">
        <f>H44*3600+(H46+H47)*H45+(H48-1)*H46</f>
        <v>28345.392</v>
      </c>
    </row>
    <row r="50">
      <c r="A50" s="47" t="s">
        <v>98</v>
      </c>
      <c r="B50" s="48">
        <f>B49/3600</f>
        <v>7.600176</v>
      </c>
      <c r="D50" s="47" t="s">
        <v>98</v>
      </c>
      <c r="E50" s="48">
        <f>E49/3600</f>
        <v>8.700616</v>
      </c>
      <c r="G50" s="47" t="s">
        <v>98</v>
      </c>
      <c r="H50" s="48">
        <f>H49/3600</f>
        <v>7.87372</v>
      </c>
    </row>
    <row r="60">
      <c r="B60" s="6" t="s">
        <v>99</v>
      </c>
    </row>
    <row r="61">
      <c r="B61" s="6" t="s">
        <v>100</v>
      </c>
      <c r="C61" s="11">
        <f>B50</f>
        <v>7.600176</v>
      </c>
    </row>
    <row r="62">
      <c r="B62" s="6" t="s">
        <v>101</v>
      </c>
      <c r="C62" s="11">
        <f>E50</f>
        <v>8.700616</v>
      </c>
    </row>
    <row r="63">
      <c r="B63" s="6" t="s">
        <v>102</v>
      </c>
      <c r="C63" s="11">
        <f>H50</f>
        <v>7.87372</v>
      </c>
    </row>
    <row r="65">
      <c r="B65" s="6" t="s">
        <v>100</v>
      </c>
      <c r="C65" s="49">
        <f>B17</f>
        <v>0.8928571429</v>
      </c>
      <c r="D65" s="50">
        <f>E23</f>
        <v>0.99932</v>
      </c>
      <c r="E65" s="49">
        <f>B31</f>
        <v>0.93036692</v>
      </c>
    </row>
    <row r="66">
      <c r="B66" s="6" t="s">
        <v>101</v>
      </c>
      <c r="C66" s="49">
        <f>E17</f>
        <v>0.9071428571</v>
      </c>
      <c r="D66" s="50">
        <f>E23</f>
        <v>0.99932</v>
      </c>
      <c r="E66" s="49">
        <f>E31</f>
        <v>0.9060763622</v>
      </c>
    </row>
    <row r="67">
      <c r="B67" s="6" t="s">
        <v>102</v>
      </c>
      <c r="C67" s="49">
        <f>H17</f>
        <v>0.9214285714</v>
      </c>
      <c r="D67" s="50">
        <f>E23</f>
        <v>0.99932</v>
      </c>
      <c r="E67" s="49">
        <f>H31</f>
        <v>0.9015183333</v>
      </c>
    </row>
    <row r="69">
      <c r="B69" s="6" t="s">
        <v>100</v>
      </c>
      <c r="C69" s="49">
        <f>B40</f>
        <v>0.8301198844</v>
      </c>
    </row>
    <row r="70">
      <c r="B70" s="6" t="s">
        <v>101</v>
      </c>
      <c r="C70" s="49">
        <f>E40</f>
        <v>0.8213817803</v>
      </c>
    </row>
    <row r="71">
      <c r="B71" s="6" t="s">
        <v>102</v>
      </c>
      <c r="C71" s="49">
        <f>H40</f>
        <v>0.8301198844</v>
      </c>
    </row>
  </sheetData>
  <mergeCells count="7">
    <mergeCell ref="D21:E21"/>
    <mergeCell ref="A25:B25"/>
    <mergeCell ref="D25:E25"/>
    <mergeCell ref="G25:H25"/>
    <mergeCell ref="A39:B39"/>
    <mergeCell ref="D39:E39"/>
    <mergeCell ref="G39:H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13"/>
    <col customWidth="1" min="4" max="4" width="30.75"/>
  </cols>
  <sheetData>
    <row r="4">
      <c r="A4" s="1" t="s">
        <v>103</v>
      </c>
    </row>
    <row r="5">
      <c r="A5" s="1" t="s">
        <v>104</v>
      </c>
      <c r="B5" s="1" t="s">
        <v>105</v>
      </c>
      <c r="C5" s="1" t="s">
        <v>106</v>
      </c>
      <c r="D5" s="1" t="s">
        <v>107</v>
      </c>
    </row>
    <row r="6">
      <c r="A6" s="6" t="s">
        <v>108</v>
      </c>
      <c r="C6" s="6">
        <v>0.0792</v>
      </c>
      <c r="D6" s="11">
        <v>0.036</v>
      </c>
    </row>
    <row r="7">
      <c r="A7" s="6" t="s">
        <v>109</v>
      </c>
      <c r="C7" s="6">
        <v>0.0792</v>
      </c>
      <c r="D7" s="51">
        <v>0.04615384615384615</v>
      </c>
    </row>
    <row r="8">
      <c r="A8" s="6" t="s">
        <v>110</v>
      </c>
      <c r="C8" s="6">
        <v>0.0792</v>
      </c>
      <c r="D8" s="11">
        <v>0.05</v>
      </c>
    </row>
    <row r="9">
      <c r="A9" s="6" t="s">
        <v>111</v>
      </c>
      <c r="C9" s="6">
        <v>0.0792</v>
      </c>
      <c r="D9" s="6" t="s">
        <v>112</v>
      </c>
    </row>
    <row r="13">
      <c r="A13" s="1" t="s">
        <v>113</v>
      </c>
    </row>
    <row r="14">
      <c r="A14" s="1" t="s">
        <v>104</v>
      </c>
      <c r="B14" s="1" t="s">
        <v>105</v>
      </c>
      <c r="C14" s="1" t="s">
        <v>106</v>
      </c>
      <c r="D14" s="1" t="s">
        <v>107</v>
      </c>
    </row>
    <row r="15">
      <c r="A15" s="6" t="s">
        <v>114</v>
      </c>
      <c r="D15" s="51">
        <v>0.02706766917293233</v>
      </c>
    </row>
    <row r="16">
      <c r="A16" s="6" t="s">
        <v>110</v>
      </c>
      <c r="D16" s="11">
        <v>0.05</v>
      </c>
    </row>
    <row r="17">
      <c r="A17" s="6" t="s">
        <v>109</v>
      </c>
      <c r="D17" s="51">
        <v>0.04615384615384615</v>
      </c>
    </row>
    <row r="18">
      <c r="A18" s="6" t="s">
        <v>110</v>
      </c>
      <c r="D18" s="11">
        <v>0.05</v>
      </c>
    </row>
    <row r="19">
      <c r="A19" s="6" t="s">
        <v>111</v>
      </c>
      <c r="D19" s="6" t="s">
        <v>112</v>
      </c>
    </row>
    <row r="21">
      <c r="A21" s="1" t="s">
        <v>115</v>
      </c>
      <c r="H21" s="1" t="s">
        <v>104</v>
      </c>
      <c r="I21" s="6" t="s">
        <v>116</v>
      </c>
      <c r="J21" s="6" t="s">
        <v>117</v>
      </c>
    </row>
    <row r="22">
      <c r="A22" s="1" t="s">
        <v>104</v>
      </c>
      <c r="B22" s="1" t="s">
        <v>105</v>
      </c>
      <c r="C22" s="1" t="s">
        <v>106</v>
      </c>
      <c r="D22" s="1" t="s">
        <v>107</v>
      </c>
      <c r="H22" s="6" t="s">
        <v>118</v>
      </c>
      <c r="I22" s="11">
        <f>72000/3600</f>
        <v>20</v>
      </c>
      <c r="J22" s="11">
        <f t="shared" ref="J22:J27" si="1">1/I22</f>
        <v>0.05</v>
      </c>
    </row>
    <row r="23">
      <c r="A23" s="6" t="s">
        <v>108</v>
      </c>
      <c r="D23" s="11">
        <f t="shared" ref="D23:D24" si="2">1/E23</f>
        <v>2.4</v>
      </c>
      <c r="E23" s="51">
        <f>1500/3600</f>
        <v>0.4166666667</v>
      </c>
      <c r="H23" s="6" t="s">
        <v>119</v>
      </c>
      <c r="I23" s="6">
        <v>20.0</v>
      </c>
      <c r="J23" s="11">
        <f t="shared" si="1"/>
        <v>0.05</v>
      </c>
    </row>
    <row r="24">
      <c r="A24" s="6" t="s">
        <v>109</v>
      </c>
      <c r="D24" s="11">
        <f t="shared" si="2"/>
        <v>2</v>
      </c>
      <c r="E24" s="11">
        <f>1800/3600</f>
        <v>0.5</v>
      </c>
      <c r="H24" s="6" t="s">
        <v>120</v>
      </c>
      <c r="I24" s="11">
        <f>100000/3600</f>
        <v>27.77777778</v>
      </c>
      <c r="J24" s="11">
        <f t="shared" si="1"/>
        <v>0.036</v>
      </c>
    </row>
    <row r="25">
      <c r="A25" s="6" t="s">
        <v>110</v>
      </c>
      <c r="D25" s="6">
        <v>2.0</v>
      </c>
      <c r="H25" s="6" t="s">
        <v>121</v>
      </c>
      <c r="I25" s="11">
        <f>78000/3600</f>
        <v>21.66666667</v>
      </c>
      <c r="J25" s="11">
        <f t="shared" si="1"/>
        <v>0.04615384615</v>
      </c>
    </row>
    <row r="26">
      <c r="A26" s="6" t="s">
        <v>111</v>
      </c>
      <c r="D26" s="6" t="s">
        <v>112</v>
      </c>
      <c r="H26" s="6" t="s">
        <v>122</v>
      </c>
      <c r="I26" s="11">
        <f>133000/3600</f>
        <v>36.94444444</v>
      </c>
      <c r="J26" s="11">
        <f t="shared" si="1"/>
        <v>0.02706766917</v>
      </c>
    </row>
    <row r="27">
      <c r="H27" s="6" t="s">
        <v>123</v>
      </c>
      <c r="I27" s="11">
        <f>72000/3600</f>
        <v>20</v>
      </c>
      <c r="J27" s="11">
        <f t="shared" si="1"/>
        <v>0.05</v>
      </c>
    </row>
    <row r="31">
      <c r="F31" s="6" t="s">
        <v>124</v>
      </c>
    </row>
    <row r="41">
      <c r="F41" s="6" t="s">
        <v>121</v>
      </c>
    </row>
  </sheetData>
  <drawing r:id="rId1"/>
</worksheet>
</file>